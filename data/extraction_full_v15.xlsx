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rood\Dropbox\Job training meta-analysis\job-training-meta-analysis\data\"/>
    </mc:Choice>
  </mc:AlternateContent>
  <xr:revisionPtr revIDLastSave="0" documentId="13_ncr:1_{AD822692-C38F-48D0-BA57-D12C30632823}" xr6:coauthVersionLast="47" xr6:coauthVersionMax="47" xr10:uidLastSave="{00000000-0000-0000-0000-000000000000}"/>
  <bookViews>
    <workbookView xWindow="-96" yWindow="-96" windowWidth="23232" windowHeight="14592" xr2:uid="{00000000-000D-0000-FFFF-FFFF00000000}"/>
  </bookViews>
  <sheets>
    <sheet name="Data Table" sheetId="1" r:id="rId1"/>
    <sheet name="Reasoning Table" sheetId="2" r:id="rId2"/>
    <sheet name="Data dictionary" sheetId="3" r:id="rId3"/>
  </sheets>
  <definedNames>
    <definedName name="_xlnm._FilterDatabase" localSheetId="0" hidden="1">'Data Table'!$A$1:$CI$148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8" i="1" l="1"/>
  <c r="U37" i="1"/>
  <c r="U36" i="1"/>
  <c r="U35" i="1"/>
  <c r="U34" i="1"/>
  <c r="U33" i="1"/>
  <c r="U32" i="1"/>
  <c r="U31" i="1"/>
  <c r="BG9" i="1"/>
  <c r="BG8" i="1"/>
  <c r="BG7" i="1"/>
  <c r="BG6" i="1"/>
  <c r="AJ5" i="1"/>
  <c r="AJ4" i="1"/>
  <c r="AJ3" i="1"/>
  <c r="AG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Roodman</author>
  </authors>
  <commentList>
    <comment ref="BP1" authorId="0" shapeId="0" xr:uid="{00000000-0006-0000-0000-000001000000}">
      <text>
        <r>
          <rPr>
            <sz val="11"/>
            <color theme="1"/>
            <rFont val="Calibri"/>
            <family val="2"/>
            <scheme val="minor"/>
          </rPr>
          <t>David Roodman:
For studies in the Peck et al. meta analysis, this is the OR of "employer role: provide input on curriculum or program development" and "engaged employer: curricula adapted for employers'needs"</t>
        </r>
      </text>
    </comment>
    <comment ref="BP12" authorId="0" shapeId="0" xr:uid="{00000000-0006-0000-0000-000002000000}">
      <text>
        <r>
          <rPr>
            <sz val="11"/>
            <color theme="1"/>
            <rFont val="Calibri"/>
            <family val="2"/>
            <scheme val="minor"/>
          </rPr>
          <t>David Roodman:
Gemini: This site was noted as being "the closest to CET/San Jose" in terms of integrating education with training and tailoring its curriculum to the specific demands of the local labor market</t>
        </r>
      </text>
    </comment>
    <comment ref="BP16" authorId="0" shapeId="0" xr:uid="{00000000-0006-0000-0000-000003000000}">
      <text>
        <r>
          <rPr>
            <sz val="11"/>
            <color theme="1"/>
            <rFont val="Calibri"/>
            <family val="2"/>
            <scheme val="minor"/>
          </rPr>
          <t>David Roodman:
Gemini: While the Job Corps sites had standardized national curricula, the Phoenix site was recognized for having "especially strong ties to the employer community" and focusing its efforts on ensuring training was relevant to local market needs</t>
        </r>
      </text>
    </comment>
    <comment ref="BP71" authorId="0" shapeId="0" xr:uid="{00000000-0006-0000-0000-000004000000}">
      <text>
        <r>
          <rPr>
            <sz val="11"/>
            <color theme="1"/>
            <rFont val="Calibri"/>
            <family val="2"/>
            <scheme val="minor"/>
          </rPr>
          <t>David Roodman:
"For some programs, instructors engaged a few employers for input on aligning curricula. Employers also served as clinical externship sites for those trainings that required them." (p. 94, Exhibit 6.1).</t>
        </r>
      </text>
    </comment>
    <comment ref="BP120" authorId="0" shapeId="0" xr:uid="{00000000-0006-0000-0000-000005000000}">
      <text>
        <r>
          <rPr>
            <sz val="11"/>
            <color theme="1"/>
            <rFont val="Calibri"/>
            <family val="2"/>
            <scheme val="minor"/>
          </rPr>
          <t>David Roodman:
Claude finds no textual evidence for presence of this</t>
        </r>
      </text>
    </comment>
    <comment ref="BP125" authorId="0" shapeId="0" xr:uid="{00000000-0006-0000-0000-000006000000}">
      <text>
        <r>
          <rPr>
            <sz val="11"/>
            <color theme="1"/>
            <rFont val="Calibri"/>
            <family val="2"/>
            <scheme val="minor"/>
          </rPr>
          <t>David Roodman:
What is this?</t>
        </r>
      </text>
    </comment>
  </commentList>
</comments>
</file>

<file path=xl/sharedStrings.xml><?xml version="1.0" encoding="utf-8"?>
<sst xmlns="http://schemas.openxmlformats.org/spreadsheetml/2006/main" count="6982" uniqueCount="3183">
  <si>
    <t>project</t>
  </si>
  <si>
    <t>site_subgroup</t>
  </si>
  <si>
    <t>short_name</t>
  </si>
  <si>
    <t>intervention_description</t>
  </si>
  <si>
    <t>training_role</t>
  </si>
  <si>
    <t>has_classroom</t>
  </si>
  <si>
    <t>has_ojt</t>
  </si>
  <si>
    <t>has_jsa</t>
  </si>
  <si>
    <t>has_multiple_components</t>
  </si>
  <si>
    <t>other_components</t>
  </si>
  <si>
    <t>mandatory_voluntary</t>
  </si>
  <si>
    <t>funding_public_private</t>
  </si>
  <si>
    <t>admin_public_private</t>
  </si>
  <si>
    <t>randomization_period</t>
  </si>
  <si>
    <t>randomization_midpoint</t>
  </si>
  <si>
    <t>target_group</t>
  </si>
  <si>
    <t>mean_age</t>
  </si>
  <si>
    <t>pct_male</t>
  </si>
  <si>
    <t>pct_white</t>
  </si>
  <si>
    <t>pct_black</t>
  </si>
  <si>
    <t>pct_hispanic</t>
  </si>
  <si>
    <t>pct_no_hs_diploma</t>
  </si>
  <si>
    <t>mean_years_schooling</t>
  </si>
  <si>
    <t>selectivity</t>
  </si>
  <si>
    <t>selectivity_rate</t>
  </si>
  <si>
    <t>n_treatment</t>
  </si>
  <si>
    <t>n_control</t>
  </si>
  <si>
    <t>st_resprate_control</t>
  </si>
  <si>
    <t>st_resprate_treatment</t>
  </si>
  <si>
    <t>st_resprate_overall</t>
  </si>
  <si>
    <t>mt_resprate_control</t>
  </si>
  <si>
    <t>mt_resprate_treatment</t>
  </si>
  <si>
    <t>mt_resprate_overall</t>
  </si>
  <si>
    <t>lt_resprate_control</t>
  </si>
  <si>
    <t>lt_resprate_treatment</t>
  </si>
  <si>
    <t>lt_resprate_overall</t>
  </si>
  <si>
    <t>outcome_data_source</t>
  </si>
  <si>
    <t>st_followup_years</t>
  </si>
  <si>
    <t>st_emp_impact</t>
  </si>
  <si>
    <t>st_emp_se</t>
  </si>
  <si>
    <t>st_emp_stars</t>
  </si>
  <si>
    <t>st_emp_control_mean</t>
  </si>
  <si>
    <t>st_earn_impact</t>
  </si>
  <si>
    <t>st_earn_se</t>
  </si>
  <si>
    <t>st_earn_stars</t>
  </si>
  <si>
    <t>st_earn_control_mean</t>
  </si>
  <si>
    <t>st_earn_cadence</t>
  </si>
  <si>
    <t>mt_followup_years</t>
  </si>
  <si>
    <t>mt_emp_impact</t>
  </si>
  <si>
    <t>mt_emp_se</t>
  </si>
  <si>
    <t>mt_emp_stars</t>
  </si>
  <si>
    <t>mt_emp_control_mean</t>
  </si>
  <si>
    <t>mt_earn_impact</t>
  </si>
  <si>
    <t>mt_earn_se</t>
  </si>
  <si>
    <t>mt_earn_stars</t>
  </si>
  <si>
    <t>mt_earn_control_mean</t>
  </si>
  <si>
    <t>mt_earn_cadence</t>
  </si>
  <si>
    <t>lt_followup_years</t>
  </si>
  <si>
    <t>lt_emp_impact</t>
  </si>
  <si>
    <t>lt_emp_se</t>
  </si>
  <si>
    <t>lt_emp_stars</t>
  </si>
  <si>
    <t>lt_emp_control_mean</t>
  </si>
  <si>
    <t>lt_earn_impact</t>
  </si>
  <si>
    <t>lt_earn_se</t>
  </si>
  <si>
    <t>lt_earn_stars</t>
  </si>
  <si>
    <t>lt_earn_control_mean</t>
  </si>
  <si>
    <t>lt_earn_cadence</t>
  </si>
  <si>
    <t>sources</t>
  </si>
  <si>
    <t>notes</t>
  </si>
  <si>
    <t>cost_per_treated</t>
  </si>
  <si>
    <t>benefit_per_treated</t>
  </si>
  <si>
    <t>benefit_source</t>
  </si>
  <si>
    <t>state</t>
  </si>
  <si>
    <t>geo_type</t>
  </si>
  <si>
    <t>academic</t>
  </si>
  <si>
    <t>sector_program</t>
  </si>
  <si>
    <t>leadagn_communityorg</t>
  </si>
  <si>
    <t>partneragn_staffingagency</t>
  </si>
  <si>
    <t>employengage_curricula</t>
  </si>
  <si>
    <t>jobdev_yes</t>
  </si>
  <si>
    <t>employerol_curriculum</t>
  </si>
  <si>
    <t>employerol_hire</t>
  </si>
  <si>
    <t>program_uptake_impact</t>
  </si>
  <si>
    <t>program_uptake_control_mean</t>
  </si>
  <si>
    <t>any_training_impact</t>
  </si>
  <si>
    <t>any_training_control_mean</t>
  </si>
  <si>
    <t>treatment_duration_months</t>
  </si>
  <si>
    <t>National Supported Work Demonstration</t>
  </si>
  <si>
    <t>Women on AFDC long-term</t>
  </si>
  <si>
    <t>NSWD-Welfare mothers</t>
  </si>
  <si>
    <t>Supported work: 12-18 months of subsidized employment in a structured, graduated-stress environment with peer support, close supervision, and gradually increasing performance demands. Work in service activities, construction, and manufacturing.</t>
  </si>
  <si>
    <t>primary</t>
  </si>
  <si>
    <t>subsidized transitional employment, graduated stress, peer support</t>
  </si>
  <si>
    <t>voluntary</t>
  </si>
  <si>
    <t>public</t>
  </si>
  <si>
    <t>private</t>
  </si>
  <si>
    <t>February 1976 – March 1979</t>
  </si>
  <si>
    <t>Long-term AFDC recipients; women on AFDC both currently and for 30 of preceding 36 months; youngest child 6+</t>
  </si>
  <si>
    <t>Recruited from the 'unassigned pool' in the WIN program. Eligibility criteria targeted ~15% of entire AFDC population—older, less educated, longer welfare spells, less recent work than average AFDC recipients.</t>
  </si>
  <si>
    <t>self-report (survey)</t>
  </si>
  <si>
    <t>**</t>
  </si>
  <si>
    <t>monthly (averaged over months 10-18)</t>
  </si>
  <si>
    <t>monthly (averaged over months 19-27)</t>
  </si>
  <si>
    <t>MDRC 1980, Summary and Findings of the National Supported Work Demonstration. Tables 9-1 (p. 153), 4-1 (p. 59), 4-3 (p. 61), 2-5 (p. 32), 2-8 (p. 37).</t>
  </si>
  <si>
    <t>Total research sample: 1,351 AFDC women (experimentals + controls combined; treatment/control split not separately reported in this volume). Cost figure ($8,139) is per AFDC participant, reflecting longer average program stay (9.5 months). Follow-up is 27 months; no 28-36 month data. All estimates are regression-adjusted. † in original = p&lt;0.05. Months 1-9 excluded from extraction as mostly in-program period. Dollar figures in nominal ~1976-1979 dollars, not adjusted for inflation.</t>
  </si>
  <si>
    <t>MDRC 1980, Table 8-1 (p.153). Total benefits from social perspective = $15,132 (undiscounted, in dollars of the period ~1976-79). Includes earnings, taxes, transfer savings, program-related output.</t>
  </si>
  <si>
    <t>multiple</t>
  </si>
  <si>
    <t>urban</t>
  </si>
  <si>
    <t>Ex-addicts</t>
  </si>
  <si>
    <t>NSWD-Ex-addicts</t>
  </si>
  <si>
    <t>Ex-addicts; age 18+; enrolled in a drug treatment program currently or within preceding 6 months</t>
  </si>
  <si>
    <t>Recruited from drug treatment programs. Had to be currently enrolled or within 6 months of a treatment program. Also had to be currently unemployed (worked no more than 10 hours/week for last 4 weeks) with no more than 3 months in a job during past 6 months.</t>
  </si>
  <si>
    <t>*</t>
  </si>
  <si>
    <t>monthly (averaged over months 28-36)</t>
  </si>
  <si>
    <t>MDRC 1980, Summary and Findings of the National Supported Work Demonstration. Table 9-2 (p. 155), Table 2-5 (p. 32), Table 2-8 (p. 37).</t>
  </si>
  <si>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</si>
  <si>
    <t>MDRC 1980, Table 8-2 (p.155). Total benefits from social perspective = $9,563 (undiscounted). Includes earnings, reduced drug/crime costs, transfer savings.</t>
  </si>
  <si>
    <t>Ex-offenders</t>
  </si>
  <si>
    <t>NSWD-Ex-offenders</t>
  </si>
  <si>
    <t>Ex-offenders; age 18+; incarcerated within the last 6 months as a result of a conviction</t>
  </si>
  <si>
    <t>Had to have been incarcerated within preceding 6 months as result of conviction. Currently unemployed. No more than 3 months in a job during past 6 months.</t>
  </si>
  <si>
    <t>MDRC 1980, Summary and Findings of the National Supported Work Demonstration. Table 9-4 (p. 160), Table 2-5 (p. 32), Table 2-8 (p. 37), text p. 37.</t>
  </si>
  <si>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</si>
  <si>
    <t>MDRC 1980, Table 8-4 (p.160). B-C analysis inconclusive; benefits range -$280 to $12,927 depending on assumptions about criminal activity. Not entered.</t>
  </si>
  <si>
    <t>Young school dropouts</t>
  </si>
  <si>
    <t>NSWD-School dropouts</t>
  </si>
  <si>
    <t>Youth; ages 17-20; no high school diploma or GED; not in school in last 6 months; 50%+ with delinquency record</t>
  </si>
  <si>
    <t>Age 17-20 with no high school diploma or GED; not in school for at least 6 months; at least 50% had to have a delinquency record, conviction, court appearance, or similar. Currently unemployed.</t>
  </si>
  <si>
    <t>MDRC 1980, Summary and Findings of the National Supported Work Demonstration. Table 9-3 (p. 158), Table 2-5 (p. 32), Table 2-8 (p. 37).</t>
  </si>
  <si>
    <t>Total research sample: 861 youth (experimentals + controls combined). Cost ($5,740) is average across all groups; youth-specific cost not reported. 36-month follow-up but data for months 1-27 used (months 28-36 based on unreliably small sample per source note). No significant post-program impacts. Benefit-cost analysis: net cost of ~$1,465 per youth (range -$4,118 to -$250). Program 'may be more successful with youths under 19 years of age' per text p. 157.</t>
  </si>
  <si>
    <t>MDRC 1980, Table 8-3 (p.158). Total benefits from social perspective = $3,546 (undiscounted). Net loss ~$1,465 per youth.</t>
  </si>
  <si>
    <t>National JTPA Study</t>
  </si>
  <si>
    <t>Adult women</t>
  </si>
  <si>
    <t>JTPA-Adult women</t>
  </si>
  <si>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</si>
  <si>
    <t>basic education, GED preparation, work experience</t>
  </si>
  <si>
    <t>mixed</t>
  </si>
  <si>
    <t>November 1987 – September 1989</t>
  </si>
  <si>
    <t>Women age 22+ applying to JTPA Title II-A at 16 SDAs nationwide</t>
  </si>
  <si>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</si>
  <si>
    <t>SSA earnings records</t>
  </si>
  <si>
    <t>***</t>
  </si>
  <si>
    <t>annual</t>
  </si>
  <si>
    <t>GAO 1996, Job Training Partnership Act: Long-Term Earnings and Employment Outcomes (GAO/HEHS-96-40). Tables II.1-II.12 (Appendix II, pp. 20-25).</t>
  </si>
  <si>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t>
  </si>
  <si>
    <t>Orr et al. 1994, Exhibit 6.2 (p.176). Societal benefit = earnings gain of $1,683 (cumulative 30-month, not discounted). Cost = $1,171 incremental training cost. Net = $512.</t>
  </si>
  <si>
    <t>Adult men</t>
  </si>
  <si>
    <t>JTPA-Adult men</t>
  </si>
  <si>
    <t>Men age 22+ applying to JTPA Title II-A at 16 SDAs nationwide</t>
  </si>
  <si>
    <t>Applicants to JTPA who were recommended for classroom training, OJT/JSA, or other services, and deemed appropriate for random assignment by local staff. ~64% of eligible applicants were in the study.</t>
  </si>
  <si>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t>
  </si>
  <si>
    <t>Orr et al. 1994, Exhibit 6.2 (p.176). Societal benefit = earnings gain of $1,355 (cumulative 30-month, not discounted). Cost = $831. Net = $524.</t>
  </si>
  <si>
    <t>Female out-of-school youths</t>
  </si>
  <si>
    <t>JTPA-Female youths</t>
  </si>
  <si>
    <t>Female out-of-school youth ages 16-21 applying to JTPA Title II-A at 16 SDAs</t>
  </si>
  <si>
    <t>Out-of-school female youth applicants to JTPA deemed appropriate for random assignment. ~64% of eligible applicants in study.</t>
  </si>
  <si>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t>
  </si>
  <si>
    <t>Orr et al. 1994, Exhibit 6.3 (p.178). Societal benefit = earnings gain of $136 (cumulative 30-month, not discounted). Cost = $1,316. Net = -$1,180.</t>
  </si>
  <si>
    <t>Male out-of-school youths</t>
  </si>
  <si>
    <t>JTPA-Male youths</t>
  </si>
  <si>
    <t>Male out-of-school youth ages 16-21 applying to JTPA Title II-A at 16 SDAs</t>
  </si>
  <si>
    <t>Out-of-school male youth applicants to JTPA deemed appropriate for random assignment. ~64% of eligible applicants in study.</t>
  </si>
  <si>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t>
  </si>
  <si>
    <t>Orr et al. 1994, Exhibit 6.3 (p.178). Societal benefit = earnings gain of -$968 (cumulative 30-month, not discounted). Cost = $1,955. Net = -$2,923.</t>
  </si>
  <si>
    <t>JOBSTART</t>
  </si>
  <si>
    <t>Atlanta Job Corps</t>
  </si>
  <si>
    <t>Job Corps Center providing concurrent basic education and occupational training, with support services including medical/dental. Job placement assistance.</t>
  </si>
  <si>
    <t>support services (child care, transportation), basic skills education, GED preparation</t>
  </si>
  <si>
    <t>August 1985 – November 1987</t>
  </si>
  <si>
    <t>Young school dropouts ages 17-21; reading below 8th grade level; economically disadvantaged (JTPA eligible)</t>
  </si>
  <si>
    <t>Voluntary applicants ages 17-21 who had dropped out of school, reading below 8th grade level, economically disadvantaged (JTPA eligible). Staff screened for appropriateness.</t>
  </si>
  <si>
    <t>cumulative over months 1-24 (24 months), computed as months 1-48 minus months 25-48</t>
  </si>
  <si>
    <t>cumulative over months 25-48 (24 months)</t>
  </si>
  <si>
    <t>Cave et al. 1993, JOBSTART: Final Report on a Program for School Dropouts. Table 5.12 (p. 157), Table 7.3 (p. 191), Table 2.1 (pp. 37-40).</t>
  </si>
  <si>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</si>
  <si>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Cave et al. 1993, Table 7.9 (p.206). B-C analysis available for full sample only (societal NPV = -$4,286 in 1986$, 4-year). No site-level B-C decomposition.</t>
  </si>
  <si>
    <t>GA</t>
  </si>
  <si>
    <t>CET/San Jose</t>
  </si>
  <si>
    <t>CET</t>
  </si>
  <si>
    <t>Center for Employment Training (CET): concurrent training with some education. Integrated education and hands-on occupational training; strong employer linkages; open-entry/open-exit; training in occupations in demand in local labor market.</t>
  </si>
  <si>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</si>
  <si>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CA</t>
  </si>
  <si>
    <t>Chicago Commons</t>
  </si>
  <si>
    <t>Community-based concurrent training program. Classroom training concentrated in a small number of occupations.</t>
  </si>
  <si>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</si>
  <si>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IL</t>
  </si>
  <si>
    <t>Connelley Skill Learning Center</t>
  </si>
  <si>
    <t>Adult vocational school providing concurrent education and training. Fixed-cycle program.</t>
  </si>
  <si>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</si>
  <si>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PA</t>
  </si>
  <si>
    <t>East LA Skills Center</t>
  </si>
  <si>
    <t>Adult vocational school providing concurrent education and training.</t>
  </si>
  <si>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</si>
  <si>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EGOS (Denver)</t>
  </si>
  <si>
    <t>Emily Griffith Opportunity School: adult vocational school providing concurrent education and training. Semester-schedule with open entry.</t>
  </si>
  <si>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</si>
  <si>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CO</t>
  </si>
  <si>
    <t>Phoenix Job Corps</t>
  </si>
  <si>
    <t>Job Corps Center providing concurrent education and training with medical/dental services.</t>
  </si>
  <si>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</si>
  <si>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AZ</t>
  </si>
  <si>
    <t>SER/Corpus Christi</t>
  </si>
  <si>
    <t>SER/Jobs for Progress: community-based concurrent training program.</t>
  </si>
  <si>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</si>
  <si>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TX</t>
  </si>
  <si>
    <t>El Centro Community College</t>
  </si>
  <si>
    <t>Community college sequential/in-house program: basic education followed by occupational training, both provided in-house.</t>
  </si>
  <si>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</si>
  <si>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LA Job Corps</t>
  </si>
  <si>
    <t>Los Angeles Job Corps Center providing sequential/in-house education and training with medical/dental services.</t>
  </si>
  <si>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</si>
  <si>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Allentown Youth Services Consortium</t>
  </si>
  <si>
    <t>Community-based sequential/brokered program: basic education provided in-house, then referral to other agencies for occupational training.</t>
  </si>
  <si>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</si>
  <si>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BSA (NYC)</t>
  </si>
  <si>
    <t>Basic Skills Academy: community-based sequential/brokered program with emphasis on education.</t>
  </si>
  <si>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</si>
  <si>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NY</t>
  </si>
  <si>
    <t>CREC (Hartford)</t>
  </si>
  <si>
    <t>Capitol Region Education Council: sequential/brokered education program.</t>
  </si>
  <si>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</si>
  <si>
    <t>CT</t>
  </si>
  <si>
    <t>GAIN</t>
  </si>
  <si>
    <t>Alameda</t>
  </si>
  <si>
    <t>GAIN-Alameda</t>
  </si>
  <si>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</si>
  <si>
    <t>secondary</t>
  </si>
  <si>
    <t>mandatory welfare-to-work participation, sanctions for non-compliance, basic education (ABE/GED/ESL) for low-scoring registrants</t>
  </si>
  <si>
    <t>mandatory</t>
  </si>
  <si>
    <t>July 1989 – May 1990</t>
  </si>
  <si>
    <t>AFDC-FG single parents (mostly women); youngest child at least 6 years old at random assignment</t>
  </si>
  <si>
    <t>Included recently-approved applicants for AFDC as well as ongoing recipients. Alameda limited intake to long-term AFDC recipients.</t>
  </si>
  <si>
    <t>UI wage records</t>
  </si>
  <si>
    <t>annual (Year 1, quarters 2-5)</t>
  </si>
  <si>
    <t>annual (Year 2, quarters 6-9)</t>
  </si>
  <si>
    <t>annual (Year 5, quarters 18-21)</t>
  </si>
  <si>
    <t>Freedman, Friedlander, Lin, and Schweder (1996), 'The GAIN Evaluation: Five-Year Impacts on Employment, Earnings, and AFDC Receipt,' Working Paper 96.1, MDRC. Table 1, county section for Alameda.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</si>
  <si>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</si>
  <si>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(exec summary p.44). Net B-C from societal perspective = -$2,103 (1993$, 3-year). Only net values reported; gross benefits not decomposed.</t>
  </si>
  <si>
    <t>Butte</t>
  </si>
  <si>
    <t>GAIN-Butte</t>
  </si>
  <si>
    <t>March 1988 – March 1990</t>
  </si>
  <si>
    <t>Included recently-approved applicants for AFDC as well as ongoing recipients.</t>
  </si>
  <si>
    <t>Freedman, Friedlander, Lin, and Schweder (1996), 'The GAIN Evaluation: Five-Year Impacts on Employment, Earnings, and AFDC Receipt,' Working Paper 96.1, MDRC. Table 1, county section for Butte.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</si>
  <si>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</si>
  <si>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$1,452 (1993$, 3-year). Only net values reported.</t>
  </si>
  <si>
    <t>rural</t>
  </si>
  <si>
    <t>Los Angeles</t>
  </si>
  <si>
    <t>GAIN-Los Angeles</t>
  </si>
  <si>
    <t>July 1989 – March 1990</t>
  </si>
  <si>
    <t>Alameda and Los Angeles limited intake to long-term AFDC recipients. Nearly 60% of AFDC-Us in Los Angeles were of Indochinese origin.</t>
  </si>
  <si>
    <t>Freedman, Friedlander, Lin, and Schweder (1996), 'The GAIN Evaluation: Five-Year Impacts on Employment, Earnings, and AFDC Receipt,' Working Paper 96.1, MDRC. Table 1, county section for Los Angeles.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</si>
  <si>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</si>
  <si>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-$5,046 (1993$, 3-year). Only net values reported.</t>
  </si>
  <si>
    <t>Riverside</t>
  </si>
  <si>
    <t>GAIN-Riverside</t>
  </si>
  <si>
    <t>August 1988 – March 1990</t>
  </si>
  <si>
    <t>Included recently-approved applicants for AFDC as well as ongoing recipients. Riverside emphasized employment-focused services over education.</t>
  </si>
  <si>
    <t>Freedman, Friedlander, Lin, and Schweder (1996), 'The GAIN Evaluation: Five-Year Impacts on Employment, Earnings, and AFDC Receipt,' Working Paper 96.1, MDRC. Table 1, county section for Riverside.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</si>
  <si>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</si>
  <si>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$4,458 (1993$, 3-year). Only net values reported.</t>
  </si>
  <si>
    <t>San Diego</t>
  </si>
  <si>
    <t>GAIN-San Diego</t>
  </si>
  <si>
    <t>August 1988 – September 1989</t>
  </si>
  <si>
    <t>Freedman, Friedlander, Lin, and Schweder (1996), 'The GAIN Evaluation: Five-Year Impacts on Employment, Earnings, and AFDC Receipt,' Working Paper 96.1, MDRC. Table 1, county section for San Diego.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</si>
  <si>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</si>
  <si>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$1,649 (1993$, 3-year). Only net values reported.</t>
  </si>
  <si>
    <t>Tulare</t>
  </si>
  <si>
    <t>GAIN-Tulare</t>
  </si>
  <si>
    <t>January 1989 – June 1990</t>
  </si>
  <si>
    <t>Freedman, Friedlander, Lin, and Schweder (1996), 'The GAIN Evaluation: Five-Year Impacts on Employment, Earnings, and AFDC Receipt,' Working Paper 96.1, MDRC. Table 1, county section for Tulare. Randomization periods from Table 1 notes. Riccio and Friedlander (1992), Table 1.2 (demographics).</t>
  </si>
  <si>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t>
  </si>
  <si>
    <t>Riccio et al. 1994, Table 7. Net B-C from societal perspective = -$819 (1993$, 3-year). Only net values reported.</t>
  </si>
  <si>
    <t>Career Academies</t>
  </si>
  <si>
    <t>Full sample (9 sites pooled)</t>
  </si>
  <si>
    <t>Small learning communities within high schools combining academic and career/technical curricula around a career theme, with employer partnerships providing work-based learning. Students entered in grade 9 or 10 and participated through grade 12. (Kemple and Willner 2008, p.1)</t>
  </si>
  <si>
    <t>work-based learning through employer partnerships</t>
  </si>
  <si>
    <t>1993 – 1997</t>
  </si>
  <si>
    <t>high school students at risk of disengagement</t>
  </si>
  <si>
    <t>Students applied to oversubscribed Career Academies within their high schools; approximately 55% of applicants randomized to treatment. Academies made explicit efforts to include students perceived at risk of dropping out. (pp.4-5)</t>
  </si>
  <si>
    <t>monthly (average over Years 1-4)</t>
  </si>
  <si>
    <t>monthly (average over Years 5-8)</t>
  </si>
  <si>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</si>
  <si>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</si>
  <si>
    <t>PACE – Year Up</t>
  </si>
  <si>
    <t>Full sample (8 offices pooled)</t>
  </si>
  <si>
    <t>Year Up</t>
  </si>
  <si>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</si>
  <si>
    <t>internship at Fortune 500 companies; weekly stipends ($150-$220); behavior contracts; social worker support</t>
  </si>
  <si>
    <t>January 2013 – August 2014</t>
  </si>
  <si>
    <t>young adults 18-24 from low-income communities with HS diploma/equivalent</t>
  </si>
  <si>
    <t>Applicants screened by Year Up on motivation, ability to overcome challenges; approximately 1 in 6 applicants accepted. Three-year embargo on control group participation. 96% of treatment group enrolled. (pp.4, 10)</t>
  </si>
  <si>
    <t>NDNH wage records</t>
  </si>
  <si>
    <t>annual (cumulative over 4 quarters)</t>
  </si>
  <si>
    <t>quarterly (average of Quarters 23-24)</t>
  </si>
  <si>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</si>
  <si>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t>
  </si>
  <si>
    <t>Fein and Dastrup 2022, Exhibit 5-5 (p.53). Total benefit to society as a whole = $57,019 per participant (7-year NPV at 5% discount rate). Total cost = $23,135. Net benefit = $33,884 (Exhibit 5-6, p.56).</t>
  </si>
  <si>
    <t>NEWWS</t>
  </si>
  <si>
    <t>Atlanta Human Capital Development</t>
  </si>
  <si>
    <t>NEWWS-Atlanta</t>
  </si>
  <si>
    <t>Education-focused (Human Capital Development) approach: emphasized basic education, GED preparation, post-secondary education, and vocational training before job search. Case managers enrolled participants in education and training activities as a first step.</t>
  </si>
  <si>
    <t>case management, mandatory participation requirement</t>
  </si>
  <si>
    <t>June 1992 – August 1994</t>
  </si>
  <si>
    <t>welfare recipients (single-parent AFDC/TANF)</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</si>
  <si>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</si>
  <si>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t>
  </si>
  <si>
    <t>Grand Rapids Human Capital Development</t>
  </si>
  <si>
    <t>NEWWS-Grand Rapids</t>
  </si>
  <si>
    <t>Education-focused (Human Capital Development) approach: emphasized basic education, GED preparation, post-secondary education, and vocational training. High rates of participation in education and training activities.</t>
  </si>
  <si>
    <t>October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</si>
  <si>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</si>
  <si>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t>
  </si>
  <si>
    <t>MI</t>
  </si>
  <si>
    <t>Riverside Human Capital Development</t>
  </si>
  <si>
    <t>NEWWS-Riverside</t>
  </si>
  <si>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</si>
  <si>
    <t>June 1991 – June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</si>
  <si>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</si>
  <si>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t>
  </si>
  <si>
    <t>Columbus Integrated</t>
  </si>
  <si>
    <t>NEWWS-Columbus Intergrated</t>
  </si>
  <si>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</si>
  <si>
    <t>integrated case management, mandatory participation requirement</t>
  </si>
  <si>
    <t>October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</si>
  <si>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</si>
  <si>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t>
  </si>
  <si>
    <t>OH</t>
  </si>
  <si>
    <t>Columbus Traditional</t>
  </si>
  <si>
    <t>NEWWS-Columbus Traditional</t>
  </si>
  <si>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</si>
  <si>
    <t>traditional (separate) case management, mandatory participation requirement</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</si>
  <si>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</si>
  <si>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t>
  </si>
  <si>
    <t>Detroit MOST</t>
  </si>
  <si>
    <t>NEWWS-Detroit</t>
  </si>
  <si>
    <t>Michigan Opportunity and Skills Training (MOST): combined education and training with job search assistance. Emphasized basic education, vocational training, and work experience. Due to data limitations, education and training components could not be separated.</t>
  </si>
  <si>
    <t>September 1992 – March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</si>
  <si>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</si>
  <si>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t>
  </si>
  <si>
    <t>Oklahoma City ET&amp;E</t>
  </si>
  <si>
    <t>NEWWS-Oklahoma City</t>
  </si>
  <si>
    <t>Education, Training, and Employment (ET&amp;E) program: welfare-to-work program emphasizing education and training alongside employment activities. Included basic education, vocational training, and job search components.</t>
  </si>
  <si>
    <t>April 1991 – February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</si>
  <si>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</si>
  <si>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t>
  </si>
  <si>
    <t>OK</t>
  </si>
  <si>
    <t>Portland JOBS</t>
  </si>
  <si>
    <t>NEWWS-Portland</t>
  </si>
  <si>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</si>
  <si>
    <t>case management, mandatory participation requirement, mixed LFA/HCD approach</t>
  </si>
  <si>
    <t>February 1993 – December 1994</t>
  </si>
  <si>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</si>
  <si>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t>
  </si>
  <si>
    <t>OR</t>
  </si>
  <si>
    <t>PACE</t>
  </si>
  <si>
    <t>Bridge to Employment (San Diego)</t>
  </si>
  <si>
    <t>Bridge to Employment</t>
  </si>
  <si>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</si>
  <si>
    <t>Individual Training Account voucher; navigator support; financial assistance</t>
  </si>
  <si>
    <t>November 2011 – December 2014</t>
  </si>
  <si>
    <t>low-income adults seeking healthcare training</t>
  </si>
  <si>
    <t>annual (total over Q0-3)</t>
  </si>
  <si>
    <t>annual (total over Q4-7)</t>
  </si>
  <si>
    <t>quarterly (average of Q23 and Q24)</t>
  </si>
  <si>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</si>
  <si>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t>
  </si>
  <si>
    <t>No B-C analysis. Juras et al. 2022 (PACE cross-site report) contains cost data but no benefit-cost analysis. Individual site reports are impact-only.</t>
  </si>
  <si>
    <t>Carreras en Salud (Chicago)</t>
  </si>
  <si>
    <t>Carreras en Salud</t>
  </si>
  <si>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</si>
  <si>
    <t>academic advising; non-academic advising; contextualized basic skills; financial support</t>
  </si>
  <si>
    <t>low-income Latino adults seeking healthcare credentials</t>
  </si>
  <si>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t>
  </si>
  <si>
    <t>Health Careers for All (Seattle)</t>
  </si>
  <si>
    <t>Health Careers for All</t>
  </si>
  <si>
    <t>Healthcare occupational training for TANF recipients and other low-income adults. Key components: career/course navigation and case management, access to healthcare education and training, job search assistance, and financial assistance for training. (Juras et al. 2022, p.10)</t>
  </si>
  <si>
    <t>career navigation; case management; financial assistance for training</t>
  </si>
  <si>
    <t>TANF recipients and low-income adults seeking healthcare training</t>
  </si>
  <si>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t>
  </si>
  <si>
    <t>WA</t>
  </si>
  <si>
    <t>I-BEST (Washington State)</t>
  </si>
  <si>
    <t>I-BEST</t>
  </si>
  <si>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</si>
  <si>
    <t>team-teaching model; dedicated advising; fill-the-gap financial support</t>
  </si>
  <si>
    <t>adults with lower academic skills seeking college-level occupational training</t>
  </si>
  <si>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t>
  </si>
  <si>
    <t>Pathways to Healthcare (Tucson)</t>
  </si>
  <si>
    <t>Pathways to Healthcare</t>
  </si>
  <si>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</si>
  <si>
    <t>proactive advising; scholarships; compressed basic skills remediation</t>
  </si>
  <si>
    <t>low-income adults with low academic skills seeking healthcare training</t>
  </si>
  <si>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t>
  </si>
  <si>
    <t>Patient Care Pathway Program (Madison)</t>
  </si>
  <si>
    <t>Patient Care Pathway Program</t>
  </si>
  <si>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</si>
  <si>
    <t>dedicated academic advisor; non-academic support coordination</t>
  </si>
  <si>
    <t>adults with low academic skills seeking healthcare credentials</t>
  </si>
  <si>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t>
  </si>
  <si>
    <t>WI</t>
  </si>
  <si>
    <t>VIDA (Rio Grande Valley)</t>
  </si>
  <si>
    <t>VIDA</t>
  </si>
  <si>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</si>
  <si>
    <t>mandatory weekly counseling; financial support; College Prep Academy</t>
  </si>
  <si>
    <t>low-income adults in Lower Rio Grande Valley seeking credentials and degrees</t>
  </si>
  <si>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t>
  </si>
  <si>
    <t>WTA Connect (Des Moines)</t>
  </si>
  <si>
    <t>Workforce Training Academy</t>
  </si>
  <si>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</si>
  <si>
    <t>skills remediation; HSE classes; self-efficacy development; proactive advising</t>
  </si>
  <si>
    <t>April 2012 – December 2014</t>
  </si>
  <si>
    <t>adults with low reading/math skills seeking occupational certificates</t>
  </si>
  <si>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</si>
  <si>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t>
  </si>
  <si>
    <t>IA</t>
  </si>
  <si>
    <t>National Job Corps Study</t>
  </si>
  <si>
    <t>Full sample</t>
  </si>
  <si>
    <t>Job Corps</t>
  </si>
  <si>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</si>
  <si>
    <t>residential services, health care, meals, counseling, living allowance</t>
  </si>
  <si>
    <t>November 1994 – February 1996</t>
  </si>
  <si>
    <t>disadvantaged youth ages 16-24</t>
  </si>
  <si>
    <t>Applicants to Job Corps who met eligibility criteria (low-income, ages 16-24, needed additional education/training). Control group embargoed from Job Corps for 3 years. 73% of treatment group enrolled; average 8-month stay. (pp. 1865-1866)</t>
  </si>
  <si>
    <t>W-2/IRS tax records (SER 1993-2000, IRS 2001-2015)</t>
  </si>
  <si>
    <t>annual (calendar year 1997, W-2, 2015 dollars)</t>
  </si>
  <si>
    <t>annual (calendar year 1998, W-2, 2015 dollars)</t>
  </si>
  <si>
    <t>annual (calendar year 2003, W-2/IRS, 2015 dollars)</t>
  </si>
  <si>
    <t>Schochet, P.Z. (2020). Long-Run Labor Market Effects of the Job Corps Program: Evidence from a Nationally Representative Experiment. Journal of Policy Analysis and Management. Tables A1 (employment), A2 (earnings). Baseline info from Schochet, Burghardt, and McConnell (2008), Table 1.</t>
  </si>
  <si>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t>
  </si>
  <si>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</si>
  <si>
    <t>ETJD</t>
  </si>
  <si>
    <t>Atlanta</t>
  </si>
  <si>
    <t>ETJD-Atlanta</t>
  </si>
  <si>
    <t>ETJD transitional employment program operated by the Atlanta Center for Self-Sufficiency (ACSS). Provided subsidized transitional jobs, case management, and job placement services for noncustodial parents.</t>
  </si>
  <si>
    <t>subsidized transitional employment, case management, life skills workshops</t>
  </si>
  <si>
    <t>2011 – 2012</t>
  </si>
  <si>
    <t>noncustodial parents</t>
  </si>
  <si>
    <t>Referred by child support agencies; voluntary enrollment.</t>
  </si>
  <si>
    <t>NDNH</t>
  </si>
  <si>
    <t>cumulative over months 1-18 (derived: 30mo total minus last year, NDNH). Includes subsidized employment earnings.</t>
  </si>
  <si>
    <t>annual (last year of 30-month follow-up, months 18-30)</t>
  </si>
  <si>
    <t>Barden, B., Juras, R., Redcross, C., Farrell, M., and Bloom, D. (2018). New Perspectives on Creating Jobs: Final Impacts of the Next Generation of Subsidized Employment Programs. New York: MDRC. Appendix Table B.1, p.125; Table 5.2, p.89.</t>
  </si>
  <si>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</si>
  <si>
    <t>Milwaukee</t>
  </si>
  <si>
    <t>ETJD-Milwaukee</t>
  </si>
  <si>
    <t>ETJD transitional employment program operated by MAXIMUS.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</si>
  <si>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C.1, p.127; Table 5.2, p.89.</t>
  </si>
  <si>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</si>
  <si>
    <t>San Francisco</t>
  </si>
  <si>
    <t>ETJD-San Francisco</t>
  </si>
  <si>
    <t>ETJD transitional employment program operated by the San Francisco Department of Child Support Services and Arriba Juntos.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</si>
  <si>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D.1, p.133; Table 5.2, p.89.</t>
  </si>
  <si>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</si>
  <si>
    <t>Syracuse</t>
  </si>
  <si>
    <t>ETJD-Syracuse</t>
  </si>
  <si>
    <t>ETJD transitional employment program operated by the Center for Employment Opportunities (CEO). Provided subsidized transitional jobs, case management, and employment services for noncustodial parents.</t>
  </si>
  <si>
    <t>Barden, B., Juras, R., Redcross, C., Farrell, M., and Bloom, D. (2018). New Perspectives on Creating Jobs: Final Impacts of the Next Generation of Subsidized Employment Programs. New York: MDRC. Appendix Table E.1, p.149; Table 5.2, p.89.</t>
  </si>
  <si>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</si>
  <si>
    <t>Fort Worth</t>
  </si>
  <si>
    <t>ETJD-Fort Worth</t>
  </si>
  <si>
    <t>ETJD transitional employment program operated by Workforce Solutions for Tarrant County and the Tarrant County Community Supervision and Corrections Department. Provided subsidized transitional jobs, case management, and employment services for ex-offenders.</t>
  </si>
  <si>
    <t>ex-offenders</t>
  </si>
  <si>
    <t>Referred by criminal justice agencies; voluntary enrollment.</t>
  </si>
  <si>
    <t>Barden, B., Juras, R., Redcross, C., Farrell, M., and Bloom, D. (2018). New Perspectives on Creating Jobs: Final Impacts of the Next Generation of Subsidized Employment Programs. New York: MDRC. Appendix Table F.1, p.165; Table 5.2, p.89.</t>
  </si>
  <si>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</si>
  <si>
    <t>Indianapolis</t>
  </si>
  <si>
    <t>ETJD-Indianapolis</t>
  </si>
  <si>
    <t>ETJD transitional employment program operated by RecycleForce. Provided subsidized transitional jobs in electronics recycling, case management, and employment services for ex-offenders.</t>
  </si>
  <si>
    <t>Barden, B., Juras, R., Redcross, C., Farrell, M., and Bloom, D. (2018). New Perspectives on Creating Jobs: Final Impacts of the Next Generation of Subsidized Employment Programs. New York: MDRC. Appendix Table G.1, p.179; Table 5.2, p.89.</t>
  </si>
  <si>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</si>
  <si>
    <t>IN</t>
  </si>
  <si>
    <t>New York City</t>
  </si>
  <si>
    <t>ETJD-York City</t>
  </si>
  <si>
    <t>ETJD transitional employment program operated by the Center for Employment Opportunities (CEO). Provided subsidized transitional jobs (day labor crews), life skills education, job coaching, and job placement and retention services for ex-offenders.</t>
  </si>
  <si>
    <t>Barden, B., Juras, R., Redcross, C., Farrell, M., and Bloom, D. (2018). New Perspectives on Creating Jobs: Final Impacts of the Next Generation of Subsidized Employment Programs. New York: MDRC. Appendix Table H.1, p.193; Table 5.2, p.89.</t>
  </si>
  <si>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</si>
  <si>
    <t>STED</t>
  </si>
  <si>
    <t>NYC (YAIP)</t>
  </si>
  <si>
    <t>Young Adult Internship Program</t>
  </si>
  <si>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</si>
  <si>
    <t>subsidized internship (14 weeks paid), mentoring, follow-up support (9 months post-internship)</t>
  </si>
  <si>
    <t>July 2013 – March 2014</t>
  </si>
  <si>
    <t>Disconnected youth aged 16-24: out of school, out of work, not in post-secondary education</t>
  </si>
  <si>
    <t>Youth who applied and were deemed eligible by community-based organizations. Must be 16-24, out of school, out of work.</t>
  </si>
  <si>
    <t>Cummings, Farrell, and Skemer (2018), 'Forging a Path: Final Impacts and Costs of New York City's Young Adult Internship Program,' MDRC. Table 2.1 (confirmatory, p. 20), Table 2.2 (employment/earnings by period, p. 22). Cost from p. xv.</t>
  </si>
  <si>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</si>
  <si>
    <t>San Francisco (STEP Forward)</t>
  </si>
  <si>
    <t>STEP Forward</t>
  </si>
  <si>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</si>
  <si>
    <t>subsidized employment (5-month wage reimbursement to private employers), case management</t>
  </si>
  <si>
    <t>Fall 2012 – Spring 2015</t>
  </si>
  <si>
    <t>Low-income adults with employment barriers: CalFresh recipients, timed-out CalWORKs clients, UI exhaustees, needy families, former JOBsNOW! participants. Must have been unemployed in previous 3 months or had no more than 6 months of earned income in past 24 months.</t>
  </si>
  <si>
    <t>Voluntary participants recruited through mass mailings, information sessions at HSA and community organizations, and outreach at Medi-Cal offices. Eligibility screened for recent unemployment/low earnings.</t>
  </si>
  <si>
    <t>Walter, Seboni, and Tso (2017), 'STEP Forward: Implementation and Early Impacts of a Subsidized Employment Program in San Francisco,' MDRC. Table 5.2 (pp. 58-59 of report), Table 3.1 (pp. 28-29 of report).</t>
  </si>
  <si>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</si>
  <si>
    <t>Minnesota</t>
  </si>
  <si>
    <t>Minnesota Subsidized and Transitional Employment</t>
  </si>
  <si>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</si>
  <si>
    <t>subsidized private-sector employment, paid work experience (public/nonprofit), case management</t>
  </si>
  <si>
    <t>November 2014 – June 2016</t>
  </si>
  <si>
    <t>MFIP (Minnesota Family Investment Program) recipients required to participate in employment services</t>
  </si>
  <si>
    <t>MFIP recipients at three workforce centers in Minneapolis–Saint Paul area who were required to participate in employment services. Mandatory participation as condition of welfare benefits.</t>
  </si>
  <si>
    <t>Farrell and Webster (2019), 'Subsidized and Transitional Employment in Minnesota: Findings from the Minnesota Subsidized and Transitional Employment Demonstration,' MDRC. Table 4.2 (pp.31-32 of report), Table 2.1 (pp.15-16 of report).</t>
  </si>
  <si>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</si>
  <si>
    <t>MN</t>
  </si>
  <si>
    <t>LA County (PWE)</t>
  </si>
  <si>
    <t>LA Transitional Subsidized Employment--Paid work</t>
  </si>
  <si>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</si>
  <si>
    <t>subsidized transitional employment (public/nonprofit sector, up to 6 months), GAIN case management, counseling, supportive services (child care, transportation)</t>
  </si>
  <si>
    <t>November 2012 – November 2013</t>
  </si>
  <si>
    <t>TANF recipients participating in GAIN (Greater Avenues for Independence) welfare-to-work program in Los Angeles County</t>
  </si>
  <si>
    <t>TANF recipients in GAIN who were assigned to Worksource Centers participating in the TSE program. Mandatory participation as condition of welfare benefits.</t>
  </si>
  <si>
    <t>annual (cumulative over first year)</t>
  </si>
  <si>
    <t>annual (cumulative over months 19-30)</t>
  </si>
  <si>
    <t>Anderson, Bruns, Bos, and Bolz (2019), 'Subsidized and Transitional Employment in Los Angeles County: Final Impacts and Costs of the LA County Transitional Subsidized Employment Program,' MDRC. Appendix Table B.2 (pp.55-57 of report), Table 1.2 (pp.9-10), Table 3.1 (p.34).</t>
  </si>
  <si>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</si>
  <si>
    <t>LA County (OJT)</t>
  </si>
  <si>
    <t>LA Transitional Subsidized Employment--OJT</t>
  </si>
  <si>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</si>
  <si>
    <t>GAIN case management, counseling, supportive services (child care, transportation), employer retention bonus</t>
  </si>
  <si>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</si>
  <si>
    <t>Chicago (Bridges to Pathways)</t>
  </si>
  <si>
    <t>Bridges to Pathways</t>
  </si>
  <si>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</si>
  <si>
    <t>subsidized internship, mentoring, case management, attendance stipend ($10/day in Phase 1), transportation support</t>
  </si>
  <si>
    <t>June 2015 – July 2016</t>
  </si>
  <si>
    <t>Young men aged 17-21 involved in the criminal or juvenile justice system, lacking a high school credential, in Chicago</t>
  </si>
  <si>
    <t>Voluntary participants recruited from Cook County courts, juvenile detention, probation, and community organizations. Must be male, 17-21, involved in justice system, and lacking HS credential.</t>
  </si>
  <si>
    <t>Wasserman, Bertrand, and Nutter (2019), 'Bridges to Pathways: Results of a Feasibility Study of a Program for Justice-Involved Young Men in Chicago,' MDRC. Table 6.3 (p.71 of report), Table 3.2 (p.30), Table 6.2 (p.69).</t>
  </si>
  <si>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</si>
  <si>
    <t>WorkAdvance</t>
  </si>
  <si>
    <t>Per Scholas (Bronx)</t>
  </si>
  <si>
    <t>Per Scholas</t>
  </si>
  <si>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</si>
  <si>
    <t>Intensive screening, post-placement retention and advancement services</t>
  </si>
  <si>
    <t>June 2011 – June 2013</t>
  </si>
  <si>
    <t>Low-income job seekers interested in IT careers, primarily low-income adults in the South Bronx</t>
  </si>
  <si>
    <t>Intensive screening process: applicants assessed for aptitude, motivation, and fit with IT sector. Per Scholas required GED/HS diploma and 10th-grade reading/math level.</t>
  </si>
  <si>
    <t>annual (Quarters 2-5, UI wage records)</t>
  </si>
  <si>
    <t>annual (Quarters 6-9, UI wage records)</t>
  </si>
  <si>
    <t>annual (calendar year 2018, NDNH)</t>
  </si>
  <si>
    <t>Schaberg and Greenberg (2020), 'A Longer Follow-Up of WorkAdvance: Final Five-Year Impacts of a Sectoral Training and Advancement Strategy,' MDRC. Table 2.1 (p.16) for impacts, Table 1.1 (p.5) for demographics, Table ES.1 (p.ES-2) for provider characteristics. Cost from p.4 (net cost). ST/MT from Hendra et al. (2016), 'Encouraging Evidence on a Sector-Focused Advancement Strategy: Two-Year Impacts from the WorkAdvance Demonstration,' MDRC. Table 5.2 (pp. 124-125) for Year 1 and Year 2 UI wage record impacts.</t>
  </si>
  <si>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</si>
  <si>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3.1 (p.62). Social perspective: pretax earnings $28,661 + fringe benefits $7,159 = $35,820 (2018$, 63-month observation period, 3.5% discount rate). Net social value = $27,535 (observation) or $31,387 (with projection to 7 years).</t>
  </si>
  <si>
    <t>St. Nicks Alliance (Brooklyn)</t>
  </si>
  <si>
    <t>St. Nicks</t>
  </si>
  <si>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</si>
  <si>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Brooklyn interested in environmental remediation careers</t>
  </si>
  <si>
    <t>Intensive screening for aptitude and fit with environmental remediation sector.</t>
  </si>
  <si>
    <t>Schaberg and Greenberg (2020), 'A Longer Follow-Up of WorkAdvance: Final Five-Year Impacts of a Sectoral Training and Advancement Strategy,' MDRC. Table 2.2 (p.20)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</si>
  <si>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</si>
  <si>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3.3 (p.65). Social perspective: pretax earnings $5,197 + fringe benefits $1,298 = $6,495 (2018$, 63-month observation period, 3.5% discount rate). Net social value = -$3,293 (observation) or $13,742 (with projection to ~10 years).</t>
  </si>
  <si>
    <t>Madison Strategies Group (Tulsa)</t>
  </si>
  <si>
    <t>Madison Strategies Group</t>
  </si>
  <si>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</si>
  <si>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Tulsa interested in transportation and manufacturing careers</t>
  </si>
  <si>
    <t>Intensive screening for aptitude and fit with transportation/manufacturing sector.</t>
  </si>
  <si>
    <t>Schaberg and Greenberg (2020), 'A Longer Follow-Up of WorkAdvance: Final Five-Year Impacts of a Sectoral Training and Advancement Strategy,' MDRC. Table 2.3 (p.23)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</si>
  <si>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</si>
  <si>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3.4 (p.66). Social perspective: pretax earnings $19,808 + fringe benefits $4,948 = $24,756 (2018$, 62-month observation period, 3.5% discount rate). Net social value = $13,114 (no projection period).</t>
  </si>
  <si>
    <t>Towards Employment (NE Ohio)</t>
  </si>
  <si>
    <t>Towards Employment</t>
  </si>
  <si>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</si>
  <si>
    <t>Low-income job seekers in NE Ohio interested in health care and manufacturing careers</t>
  </si>
  <si>
    <t>Intensive screening for aptitude and fit with health care/manufacturing sector.</t>
  </si>
  <si>
    <t>Schaberg and Greenberg (2020), 'A Longer Follow-Up of WorkAdvance: Final Five-Year Impacts of a Sectoral Training and Advancement Strategy,' MDRC. Table 2.4 (p.27) for impacts, Table 1.1 (p.5) for demographics, Table ES.1 (p.ES-2) for provider characteristics. ST/MT from Hendra et al. (2016), 'Encouraging Evidence on a Sector-Focused Advancement Strategy: Two-Year Impacts from the WorkAdvance Demonstration,' MDRC. Table 5.2 (pp. 124-125) for Year 1 and Year 2 UI wage record impacts.</t>
  </si>
  <si>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t>
  </si>
  <si>
    <t>Schaberg and Greenberg 2020, Table 3.5 (p.68). Social perspective: pretax earnings $12,638 + fringe benefits $3,157 = $15,795 (2018$, 62-month observation period, 3.5% discount rate). Net social value = $9,202 (no projection period).</t>
  </si>
  <si>
    <t>Sectoral Employment Impact Study</t>
  </si>
  <si>
    <t>WRTP (Milwaukee)</t>
  </si>
  <si>
    <t>WRTP</t>
  </si>
  <si>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</si>
  <si>
    <t>Employer/union network connections, support services through community agencies, certification preparation (CNA, CMA, construction certifications)</t>
  </si>
  <si>
    <t>approximately 2003–2005</t>
  </si>
  <si>
    <t>Low-income workers and job seekers in Milwaukee; 37% formerly incarcerated, 37% ever on welfare</t>
  </si>
  <si>
    <t>WRTP screened applicants for basic skills (6th-10th grade reading level required). 41% of control group received other training services.</t>
  </si>
  <si>
    <t>cumulative over months 1-12 (Year 1, derived by subtraction from NDNH)</t>
  </si>
  <si>
    <t>cumulative over months 13-24 (Year 2)</t>
  </si>
  <si>
    <t>Maguire, Freely, Clymer, Conway, and Schwartz (2010), 'Tuning In to Local Labor Markets: Findings from the Sectoral Employment Impact Study,' Public/Private Ventures. Table 6 (p.21) for impacts, Table 5 (p.19) for baseline demographics. Table 2 (p.10) for training cohorts.</t>
  </si>
  <si>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</si>
  <si>
    <t>JVS-Boston</t>
  </si>
  <si>
    <t>JVS-Boston: intensive 5.2-month occupational skills training (medical assistant, computerized accounting, medical office) in healthcare sector, with strong support services including case management, referrals, and long-term post-graduation follow-up.</t>
  </si>
  <si>
    <t>Case management, referrals to outside agencies, post-graduation job retention support, employer advisory boards</t>
  </si>
  <si>
    <t>Low-income workers and job seekers in Boston; 88% female, 61% ever on welfare, 41% immigrants</t>
  </si>
  <si>
    <t>6th-grade reading level required. Applicants screened for fit with healthcare sector occupations. 41% of control group received other training services (across all sites).</t>
  </si>
  <si>
    <t>Maguire, Freely, Clymer, Conway, and Schwartz (2010), 'Tuning In to Local Labor Markets: Findings from the Sectoral Employment Impact Study,' Public/Private Ventures. Table 13 (p.33) for impacts, Table 12 (p.30) for baseline demographics.</t>
  </si>
  <si>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</si>
  <si>
    <t>MA</t>
  </si>
  <si>
    <t>Per Scholas (Bronx, IT) [SEIS]</t>
  </si>
  <si>
    <t>Per Scholas: 3.6-month computer technician training program in the South Bronx preparing participants for CompTIA A+ certification, with internships and IT sector job placement. Required GED/HS diploma and 10th-grade reading/math level.</t>
  </si>
  <si>
    <t>A+ certification exam preparation and fee ($275), internship placements</t>
  </si>
  <si>
    <t>Low-income job seekers in South Bronx interested in IT careers; 76% male, 50% African American, 41% Latino</t>
  </si>
  <si>
    <t>Required GED or HS diploma and 10th-grade reading/math level. 26% foreign-born. 41% of control group received other training (across all sites).</t>
  </si>
  <si>
    <t>Maguire, Freely, Clymer, Conway, and Schwartz (2010), 'Tuning In to Local Labor Markets: Findings from the Sectoral Employment Impact Study,' Public/Private Ventures. Table 17 (p.42) for impacts, Table 16 (p.39) for baseline demographics.</t>
  </si>
  <si>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</si>
  <si>
    <t>Green Jobs and Health Care</t>
  </si>
  <si>
    <t>AIOIC (Minneapolis)</t>
  </si>
  <si>
    <t>GJHC-AIOIC (Minneapolis)</t>
  </si>
  <si>
    <t>American Indian OIC: health care training (CNA, phlebotomy, medical office) in Minneapolis for primarily low-income, predominantly Black and female population. Includes classroom training, job readiness, and placement assistance.</t>
  </si>
  <si>
    <t>Job readiness, support services</t>
  </si>
  <si>
    <t>August 2011 – May 2013</t>
  </si>
  <si>
    <t>Unemployed and underemployed workers in Minneapolis; 78.8% female, 59.7% Black</t>
  </si>
  <si>
    <t>Not reported</t>
  </si>
  <si>
    <t>cumulative over Q1-Q4 (Year 1, NDNH)</t>
  </si>
  <si>
    <t>cumulative over Q5-Q6 (months 13-18, NDNH)</t>
  </si>
  <si>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</si>
  <si>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</si>
  <si>
    <t>GRCC (Grand Rapids)</t>
  </si>
  <si>
    <t>GJHC-Grand Rapids)</t>
  </si>
  <si>
    <t>Grand Rapids Community College: green jobs and energy-related training (weatherization, HVAC, green construction) in Grand Rapids, MI. Includes classroom training and job placement.</t>
  </si>
  <si>
    <t>Support services</t>
  </si>
  <si>
    <t>August 2011 – April 2012</t>
  </si>
  <si>
    <t>Unemployed and underemployed workers in Grand Rapids; 68.2% male, 35.8% Black, 56% White</t>
  </si>
  <si>
    <t>Martinson, Stanczyk, and Eyster (2016), 'The Green Jobs and Health Care Impact Evaluation: Findings from the Impact Study of Four Training Programs for Unemployed and Underemployed Workers,' Abt Associates for ACF/OPRE. Exhibit 4.9 for impacts, Exhibit 4.3 for baseline demographics.</t>
  </si>
  <si>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</si>
  <si>
    <t>KCCD (Bakersfield)</t>
  </si>
  <si>
    <t>GJHC-KCCD (Bakersfield)</t>
  </si>
  <si>
    <t>Kern Community College District: green jobs training (solar installation, energy efficiency, HVAC) in Bakersfield, CA. Includes classroom training, certification preparation, and job placement.</t>
  </si>
  <si>
    <t>Support services, certification preparation</t>
  </si>
  <si>
    <t>Unemployed and underemployed workers in Bakersfield; ~90% male, ~45% Hispanic, 72.9% White</t>
  </si>
  <si>
    <t>Martinson, Stanczyk, and Eyster (2016), 'The Green Jobs and Health Care Impact Evaluation: Findings from the Impact Study of Four Training Programs for Unemployed and Underemployed Workers,' Abt Associates for ACF/OPRE. Exhibit 5.9 for impacts, Exhibit 5.3 for baseline demographics.</t>
  </si>
  <si>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</si>
  <si>
    <t>NCTC (Gainesville, TX)</t>
  </si>
  <si>
    <t>GJHC-Gainesville, TX)</t>
  </si>
  <si>
    <t>North Central Texas College: health care training (CNA, pharmacy tech, phlebotomy) in Gainesville, TX. Includes classroom training and job placement in health care sector.</t>
  </si>
  <si>
    <t>July 2011 – April 2013</t>
  </si>
  <si>
    <t>Unemployed and underemployed workers in North Central Texas; 85.1% female, 69.1% White</t>
  </si>
  <si>
    <t>Martinson, Stanczyk, and Eyster (2016), 'The Green Jobs and Health Care Impact Evaluation: Findings from the Impact Study of Four Training Programs for Unemployed and Underemployed Workers,' Abt Associates for ACF/OPRE. Exhibit 6.10 for impacts, Exhibit 6.3 for baseline demographics.</t>
  </si>
  <si>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</si>
  <si>
    <t>AFDC Homemaker-Home Health Aide Demonstrations</t>
  </si>
  <si>
    <t>Arkansas</t>
  </si>
  <si>
    <t>AFDC Homemaker-Home Health Aide-AR</t>
  </si>
  <si>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</si>
  <si>
    <t>Subsidized employment (up to 12 months at market wages, paid by demonstrations)</t>
  </si>
  <si>
    <t>January 1983 – June 1986</t>
  </si>
  <si>
    <t>AFDC recipients (female heads of household)</t>
  </si>
  <si>
    <t>Volunteers from AFDC caseload who met eligibility criteria (continuous AFDC receipt for 3+ months, not currently employed as HHA). Demonstration staff screened applicants for potential as homemaker-home health aides.</t>
  </si>
  <si>
    <t>self-report (survey) and staff records</t>
  </si>
  <si>
    <t>monthly (December 1984 dollars)</t>
  </si>
  <si>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</si>
  <si>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</si>
  <si>
    <t>Bell and Orr 1994, Table 3 (pp.56-57). Total gross social benefit = Row 1a (post-demonstration earnings, 7% decay/discount) + Row 2 (value of output during subsidized employment) = 9,679 + 4,771 = 14,450 (1984$). Net social benefit (6a, 7% discount, 25% leisure value) shown in same table.</t>
  </si>
  <si>
    <t>AR</t>
  </si>
  <si>
    <t>Kentucky</t>
  </si>
  <si>
    <t>AFDC Homemaker-Home Health Aide-KY</t>
  </si>
  <si>
    <t>February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</si>
  <si>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</si>
  <si>
    <t>Bell and Orr 1994, Table 3 (pp.56-57). Total gross social benefit = Row 1a (post-demonstration earnings, 7% decay/discount) + Row 2 (value of output during subsidized employment) = 9,539 + 7,550 = 17,089 (1984$). Net social benefit (6a, 7% discount, 25% leisure value) shown in same table.</t>
  </si>
  <si>
    <t>KY</t>
  </si>
  <si>
    <t>New Jersey</t>
  </si>
  <si>
    <t>AFDC Homemaker-Home Health Aide-NJ</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</si>
  <si>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</si>
  <si>
    <t>Bell and Orr 1994, Table 3 (pp.56-57). Total gross social benefit = Row 1a (post-demonstration earnings, 7% decay/discount) + Row 2 (value of output during subsidized employment) = 18,962 + 9,393 = 28,355 (1984$). Net social benefit (6a, 7% discount, 25% leisure value) shown in same table.</t>
  </si>
  <si>
    <t>NJ</t>
  </si>
  <si>
    <t>New York</t>
  </si>
  <si>
    <t>AFDC Homemaker-Home Health Aide-NY</t>
  </si>
  <si>
    <t>August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</si>
  <si>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</si>
  <si>
    <t>Bell and Orr 1994, Table 3 (pp.56-57). Total gross social benefit = Row 1a (post-demonstration earnings, 7% decay/discount) + Row 2 (value of output during subsidized employment) = 2,181 + 1,114 = 3,295 (1984$). Net social benefit (6a, 7% discount, 25% leisure value) shown in same table.</t>
  </si>
  <si>
    <t>Ohio</t>
  </si>
  <si>
    <t>AFDC Homemaker-Home Health Aide-OH</t>
  </si>
  <si>
    <t>March 1983 – June 1986</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</si>
  <si>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</si>
  <si>
    <t>Bell and Orr 1994, Table 3 (pp.56-57). Total gross social benefit = Row 1a (post-demonstration earnings, 7% decay/discount) + Row 2 (value of output during subsidized employment) = 14,861 + 8,515 = 23,376 (1984$). Net social benefit (6a, 7% discount, 25% leisure value) shown in same table.</t>
  </si>
  <si>
    <t>South Carolina</t>
  </si>
  <si>
    <t>AFDC Homemaker-Home Health Aide-SC</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</si>
  <si>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</si>
  <si>
    <t>Bell and Orr 1994, Table 3 (pp.56-57). Total gross social benefit = Row 1a (post-demonstration earnings, 7% decay/discount) + Row 2 (value of output during subsidized employment) = 4,624 + 12,643 = 17,267 (1984$). Net social benefit (6a, 7% discount, 25% leisure value) shown in same table.</t>
  </si>
  <si>
    <t>SC</t>
  </si>
  <si>
    <t>Texas</t>
  </si>
  <si>
    <t>AFDC Homemaker-Home Health Aide-TX</t>
  </si>
  <si>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</si>
  <si>
    <t>Bell and Orr 1994, Table 3 (pp.56-57). Total gross social benefit = Row 1a (post-demonstration earnings, 7% decay/discount) + Row 2 (value of output during subsidized employment) = 10,353 + 8,383 = 18,736 (1984$). Net social benefit (6a, 7% discount, 25% leisure value) shown in same table.</t>
  </si>
  <si>
    <t>Minority Female Single Parent Demonstration</t>
  </si>
  <si>
    <t>AUL (Atlanta Urban League)</t>
  </si>
  <si>
    <t>MFSPD-Urban League)</t>
  </si>
  <si>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</si>
  <si>
    <t>Child care assistance, counseling, remedial education (basic skills)</t>
  </si>
  <si>
    <t>November 1984 – December 1987</t>
  </si>
  <si>
    <t>Low-income minority single mothers</t>
  </si>
  <si>
    <t>Volunteers: minority single mothers who applied for training at CBOs. Over two-thirds had received welfare in the year prior to applying.</t>
  </si>
  <si>
    <t>monthly (1986 dollars)</t>
  </si>
  <si>
    <t>Burghardt, Rangarajan, Gordon, and Kisker (1992), 'Evaluation of the Minority Female Single Parent Demonstration, Volume I: Summary Report,' Mathematica Policy Research. Table IV.1 (p.22) for employment and earnings impacts; Table VI.1 (pp.48-49) for costs; Table III.1 (p.14) for demographics.</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</si>
  <si>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</si>
  <si>
    <t>CET (Center for Employment Training)</t>
  </si>
  <si>
    <t>MFSPD-Employment Training)</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</si>
  <si>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</si>
  <si>
    <t>OIC (Opportunities Industrialization Center)</t>
  </si>
  <si>
    <t>MFSPD-Industrialization Center)</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</si>
  <si>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</si>
  <si>
    <t>WOW (Wider Opportunities for Women)</t>
  </si>
  <si>
    <t>MFSPD-For Women)</t>
  </si>
  <si>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</si>
  <si>
    <t>DC</t>
  </si>
  <si>
    <t>CET Replication</t>
  </si>
  <si>
    <t>High-fidelity sites</t>
  </si>
  <si>
    <t>CETR-Fidelity sites</t>
  </si>
  <si>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</si>
  <si>
    <t>Integrated remedial education, job placement assistance, support services</t>
  </si>
  <si>
    <t>1995 – 1999</t>
  </si>
  <si>
    <t>Economically disadvantaged out-of-school youth, ages 16-21</t>
  </si>
  <si>
    <t>Volunteers: out-of-school youth ages 16-21 who applied to CET replication sites. Extensive preenrollment orientation designed to screen out less-motivated applicants (return visits over 2-5 consecutive days required). JTPA definition of 'economically disadvantaged.'</t>
  </si>
  <si>
    <t>annual (nominal dollars)</t>
  </si>
  <si>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</si>
  <si>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t>
  </si>
  <si>
    <t>Medium/low-fidelity sites</t>
  </si>
  <si>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t>
  </si>
  <si>
    <t>Baltimore Options Program</t>
  </si>
  <si>
    <t>AFDC applicants and recipients</t>
  </si>
  <si>
    <t>BOP-And recipients</t>
  </si>
  <si>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</si>
  <si>
    <t>Work experience (~20% of registrants), $30/week stipend</t>
  </si>
  <si>
    <t>November 1982 – December 1983</t>
  </si>
  <si>
    <t>AFDC applicants and recipients (mandatory WIN registrants)</t>
  </si>
  <si>
    <t>All WIN-mandatory AFDC applicants and recipients in Baltimore; no additional screening beyond welfare eligibility and WIN registration.</t>
  </si>
  <si>
    <t>cumulative over quarters 2-5 (nominal dollars)</t>
  </si>
  <si>
    <t>cumulative over quarters 2-8 (nominal dollars)</t>
  </si>
  <si>
    <t>Friedlander et al. (1985), 'Maryland: Final Report on the Employment Initiatives Evaluation,' MDRC. Table 5.1 (pp.107-109) for Q2-5 impacts; Table 5.3 (pp.117-119) for Q2-8 impacts; Table 2.2 (pp.33-35) for demographics; Executive summary (p.xxxv) for cost.</t>
  </si>
  <si>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</si>
  <si>
    <t>MD</t>
  </si>
  <si>
    <t>Maine TOPS</t>
  </si>
  <si>
    <t>Maine</t>
  </si>
  <si>
    <t>Maine TOPS-Maine</t>
  </si>
  <si>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</si>
  <si>
    <t>OJT wage subsidies (50% of new employee's wages), JTPA-funded services</t>
  </si>
  <si>
    <t>1983 – 1984 (15-month enrollment period)</t>
  </si>
  <si>
    <t>AFDC recipients in Maine (female, long-term welfare recipients)</t>
  </si>
  <si>
    <t>Volunteers from AFDC caseload recruited by WEET staff; staff screened applicants for suitability. Small sample reflects staff selectivity and limited interest among AFDC recipients. 2:1 T:C randomization ratio.</t>
  </si>
  <si>
    <t>cumulative over quarters 2-6 (1985 dollars)</t>
  </si>
  <si>
    <t>cumulative over quarters 7-11 (1985 dollars)</t>
  </si>
  <si>
    <t>Auspos, Cave, and Long (1988), 'Maine: Final Report on the Training Opportunities in the Private Sector Program,' MDRC. Table 1 (exec summary pp.xix-xx) for impacts; exec summary pp.xvii-xviii for earnings text; Table 2.3 (pp.24-25) for demographics; exec summary p.xxvi for cost.</t>
  </si>
  <si>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</si>
  <si>
    <t>ME</t>
  </si>
  <si>
    <t>New Jersey Grant Diversion</t>
  </si>
  <si>
    <t>NJGD-New Jersey</t>
  </si>
  <si>
    <t>On-the-job training (OJT) program using grant diversion: AFDC grants were diverted to subsidize wages for OJT positions at private employers. Approximately 43% of experimentals worked in an OJT position. Both groups had access to standard WIN/JTPA services.</t>
  </si>
  <si>
    <t>AFDC grant diversion mechanism (welfare grants redirected to subsidize OJT wages)</t>
  </si>
  <si>
    <t>October 1984 – June 1986</t>
  </si>
  <si>
    <t>AFDC recipients</t>
  </si>
  <si>
    <t>Volunteers from AFDC caseload. Almost entirely Black and Hispanic single mothers. 60% had HS diploma or GED.</t>
  </si>
  <si>
    <t>cumulative over quarters 1-4 (1986 dollars)</t>
  </si>
  <si>
    <t>cumulative over quarters 5-7 (1986 dollars)</t>
  </si>
  <si>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</si>
  <si>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</si>
  <si>
    <t>Virginia Employment Services Program</t>
  </si>
  <si>
    <t>Virginia (statewide)</t>
  </si>
  <si>
    <t>VESP-Virginia (statewide)</t>
  </si>
  <si>
    <t>Statewide mandatory welfare employment program (ESP) emphasizing job search as the primary activity (~50% participated). Also included work experience (~10%) and education/vocational training referrals (~12%). Training referrals did not differ between experimental and control groups.</t>
  </si>
  <si>
    <t>Work experience (~10%)</t>
  </si>
  <si>
    <t>1983 – 1984</t>
  </si>
  <si>
    <t>All WIN-mandatory AFDC applicants (40%) and recipients (60%) statewide.</t>
  </si>
  <si>
    <t>cumulative over quarters 2-4 (nominal dollars)</t>
  </si>
  <si>
    <t>Riccio et al. (1986), 'Virginia: Final Report on the Virginia Employment Services Program,' MDRC. Table 1 (exec summary p.11) for impacts; Table 2 (p.12) for subgroup impacts; exec summary for demographics and cost.</t>
  </si>
  <si>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</si>
  <si>
    <t>VA</t>
  </si>
  <si>
    <t>Project QUEST</t>
  </si>
  <si>
    <t>San Antonio</t>
  </si>
  <si>
    <t>QUEST</t>
  </si>
  <si>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</si>
  <si>
    <t>Financial assistance (tuition, books, transportation, certification exams), remedial education, academic/personal counseling, support service referrals, life skills workshops</t>
  </si>
  <si>
    <t>April 2006 – October 2008</t>
  </si>
  <si>
    <t>Low-income adults pursuing healthcare careers</t>
  </si>
  <si>
    <t>Thorough screening by QUEST staff: applicants evaluated for eligibility, aptitudes, and interests; developed academic and budget plans; staff recommended for enrollment after interview. Only recommended applicants submitted for random assignment.</t>
  </si>
  <si>
    <t>Texas Workforce Commission UI wage records</t>
  </si>
  <si>
    <t>annual (constant 2019 dollars)</t>
  </si>
  <si>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</si>
  <si>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t>
  </si>
  <si>
    <t>Roder and Elliott 2021, Table 2 (p.17). Net earnings benefit = $31,395 (2019$, 11-year cumulative, not discounted). Net costs = $13,979 (QUEST program + differential college costs). Net benefit = $17,416. Fringe benefits not quantified but noted as additional.</t>
  </si>
  <si>
    <t>WIA Gold Standard</t>
  </si>
  <si>
    <t>Adults</t>
  </si>
  <si>
    <t>WIA-Adult</t>
  </si>
  <si>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</si>
  <si>
    <t>Intensive services (assessments, counseling), supportive services (transportation assistance)</t>
  </si>
  <si>
    <t>2011 – 2013</t>
  </si>
  <si>
    <t>WIA Adult program customers eligible for intensive services</t>
  </si>
  <si>
    <t>Customers who had been found eligible for intensive services at American Job Centers, many of whom were unsuccessful in finding jobs with core services alone. More disadvantaged than typical WIA customers.</t>
  </si>
  <si>
    <t>National Directory of New Hires (NDNH)</t>
  </si>
  <si>
    <t>quarterly</t>
  </si>
  <si>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</si>
  <si>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point estimates negative or null: training access did not improve NDNH earnings or employment for adults. N: F=18,558, C&amp;I=1,214 (NDNH full sample, not restricted to survey respondents). Cost: net cost $980 per customer = Full-WIA ($4,111) minus Core ($3,131) from Table VIII.1 (2012 dollars); C&amp;I cost not separately reported so F-C differential used as approximation.</t>
  </si>
  <si>
    <t>Fortson et al. 2017, Table VIII.7 (p.165). Social perspective, Full-WIA vs Core: earnings $5,100 + fringe benefits $1,560 = $6,660 (2012$, 30-month). Net social benefit = $5,808.</t>
  </si>
  <si>
    <t>Dislocated Workers</t>
  </si>
  <si>
    <t>WIA-Dislocated</t>
  </si>
  <si>
    <t>Full WIA services (core + intensive + training) vs core-and-intensive services. Same intervention structure as WIA Adults but targeting dislocated workers. The key difference is WIA-funded occupational training.</t>
  </si>
  <si>
    <t>WIA Dislocated Worker program customers eligible for intensive services</t>
  </si>
  <si>
    <t>Dislocated workers who had been found eligible for intensive services at American Job Centers. More educated and with more recent work experience than adult customers.</t>
  </si>
  <si>
    <t>Rotz et al. (2017), Technical Supplement. Table H.VI.1 (NDNH earnings, dislocated workers), Table H.VI.2 (NDNH employment, dislocated workers). Fortson et al. (2017), main report, for demographics, cost, and training enrollment rates.</t>
  </si>
  <si>
    <t>NDNH quarterly earnings and employment in 2012 dollars. Three-arm design: Full-WIA vs Core-and-Intensive vs Core. Reported comparison is Full-WIA vs Core-and-Intensive (F-C&amp;I), isolating effect of WIA-funded training. Earnings: Q4, Q8, Q12 mapped to ST, MT, LT. Employment: average of quarterly F-C&amp;I impacts over Q1-4, Q5-8, Q9-12 mapped to ST, MT, LT; SEs not computed for averaged employment. All earnings impacts positive but none significant. N: F=11,152, C&amp;I=820 (NDNH full sample). Cost: net cost $980 per customer (same as adults — costs reported for all customers combined). DW were more educated and had more recent work history than adults.</t>
  </si>
  <si>
    <t>Fortson et al. 2017, Table VIII.7 (p.165). Social perspective, Full-WIA vs Core: earnings $932 + fringe benefits $285 = $1,217 (2012$, 30-month). Net social benefit = $92.</t>
  </si>
  <si>
    <t>Employment Retention and Advancement (ERA)</t>
  </si>
  <si>
    <t>Chicago</t>
  </si>
  <si>
    <t>ERA-Chicago</t>
  </si>
  <si>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</si>
  <si>
    <t>Career counseling, career ladder identification, employer outreach</t>
  </si>
  <si>
    <t>June 2002 – June 2003</t>
  </si>
  <si>
    <t>TANF recipients employed at least 30 hours/week for at least 6 consecutive months</t>
  </si>
  <si>
    <t>TANF recipients meeting employment threshold</t>
  </si>
  <si>
    <t>Hendra, Dillman, Hamilton, Lundquist, Martinson, and Wavelet 2010 (MDRC), How Effective Are Different Approaches Aiming to Increase Employment Retention and Advancement?, Appendix Table B.2 (pp. 309-310); Table 4.2 (p. 110).</t>
  </si>
  <si>
    <t>Employment impact is average quarterly employment (percentage points). Year 1 = Q2-Q5 after RA. Cost data in separate publication (Redcross, Deitch, and Farrell 2009).</t>
  </si>
  <si>
    <t>Redcross, Deitch, and Farrell 2010, Table 5.1 (p.75). Social perspective: net earnings and fringe benefits = $2,566 (2008$, 5-year NPV at 5% discount rate). Net social value = $822.</t>
  </si>
  <si>
    <t>Los Angeles RFS</t>
  </si>
  <si>
    <t>ERA-LA</t>
  </si>
  <si>
    <t>Voluntary, intensely marketed, individualized retention and advancement program; administered by welfare agency staff. Included individualized career plans, retention services, and referrals to education and training (Hendra et al. 2010, Table 1.1, p. 3).</t>
  </si>
  <si>
    <t>Individualized retention services, career planning</t>
  </si>
  <si>
    <t>July 2002 – June 2004</t>
  </si>
  <si>
    <t>TANF recipients employed at least 32 hours/week for at least 30 days</t>
  </si>
  <si>
    <t>Hendra, Dillman, Hamilton, Lundquist, Martinson, and Wavelet 2010 (MDRC), How Effective Are Different Approaches Aiming to Increase Employment Retention and Advancement?, Appendix Table B.9 (p. 323); Table 4.2 (p. 110).</t>
  </si>
  <si>
    <t>3-year follow-up only. Employment = avg quarterly employment (pp). All earnings/employment impacts statistically insignificant.</t>
  </si>
  <si>
    <t>No B-C analysis. Redcross, Deitch, and Farrell 2010 covers only Texas, Chicago, and Riverside PASS. No B-C for Los Angeles RFS.</t>
  </si>
  <si>
    <t>Riverside Training Focused</t>
  </si>
  <si>
    <t>ERA-Riverside-Training</t>
  </si>
  <si>
    <t>Education/training-focused advancement program with flexibility to reduce or eliminate required work hours if participating in education or training; operated by workforce agency. Services started September 2000 (Hendra et al. 2010, Table 1.1, p. 3; text p. 137).</t>
  </si>
  <si>
    <t>Reduced work requirements for education/training participation</t>
  </si>
  <si>
    <t>January 2001 – October 2003</t>
  </si>
  <si>
    <t>TANF recipients employed at least 20 hours/week for at least 30 days</t>
  </si>
  <si>
    <t>Hendra, Dillman, Hamilton, Lundquist, Martinson, and Wavelet 2010 (MDRC), How Effective Are Different Approaches Aiming to Increase Employment Retention and Advancement?, Appendix Table B.13 (pp. 331-332); Table 4.2 (p. 110).</t>
  </si>
  <si>
    <t>Three-arm design: Training Focused vs Work Plus vs Control. Negative Year 1 employment suggests lock-in from training participation. Demographics are for Riverside Phase 2 combined.</t>
  </si>
  <si>
    <t>No B-C analysis. Redcross, Deitch, and Farrell 2010 covers only Texas, Chicago, and Riverside PASS. No B-C for Riverside Training Focused.</t>
  </si>
  <si>
    <t>Riverside Work Plus</t>
  </si>
  <si>
    <t>ERA-Riverside-Work Plus</t>
  </si>
  <si>
    <t>Education/training-focused advancement program with less flexibility (compared to Training Focused) to reduce or eliminate required work hours if participating in education or training; operated by county welfare agency. Program started January 1998 (Hendra et al. 2010, Table 1.1, p. 3).</t>
  </si>
  <si>
    <t>Less flexibility than Training Focused for reduced work hours during training</t>
  </si>
  <si>
    <t>Three-arm design: shares control group with Training Focused. Demographics for Riverside Phase 2 combined. Consistently negative impacts across all horizons.</t>
  </si>
  <si>
    <t>No B-C analysis. Redcross, Deitch, and Farrell 2010 covers only Texas, Chicago, and Riverside PASS. No B-C for Riverside Work Plus.</t>
  </si>
  <si>
    <t>Cleveland (Achieve)</t>
  </si>
  <si>
    <t>ERA-Cleveland</t>
  </si>
  <si>
    <t>Voluntary, employer-based employment retention program, including ongoing staff-client relationships, weekly peer support groups, and supervisory trainings; provided by a community-based organization (Hendra et al. 2010, Table 1.1, p. 4).</t>
  </si>
  <si>
    <t>Peer support groups, supervisory trainings, employer-based retention services</t>
  </si>
  <si>
    <t>September 2002 – February 2004</t>
  </si>
  <si>
    <t>Low-wage workers (&lt;$13/hr) at specific employers, hired within past 6 months</t>
  </si>
  <si>
    <t>Workers at 42 long-term care firms and 2 manufacturing firms</t>
  </si>
  <si>
    <t>Hendra, Dillman, Hamilton, Lundquist, Martinson, and Wavelet 2010 (MDRC), How Effective Are Different Approaches Aiming to Increase Employment Retention and Advancement?, Appendix Table C.2 (p. 359); Table 5.2 (p. 160).</t>
  </si>
  <si>
    <t>Employer-based randomization (firms assigned, then workers within firms). Small sample (n=697). 3-year follow-up. High control group earnings (~$15K/yr) reflect employed population. No significant impacts.</t>
  </si>
  <si>
    <t>No B-C analysis. Redcross, Deitch, and Farrell 2010 covers only Texas, Chicago, and Riverside PASS. No B-C for Cleveland (Achieve).</t>
  </si>
  <si>
    <t>Eugene, OR</t>
  </si>
  <si>
    <t>ERA-Eugene</t>
  </si>
  <si>
    <t>Voluntary, individualized program, including career counseling and service referrals; provided through a welfare agency partnership with a community college and WIA contractor (Hendra et al. 2010, Table 1.1, p. 4).</t>
  </si>
  <si>
    <t>Career counseling, service referrals, community college partnership</t>
  </si>
  <si>
    <t>2001 – 2003 (approximate)</t>
  </si>
  <si>
    <t>Employed individuals who had left TANF within the year, working &gt;20 hours/week</t>
  </si>
  <si>
    <t>Former TANF recipients recently employed</t>
  </si>
  <si>
    <t>Hendra, Dillman, Hamilton, Lundquist, Martinson, and Wavelet 2010 (MDRC), How Effective Are Different Approaches Aiming to Increase Employment Retention and Advancement?, Appendix Table C.6 (p. 366); Table 5.2 (p. 160).</t>
  </si>
  <si>
    <t>3-year follow-up. Negative Year 3 employment impact (-6.5***, p=0.008) is notable — ERA appears to have harmed employment retention relative to control.</t>
  </si>
  <si>
    <t>No B-C analysis. Redcross, Deitch, and Farrell 2010 covers only Texas, Chicago, and Riverside PASS. No B-C for Eugene, OR.</t>
  </si>
  <si>
    <t>Medford, OR</t>
  </si>
  <si>
    <t>ERA-Medford</t>
  </si>
  <si>
    <t>Voluntary, individualized retention and advancement program, including career counseling and service referrals; provided through a welfare agency partnership with a nonprofit employment service provider (Hendra et al. 2010, Table 1.1, p. 4).</t>
  </si>
  <si>
    <t>Career counseling, service referrals, nonprofit provider partnership</t>
  </si>
  <si>
    <t>Employed former TANF recipients or Food Stamp E&amp;T program participants</t>
  </si>
  <si>
    <t>Former welfare recipients currently employed</t>
  </si>
  <si>
    <t>Hendra, Dillman, Hamilton, Lundquist, Martinson, and Wavelet 2010 (MDRC), How Effective Are Different Approaches Aiming to Increase Employment Retention and Advancement?, Appendix Table C.10 (p. 374); Table 5.2 (p. 160).</t>
  </si>
  <si>
    <t>3-year follow-up. Consistently negative earnings impacts though none statistically significant. High control group earnings (~$10K/yr) reflect already-employed population.</t>
  </si>
  <si>
    <t>No B-C analysis. Redcross, Deitch, and Farrell 2010 covers only Texas, Chicago, and Riverside PASS. No B-C for Medford, OR.</t>
  </si>
  <si>
    <t>Riverside PASS</t>
  </si>
  <si>
    <t>ERA-Riverside-PASS</t>
  </si>
  <si>
    <t>Voluntary, marketed, individualized retention and advancement program; provided primarily by three community-based organizations and a community college (Hendra et al. 2010, Table 1.1, p. 4).</t>
  </si>
  <si>
    <t>Community college partnership, individualized advancement services</t>
  </si>
  <si>
    <t>Employed former TANF recipients</t>
  </si>
  <si>
    <t>Former TANF recipients currently employed</t>
  </si>
  <si>
    <t>Hendra, Dillman, Hamilton, Lundquist, Martinson, and Wavelet 2010 (MDRC), How Effective Are Different Approaches Aiming to Increase Employment Retention and Advancement?, Appendix Table C.14 (pp. 383-384); Table 5.2 (p. 160).</t>
  </si>
  <si>
    <t>One of three ERA sites with positive economic impacts. Largest effects in Year 4 ($967**, p=0.032), suggesting durable gains. 4-year follow-up. Net cost ($1,031 in 2008$) from Redcross, Deitch, and Farrell 2010, Table 4.5: gross program=$3,890, gross control=$2,858.</t>
  </si>
  <si>
    <t>Redcross, Deitch, and Farrell 2010, Table 5.1 (p.75). Social perspective: net earnings and fringe benefits = $5,082 (2008$, 5-year NPV at 5% discount rate). Net social value = $4,125.</t>
  </si>
  <si>
    <t>TJRD</t>
  </si>
  <si>
    <t>Chicago (Safer Foundation)</t>
  </si>
  <si>
    <t>TJRD-Safer Foundation)</t>
  </si>
  <si>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</si>
  <si>
    <t>transitional/subsidized employment, case management, support services</t>
  </si>
  <si>
    <t>January 2007 – September 2008</t>
  </si>
  <si>
    <t>Recently released prisoners under parole supervision</t>
  </si>
  <si>
    <t>Referred by parole agencies; voluntary enrollment</t>
  </si>
  <si>
    <t>Redcross, Bloom, Jacobs, Manno, Muller-Ravett, Seefeldt, Yahner, Young, and Zweig 2010 (MDRC), Work After Prison: One-Year Findings from the Transitional Jobs Reentry Demonstration, Table 5.2 (impacts), Table 2.2 (demographics), Table 7.2 (costs)</t>
  </si>
  <si>
    <t>Unsubsidized employment and earnings used (excluding transitional job itself). Negative Year 1 impacts reflect lock-in/substitution: TJ group in subsidized jobs rather than searching for regular work. Cost in 2008 dollars, gross per TJ group member.</t>
  </si>
  <si>
    <t>Detroit (Goodwill Industries)</t>
  </si>
  <si>
    <t>TJRD-Goodwill Industries)</t>
  </si>
  <si>
    <t>Unsubsidized employment/earnings used. Detroit was only site where TJ group had slightly higher unsubsidized employment (not significant). Very weak local economy during follow-up. Cost in 2008 dollars.</t>
  </si>
  <si>
    <t>Milwaukee (New Hope Project)</t>
  </si>
  <si>
    <t>TJRD-Hope Project)</t>
  </si>
  <si>
    <t>Unsubsidized employment/earnings used. Negative emp impact reflects substitution/lock-in. Cost in 2008 dollars.</t>
  </si>
  <si>
    <t>St. Paul (Goodwill/Easter Seals)</t>
  </si>
  <si>
    <t>TJRD-Easter Seals)</t>
  </si>
  <si>
    <t>Redcross, Bloom, Jacobs, Manno, Muller-Ravett, Seefeldt, Yahner, Young, and Zweig 2010 (MDRC), Work After Prison: One-Year Findings from the Transitional Jobs Reentry Demonstration, Table 5.2 (impacts, footnote a for SEs), Table 2.2 (demographics), Table 7.2 (costs)</t>
  </si>
  <si>
    <t>Unsubsidized employment/earnings used. Large negative impacts: strongest lock-in/substitution among all sites — JS group had high unsubsidized employment (74.5%), suggesting strong local labor market and/or effective job search program. Cost in 2008 dollars.</t>
  </si>
  <si>
    <t>CEO</t>
  </si>
  <si>
    <t>CEO-York City</t>
  </si>
  <si>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</si>
  <si>
    <t>transitional/subsidized employment, life skills class, fatherhood program</t>
  </si>
  <si>
    <t>January 2004 – October 2005</t>
  </si>
  <si>
    <t>Recently released prisoners on parole in New York City</t>
  </si>
  <si>
    <t>Referred by parole officers; enrolled at CEO intake Fridays</t>
  </si>
  <si>
    <t>UI wage records and NDNH</t>
  </si>
  <si>
    <t>cumulative over Years 2-3 (8 quarters)</t>
  </si>
  <si>
    <t>Redcross, Millenky, Rudd, and Levshin 2012 (MDRC), More Than a Job: Final Results from the Evaluation of the Center for Employment Opportunities (CEO) Transitional Jobs Program (OPRE Report 2011-18), Table 3.1 (impacts), Table 1.1 (demographics), Table 4.1 (costs)</t>
  </si>
  <si>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</si>
  <si>
    <t>Enhanced Services for the Hard-to-Employ</t>
  </si>
  <si>
    <t>TWC (Transitional Work Corporation)</t>
  </si>
  <si>
    <t>ESHE-Work Corporation)</t>
  </si>
  <si>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</si>
  <si>
    <t>transitional/subsidized employment, retention bonuses, GED prep</t>
  </si>
  <si>
    <t>October 2004 – May 2006</t>
  </si>
  <si>
    <t>Hard-to-employ TANF recipients (12+ months on TANF or no HS diploma/GED), not currently employed</t>
  </si>
  <si>
    <t>TANF recipients meeting hard-to-employ criteria at 4 Philadelphia welfare offices</t>
  </si>
  <si>
    <t>Jacobs and Bloom 2011 (MDRC), Alternative Employment Strategies for Hard-to-Employ TANF Recipients: Final Results from a Test of Transitional Jobs and Preemployment Services in Philadelphia (OPRE Report 2011-19), Appendix Table B.1 (quarterly impacts), Table 1.1 (demographics), p. 52 (costs)</t>
  </si>
  <si>
    <t>Three-arm study: TWC, STEP, and shared control group. Quarterly unsubsidized employment and earnings from Appendix Table B.1. Early positive impacts on unsubsidized employment (Quarters 2-5) faded by Year 2. 4-year cumulative: no impact on unsubsidized quarters employed (0.0, p=0.998) or earnings (-$239, p=0.850). Nearly all female (single mothers on TANF). Cost ~$3,500 per TWC group member (from 18-month report, p. 52).</t>
  </si>
  <si>
    <t>No B-C analysis in Jacobs and Bloom 2011 (MDRC). Report covers implementation, impacts, and costs but no formal benefit-cost analysis.</t>
  </si>
  <si>
    <t>STEP (Success Through Employment Preparation)</t>
  </si>
  <si>
    <t>ESHE-Employment Preparation)</t>
  </si>
  <si>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</si>
  <si>
    <t>barrier assessment, counseling, behavioral health services, home visits</t>
  </si>
  <si>
    <t>Jacobs and Bloom 2011 (MDRC), Alternative Employment Strategies for Hard-to-Employ TANF Recipients: Final Results from a Test of Transitional Jobs and Preemployment Services in Philadelphia (OPRE Report 2011-19), Appendix Table B.2 (quarterly impacts), Table 1.1 (demographics)</t>
  </si>
  <si>
    <t>Three-arm study: STEP shares control group with TWC. STEP was developed specifically for this study (not a pre-existing program). No significant impacts on employment or earnings at any horizon. Participation was low: only about half participated intensively (p. ES-8). Nearly all female (single mothers on TANF). LT employment impact is exactly 0.0 (p=0.988) — SE not computable. STEP cost not reported separately in this report.</t>
  </si>
  <si>
    <t>Transitional Employment Training Demonstration (TETD)</t>
  </si>
  <si>
    <t>Pooled (8 agencies)</t>
  </si>
  <si>
    <t>TETDTETD-Pooled (8 agencies)</t>
  </si>
  <si>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</si>
  <si>
    <t>Transitional subsidized employment, follow-along job support</t>
  </si>
  <si>
    <t>1985-1987</t>
  </si>
  <si>
    <t>SSI recipients with mental retardation, ages 18-40</t>
  </si>
  <si>
    <t>Screened from ~13,000 eligible SSI recipients; invitation letters sent, enrollment voluntary</t>
  </si>
  <si>
    <t>SSA Supplemental Security Records</t>
  </si>
  <si>
    <t>Decker and Thornton 1995 (Social Security Bulletin 58(4)). Table 1 (p.73): demographics. Table 2 (p.76): earnings impacts. Table 3 (p.77): employment impacts.</t>
  </si>
  <si>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t>
  </si>
  <si>
    <t>No B-C analysis in Decker and Thornton 1995 (Social Security Bulletin). The 11-page journal article presents long-term impacts but no benefit-cost framework.</t>
  </si>
  <si>
    <t>New Chance</t>
  </si>
  <si>
    <t>Pooled (16 sites)</t>
  </si>
  <si>
    <t>NC-Pooled (16 sites)</t>
  </si>
  <si>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</si>
  <si>
    <t>GED preparation, parenting education, life skills, family planning, child care</t>
  </si>
  <si>
    <t>1989-1992</t>
  </si>
  <si>
    <t>Young mothers who had children as teenagers, had dropped out of high school, and were receiving AFDC</t>
  </si>
  <si>
    <t>Voluntary enrollment from 16 community-based sites</t>
  </si>
  <si>
    <t>Quint, Bos, and Polit 1997 (MDRC), 'New Chance: Final Report.' Table ES-7 (p. ES-20): employment and earnings impacts. Table 3.1 (p.38): demographics.</t>
  </si>
  <si>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</si>
  <si>
    <t>NYC PRIDE (single parents)</t>
  </si>
  <si>
    <t>ERAERA-Single parents)</t>
  </si>
  <si>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</si>
  <si>
    <t>Vocational rehabilitation, work experience placements, case management, sanctioning for noncompliance</t>
  </si>
  <si>
    <t>2000-2002</t>
  </si>
  <si>
    <t>TANF recipients with documented physical or mental health limitations (single parents)</t>
  </si>
  <si>
    <t>All TANF recipients referred to PRIDE with documented health problems; mandatory</t>
  </si>
  <si>
    <t>Bloom, Miller, and Azurdia 2007, Table 1 (p.7): demographics. Table 6 (pp.38-39): employment and earnings impacts.</t>
  </si>
  <si>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</si>
  <si>
    <t>Structured Training and Employment Transitional Services (STETS)</t>
  </si>
  <si>
    <t>Pooled (5 cities)</t>
  </si>
  <si>
    <t>STETSSTETS-Pooled (5 cities)</t>
  </si>
  <si>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</si>
  <si>
    <t>Transitional subsidized employment (sheltered workshops and community placements), follow-along job support</t>
  </si>
  <si>
    <t>1981-1982</t>
  </si>
  <si>
    <t>Mentally retarded young adults ages 18-24</t>
  </si>
  <si>
    <t>Recruited from community agencies serving mentally retarded adults in 5 cities</t>
  </si>
  <si>
    <t>22-month interview</t>
  </si>
  <si>
    <t>weekly</t>
  </si>
  <si>
    <t>Kerachsky et al. 1985 (MDRC), 'STETS: Final Report.' Table III.1 (p.40): demographics. Table IV.4 (p.73): employment impacts. Table IX.1 (p.172): summary impacts. Table IX.2 (p.175): subgroup impacts.</t>
  </si>
  <si>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</si>
  <si>
    <t>Teenage Parent Demonstration (TPD)</t>
  </si>
  <si>
    <t>Camden, NJ</t>
  </si>
  <si>
    <t>TPDTPD-Camden, NJ</t>
  </si>
  <si>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</si>
  <si>
    <t>GED prep, parenting workshops, child care, transportation, case management, AFDC sanctions for noncompliance</t>
  </si>
  <si>
    <t>mid-1987 to mid-1991</t>
  </si>
  <si>
    <t>Teenage mothers on AFDC who had first child before age 18</t>
  </si>
  <si>
    <t>All eligible AFDC teen mothers referred; mandatory participation</t>
  </si>
  <si>
    <t>administrative wage records</t>
  </si>
  <si>
    <t>cumulative over 5 years</t>
  </si>
  <si>
    <t>Kisker, Rangarajan, and Boller 1998 (Mathematica), 'Moving Into Adulthood.' Table III.5 (p.63): 5-year employment/earnings. Table III.6 (p.69): 6-7 year survey outcomes.</t>
  </si>
  <si>
    <t>Enhanced-services (T) vs regular-services (C). Employment measure: average percent of 5-year period employed (admin wage records). Earnings: total over 5 years (nominal dollars). N from Table III.5 midpoints. 6-7yr survey (Table III.6): employment 0.6pp n.s., annual earnings $360 n.s.</t>
  </si>
  <si>
    <t>Newark, NJ</t>
  </si>
  <si>
    <t>TPDTPD-Newark, NJ</t>
  </si>
  <si>
    <t>Enhanced-services (T) vs regular-services (C). Employment: avg pct of 5-year period employed (admin records). Earnings: total over 5 years (nominal). 6-7yr survey (Table III.6): employment -8.4**pp, annual earnings -$549 n.s. (negative impacts at long-term survey).</t>
  </si>
  <si>
    <t>Chicago, IL</t>
  </si>
  <si>
    <t>TPDTPD-Chicago, IL</t>
  </si>
  <si>
    <t>Kisker, Rangarajan, and Boller 1998 (Mathematica), 'Moving Into Adulthood.' Table III.5 (p.63): 5-year employment/earnings.</t>
  </si>
  <si>
    <t>Enhanced-services (T) vs regular-services (C). Employment: avg pct of 5-year period employed (admin records), significant at 5%. Earnings: total over 5 years (nominal), not significant. Largest site (N~2,883). 6-7yr survey (Table III.6): employment 0.7pp n.s., annual earnings $20 n.s.</t>
  </si>
  <si>
    <t>No B-C analysis in Kisker, Rangarajan, and Boller 1998 (Mathematica). Report covers impacts on employment, earnings, education, and parenting but no formal benefit-cost analysis.</t>
  </si>
  <si>
    <t>Vermont Welfare Restructuring Project (WRP)</t>
  </si>
  <si>
    <t>Vermont (statewide, single parents)</t>
  </si>
  <si>
    <t>VWRPWRP-Single parents)</t>
  </si>
  <si>
    <t>Work requirements after 30 months of cash assistance receipt, financial work incentives, community service employment positions for those who could not find regular jobs, job search assistance</t>
  </si>
  <si>
    <t>incidental</t>
  </si>
  <si>
    <t>Financial work incentives, work requirements, community service employment</t>
  </si>
  <si>
    <t>1994-1996</t>
  </si>
  <si>
    <t>AFDC/ANFC single-parent welfare recipients</t>
  </si>
  <si>
    <t>Scrivener et al 2002 (MDRC), WRP Final Report, Tables 3, 5, 6</t>
  </si>
  <si>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t>
  </si>
  <si>
    <t>Scrivener et al. 2002, Table 15 (p.78). Social perspective: earnings and fringe benefits = $2,841 (2000$, 6-year NPV at 5% discount rate). Net social value = $2,247. Includes UI benefits in earnings+fringe total.</t>
  </si>
  <si>
    <t>VT</t>
  </si>
  <si>
    <t>New Hope for Families and Children</t>
  </si>
  <si>
    <t>Milwaukee (2 neighborhoods)</t>
  </si>
  <si>
    <t>NHFC-Milwaukee (2 neighborhoods)</t>
  </si>
  <si>
    <t>Earnings supplement to raise income above poverty level for those working 30+ hours/week, subsidized health insurance, subsidized child care, community service jobs for those unable to find full-time work</t>
  </si>
  <si>
    <t>Earnings supplement, subsidized health insurance, subsidized child care, community service jobs</t>
  </si>
  <si>
    <t>1994-1995</t>
  </si>
  <si>
    <t>Low-income adults in two Milwaukee neighborhoods, age 18+, willing to work 30+ hours/week</t>
  </si>
  <si>
    <t>Huston et al 2003 (MDRC), New Hope Five-Year Results, Tables 2.1, 3.1</t>
  </si>
  <si>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t>
  </si>
  <si>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</si>
  <si>
    <t>Florida Project Independence</t>
  </si>
  <si>
    <t>Florida (9 counties pooled)</t>
  </si>
  <si>
    <t>FPI-Counties pooled)</t>
  </si>
  <si>
    <t>Florida's JOBS program: job search assistance, orientation, assessment; education and training for those designated 'not job-ready'; child care support</t>
  </si>
  <si>
    <t>Orientation, assessment, case management, child care support</t>
  </si>
  <si>
    <t>July 1990-August 1991</t>
  </si>
  <si>
    <t>Kemple, Friedlander, and Fellerath 1995 (MDRC), Florida's Project Independence, Tables 2.2, 3 (ES-16), 6 (ES-23)</t>
  </si>
  <si>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</si>
  <si>
    <t>FL</t>
  </si>
  <si>
    <t>Work Advancement and Support Center (WASC)</t>
  </si>
  <si>
    <t>Dayton, OH</t>
  </si>
  <si>
    <t>WASCWASC-Dayton, OH</t>
  </si>
  <si>
    <t>Career coaching, education/training referrals, help accessing work supports (food stamps, EITC, child care subsidies, Medicaid)</t>
  </si>
  <si>
    <t>Career coaching, work supports access (food stamps, EITC, child care, Medicaid)</t>
  </si>
  <si>
    <t>2005-2007</t>
  </si>
  <si>
    <t>Low-wage workers currently employed</t>
  </si>
  <si>
    <t>Miller, Tessler, and Van Dok 2009 (MDRC), WASC Implementation and Early Impacts, Tables 2.2, 5.3; Miller et al. 2012, Strategies to help low-wage workers advance, Table 4.2</t>
  </si>
  <si>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t>
  </si>
  <si>
    <t>San Diego, CA</t>
  </si>
  <si>
    <t>WASCWASC-Diego, CA</t>
  </si>
  <si>
    <t>Miller, Tessler, and Van Dok 2009 (MDRC), WASC Implementation and Early Impacts, Tables 2.2, 5.3; Miller et al. 2012, Strategies to help low-wage workers advance, Table 4.5</t>
  </si>
  <si>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t>
  </si>
  <si>
    <t>Bridgeport, CT</t>
  </si>
  <si>
    <t>WASCWASC-Bridgeport, CT</t>
  </si>
  <si>
    <t>2006-2008</t>
  </si>
  <si>
    <t>Miller et al. 2012, Strategies to help low-wage workers advance, Tables 1.3, 4.7, 4.8</t>
  </si>
  <si>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</si>
  <si>
    <t>YouthBuild</t>
  </si>
  <si>
    <t>Pooled (75 programs nationwide)</t>
  </si>
  <si>
    <t>YB-Programs nationwide)</t>
  </si>
  <si>
    <t>Construction-related vocational training, GED/high school diploma preparation, leadership development, community service, counseling, case management</t>
  </si>
  <si>
    <t>Leadership development, community service, counseling, case management</t>
  </si>
  <si>
    <t>2011-2013</t>
  </si>
  <si>
    <t>Out-of-school youth ages 16-24 without high school diploma</t>
  </si>
  <si>
    <t>Miller et al. 2018 (MDRC), Laying a Foundation: Four-Year Results from the National YouthBuild Evaluation, Table 3.2, Appendix Table B.1</t>
  </si>
  <si>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t>
  </si>
  <si>
    <t>Child Support Noncustodial Parent Employment Demonstration (CSPED)</t>
  </si>
  <si>
    <t>8 states pooled (CA, CO, IA, OH, SC, TN, TX, WI)</t>
  </si>
  <si>
    <t>CSNPEDCSPED-TX, WI)</t>
  </si>
  <si>
    <t>Case management, employment services (job search, short-term skills training, OJT, vocational training), parenting services, and child support order modification for noncustodial parents</t>
  </si>
  <si>
    <t>case management; parenting services; child support order modification</t>
  </si>
  <si>
    <t>2013-2016</t>
  </si>
  <si>
    <t>Noncustodial parents with child support orders</t>
  </si>
  <si>
    <t>broad</t>
  </si>
  <si>
    <t>NDNH administrative records</t>
  </si>
  <si>
    <t>Cancian et al. 2019, CSPED Impact Report, Tables 15-17</t>
  </si>
  <si>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</si>
  <si>
    <t>Cancian et al. 2019, Table 9. Total societal benefit = $1,663 per participant (2017$). Net cost = $2,505. Net = -$842.</t>
  </si>
  <si>
    <t>Year Up Professional Training Corps (PTC)</t>
  </si>
  <si>
    <t>3 PTC sites pooled (Study 1)</t>
  </si>
  <si>
    <t>YUPTCPTC-Pooled (Study 1)</t>
  </si>
  <si>
    <t>Year-long occupational training program for young adults (ages 18-24 at time of study) combining classroom instruction, college courses, and internships at partner companies</t>
  </si>
  <si>
    <t>college enrollment; corporate internships; mentoring</t>
  </si>
  <si>
    <t>2017-2019</t>
  </si>
  <si>
    <t>Young adults ages 18-29, low-income, with HS diploma/GED</t>
  </si>
  <si>
    <t>selective</t>
  </si>
  <si>
    <t>Fein &amp; Maynard 2022, Improvement Testing in the Year Up Professional Training Corps Program: Final Grant Report. Table 1 (annual earnings, p. 5), Table 3 (quarterly earnings and employment, p. 7), Appendix Exhibit B (baseline characteristics, p. 23).</t>
  </si>
  <si>
    <t>Year 1 earnings impact -$5,314*** reflects lock-in during intensive training. Post-program impacts (Years 2-3) show no significant earnings gains. Contrasts sharply with Year Up core program which showed large positive impacts in Years 2-3.</t>
  </si>
  <si>
    <t>Food Stamp Employment and Training (FSET) Program</t>
  </si>
  <si>
    <t>53 local offices in 7 states pooled</t>
  </si>
  <si>
    <t>FSETFSETP-States pooled</t>
  </si>
  <si>
    <t>Mandatory E&amp;T program for food stamp recipients including job search assistance, work experience, and classroom training components</t>
  </si>
  <si>
    <t>work experience (workfare); job readiness</t>
  </si>
  <si>
    <t>1989-1991</t>
  </si>
  <si>
    <t>Food stamp recipients required to participate in E&amp;T</t>
  </si>
  <si>
    <t>Survey (follow-up interviews)</t>
  </si>
  <si>
    <t>Puma &amp; Burstein 1994, 'The Food Stamp Employment and Training Program,' Tables 2-5</t>
  </si>
  <si>
    <t>All employment and earnings impacts null. Cost only $135/participant, one of lowest-cost E&amp;T programs evaluated. Very low-cost intervention with minimal services.</t>
  </si>
  <si>
    <t>Indiana Welfare Reform (IMPACT)</t>
  </si>
  <si>
    <t>Indiana statewide (single-parent families, first-year cohort)</t>
  </si>
  <si>
    <t>IWRIMPACT-Year cohort)</t>
  </si>
  <si>
    <t>Welfare reform program requiring TANF recipients to participate in IMPACT program activities including job search, education, and training; compared to traditional welfare without mandatory participation</t>
  </si>
  <si>
    <t>mandatory participation requirements; time limits; earned income disregards; transitional benefits</t>
  </si>
  <si>
    <t>1995</t>
  </si>
  <si>
    <t>Single-parent TANF recipients</t>
  </si>
  <si>
    <t>Indiana UI wage records</t>
  </si>
  <si>
    <t>Beecroft, Lee, and Long 2003, 'Indiana Welfare Reform Evaluation: Five-Year Impacts,' Exhibit 4.4</t>
  </si>
  <si>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t>
  </si>
  <si>
    <t>Beecroft, Lee, and Long 2003, Exhibit 6.5 (p.116). Social perspective: earnings $2,397 + fringe benefits $360 = $2,757 (2001$, 5-year NPV, discounted). Net social value = $2,728.</t>
  </si>
  <si>
    <t>American Conservation and Youth Service Corps (ACYSC)</t>
  </si>
  <si>
    <t>4 experimental sites pooled</t>
  </si>
  <si>
    <t>ACYSCACYSC-Sites pooled</t>
  </si>
  <si>
    <t>Conservation and youth service corps providing structured work experience on environmental/community service projects, combined with education (GED prep, life skills), stipends, and post-program benefits</t>
  </si>
  <si>
    <t>conservation service projects; stipends; post-program education benefits</t>
  </si>
  <si>
    <t>1993-1994</t>
  </si>
  <si>
    <t>Disadvantaged youth ages 18-25</t>
  </si>
  <si>
    <t>Follow-up survey (15 months post-RA)</t>
  </si>
  <si>
    <t>monthly</t>
  </si>
  <si>
    <t xml:space="preserve">Jastrzab et al. 1996, 'Evaluation of national and community service programs,' </t>
  </si>
  <si>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</si>
  <si>
    <t>New Visions (GAIN Education &amp; Training Program)</t>
  </si>
  <si>
    <t>Riverside County, CA (Riverside Community College)</t>
  </si>
  <si>
    <t>NVGAINETP-Community College)</t>
  </si>
  <si>
    <t>Integrated basic education and workforce preparation program at community college for GAIN (welfare-to-work) participants, combining basic skills, workplace skills, and college courses</t>
  </si>
  <si>
    <t>case management; GAIN welfare-to-work services</t>
  </si>
  <si>
    <t>1999-2000</t>
  </si>
  <si>
    <t>GAIN (TANF) participants needing basic education</t>
  </si>
  <si>
    <t>UI quarterly earnings records</t>
  </si>
  <si>
    <t>Fein and Beecroft 2006, 'College as a Job Advancement Strategy: Final Report on the New Visions Self-Sufficiency and Lifelong Learning Project,' Exhibits ES.1, 3.6</t>
  </si>
  <si>
    <t>NEGATIVE impacts: treatment group earned $2,301 less over 2.5 years (-12%). Negative earnings arose from fewer hours worked, not lower wages. Program increased TANF payments by $945. No evidence of improving trends by end of follow-up.</t>
  </si>
  <si>
    <t>Saturation Work Initiative Model (SWIM)</t>
  </si>
  <si>
    <t>San Diego, AFDC-FG (single parents)</t>
  </si>
  <si>
    <t>SWIMSWIM-Single parents)</t>
  </si>
  <si>
    <t>Mandatory welfare-to-work: job search workshop, then unpaid community work experience (workfare), then education/training (ESL, GED, vocational training, college) for those not finding employment. Ongoing participation mandate.</t>
  </si>
  <si>
    <t>workfare (unpaid work experience)</t>
  </si>
  <si>
    <t>1985-1986</t>
  </si>
  <si>
    <t>AFDC single-parent (FG) case heads without preschool-age children</t>
  </si>
  <si>
    <t>CA UI wage records + county AFDC records</t>
  </si>
  <si>
    <t>Friedlander &amp; Hamilton 1993, Tables ES.1, ES.3, B.1; cost from p. xxvi</t>
  </si>
  <si>
    <t>Training role secondary: primary intervention was job search + workfare; education/training was third-stage activity for those not finding jobs. Year 3 earn impact +$555*** still significant. Year 4 +$378 not significant. pct_male not reported exactly; AFDC-FG were 'mostly women.'</t>
  </si>
  <si>
    <t>San Diego, AFDC-U (two-parent families)</t>
  </si>
  <si>
    <t>SWIMSWIM-Parent families)</t>
  </si>
  <si>
    <t>Mandatory welfare-to-work: job search workshop, then unpaid community work experience (workfare), then education/training for those not finding employment. Ongoing participation mandate.</t>
  </si>
  <si>
    <t>AFDC-U (Unemployed Parent) two-parent case heads</t>
  </si>
  <si>
    <t>Friedlander &amp; Hamilton 1993, Tables ES.2, ES.4, C.1; cost from p. xxvi</t>
  </si>
  <si>
    <t>Training role secondary (same as AFDC-FG). Earnings impacts fade by Year 4 and turn negative by Year 5. Five-year cumulative impact +$1,060 (4.9% over controls) not statistically significant. pct_male not exactly reported; AFDC-U case heads were 'mostly male.'</t>
  </si>
  <si>
    <t>Accelerated Training for Illinois Manufacturing (ATIM)</t>
  </si>
  <si>
    <t>5 Illinois regions pooled</t>
  </si>
  <si>
    <t>ATIMATIM-Regions pooled</t>
  </si>
  <si>
    <t>Accelerated sector-based manufacturing training: individualized assessment, career counseling, accelerated occupational skills training (machine production, welding, mechatronics, logistics), work-based training (internships, OJT, job shadowing), and stackable industry-recognized credentials.</t>
  </si>
  <si>
    <t>career counseling, case management</t>
  </si>
  <si>
    <t>2013-2015</t>
  </si>
  <si>
    <t>Adults and dislocated workers eligible for WIA services, seeking manufacturing employment</t>
  </si>
  <si>
    <t>moderate</t>
  </si>
  <si>
    <t>IL Dept of Employment Security UI wage records</t>
  </si>
  <si>
    <t>Betesh et al. 2017, ATIM Final Impact Report, Exhibits II-3, IV-2, IV-5; cost from p. viii ($9,991 per participant)</t>
  </si>
  <si>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</si>
  <si>
    <t>Accelerating Connections to Employment (ACE)</t>
  </si>
  <si>
    <t>Maryland (6 sites) + Texas (Austin) pooled</t>
  </si>
  <si>
    <t>ACEACE-Austin) pooled</t>
  </si>
  <si>
    <t>WIB-community college partnership: integrated basic skills and vocational instruction (I-BEST model), occupational training (CNA, welding, construction, medical billing, IT, etc.), support services, job readiness and placement services. Stackable credentials.</t>
  </si>
  <si>
    <t>support services (transportation, academic), job placement</t>
  </si>
  <si>
    <t>2012-2015</t>
  </si>
  <si>
    <t>Low-skilled workers seeking employment through WIB-community college partnerships</t>
  </si>
  <si>
    <t>State UI wage records (MD, TX)</t>
  </si>
  <si>
    <t>biennial (cumulative 8-quarter)</t>
  </si>
  <si>
    <t>Modicamore et al. 2017, ACE Final Evaluation Report, Exhibits ES2, ES3, ES5, ES6, ES12, 6.9</t>
  </si>
  <si>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</si>
  <si>
    <t>Wisconsin Welfare Employment Experiment (WEJT)</t>
  </si>
  <si>
    <t>Rock County, WI</t>
  </si>
  <si>
    <t>WWEEWEJT-County, WI</t>
  </si>
  <si>
    <t>Mandatory welfare-to-work: job search (primary), remedial education, vocational/technical education, JTPA training, OJT, community work experience placements (16-week max), day care and supportive services. 27-31% of clients participated in education/training activities.</t>
  </si>
  <si>
    <t>community work experience, day care</t>
  </si>
  <si>
    <t>1987-1988</t>
  </si>
  <si>
    <t>AFDC recipients (single-parent and two-parent families, children age 6+)</t>
  </si>
  <si>
    <t>WI UI wage records + AFDC administrative records</t>
  </si>
  <si>
    <t>Pawasarat &amp; Quinn 1993, pp. 69, 113; cost from p. 69 ($718/participant in 1990)</t>
  </si>
  <si>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</si>
  <si>
    <t>Health Profession Opportunity Grants 2.0 (HPOG 2.0)</t>
  </si>
  <si>
    <t>27 non-Tribal grantees pooled (17 states)</t>
  </si>
  <si>
    <t>HPOGHPOG-Pooled (17 states)</t>
  </si>
  <si>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</si>
  <si>
    <t>career counseling, academic advising, support services</t>
  </si>
  <si>
    <t>2015-2021</t>
  </si>
  <si>
    <t>TANF recipients and other low-income adults seeking healthcare careers</t>
  </si>
  <si>
    <t>NDNH (National Directory of New Hires) wage records</t>
  </si>
  <si>
    <t>Klerman et al. 2023, HPOG 2.0 Intermediate-Term Impact Report, Exhibits 1-2, 1-4, 2-1, 4-1, 4-3</t>
  </si>
  <si>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</si>
  <si>
    <t>Health Profession Opportunity Grants 1.0 (HPOG 1.0)</t>
  </si>
  <si>
    <t>23 grantees pooled</t>
  </si>
  <si>
    <t>HPOGHPOG-Grantees pooled</t>
  </si>
  <si>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</si>
  <si>
    <t>financial assistance, support services, career counseling</t>
  </si>
  <si>
    <t>Peck, Litwok, and Walton (Abt) 2022, HPOG 1.0 Impact Study: Six-Year Impacts Report, OPRE Report 2022-07. Exhibits 1, 4, 5.</t>
  </si>
  <si>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</si>
  <si>
    <t>Minnesota Tier 2, Hennepin County</t>
  </si>
  <si>
    <t>ERAERA-Hennepin County</t>
  </si>
  <si>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</si>
  <si>
    <t>barrier assessment, supported employment, case management, mental health/substance abuse/DV referrals</t>
  </si>
  <si>
    <t>January 2002 – April 2003</t>
  </si>
  <si>
    <t>Long-term TANF recipients (single parents on MFIP 12+ months) in Hennepin County, MN</t>
  </si>
  <si>
    <t>Minnesota UI wage records</t>
  </si>
  <si>
    <t>LeBlanc, Miller, Martinson, and Azurdia (MDRC) 2007, The Employment Retention and Advancement Project: Results from Minnesota's Tier 2 Program. Tables 2, 9, 10, ES.1, D.7, D.8.</t>
  </si>
  <si>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</si>
  <si>
    <t>New Jersey UI Reemployment Demonstration</t>
  </si>
  <si>
    <t>Treatment 2: JSA Plus Training/Relocation</t>
  </si>
  <si>
    <t>NJUIRD-Training/Relocation</t>
  </si>
  <si>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</si>
  <si>
    <t>relocation assistance (negligible take-up), skills assessment, individualized service plan</t>
  </si>
  <si>
    <t>July 1986 – June 1987</t>
  </si>
  <si>
    <t>Displaced workers: UI claimants age 25+, 3+ years tenure with pre-UI employer, not on temporary layoff, not using union hiring hall to secure employment, in 10 NJ local offices</t>
  </si>
  <si>
    <t>Follow-up telephone interviews (weighted to represent full sample)</t>
  </si>
  <si>
    <t>Corson, Decker, Dunstan, and Kerachsky (Mathematica) 1989, The New Jersey Unemployment Insurance Reemployment Demonstration Project: Final Evaluation Report. Tables II.1, II.3, III.1, VI.1, VI.4, VI.5. Part 1 (summary), p.15.</t>
  </si>
  <si>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</si>
  <si>
    <t>Texas Worker Adjustment Demonstration</t>
  </si>
  <si>
    <t>All men, Tier I/II (pooled TEC/HCC + SEE + SER/JOBS)</t>
  </si>
  <si>
    <t>TWAD-SER/JOBS)</t>
  </si>
  <si>
    <t>Tier I: 1-4 weeks supervised job search assistance (job clubs, counseling, placement). Tier II: classroom vocational training and/or OJT, varying by site (TEC/HCC: 83% classroom/17% OJT; SEE: 50%/50%; SER/JOBS: 13% classroom/87% OJT). Treatment = Tier I + Tier II combined. Table 1.2 (p.9), Table 1.4 (p.15).</t>
  </si>
  <si>
    <t>Tier I job search assistance (1-4 weeks supervised job search, job clubs)</t>
  </si>
  <si>
    <t>July 1984 – March 1985</t>
  </si>
  <si>
    <t>Displaced workers receiving UI benefits</t>
  </si>
  <si>
    <t>UI claimants in Houston and El Paso identified through UI claims system; random assignment from eligible pool at intake</t>
  </si>
  <si>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</si>
  <si>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</si>
  <si>
    <t>El Paso women, Tier I/II (pooled SEE + SER/JOBS)</t>
  </si>
  <si>
    <t>UI claimants in El Paso identified through UI claims system; random assignment from eligible pool at intake</t>
  </si>
  <si>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</si>
  <si>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</si>
  <si>
    <t>Alternative Youth Employment Strategies (AYES)</t>
  </si>
  <si>
    <t>Albuquerque (OCETA)</t>
  </si>
  <si>
    <t>AYESAYES-Albuquerque (OCETA)</t>
  </si>
  <si>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</si>
  <si>
    <t>Subsidized work experience (Model I); Adkins Life Skills Training; VITAS vocational counseling; support services</t>
  </si>
  <si>
    <t>August 1980 – mid-1981 (approx.)</t>
  </si>
  <si>
    <t>High-risk youth aged 16-21, out of school, unemployed, YETP-eligible, with prior or likely criminal justice involvement</t>
  </si>
  <si>
    <t>Referred by criminal justice or community agencies; at least 50% CJ referrals required; YETP-eligible (family income at/below 85% BLS lower living standard)</t>
  </si>
  <si>
    <t>Sadd, Kotkin, and Friedman 1983, 'Alternative Youth Employment Strategies Project: Final Report,' Vera Institute of Justice. DLETA 28-36-79-05.</t>
  </si>
  <si>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</si>
  <si>
    <t>NM</t>
  </si>
  <si>
    <t>major city</t>
  </si>
  <si>
    <t>Miami (SFETC)</t>
  </si>
  <si>
    <t>AYESAYES-Miami (SFETC)</t>
  </si>
  <si>
    <t>New York City (CEP)</t>
  </si>
  <si>
    <t>AYESAYES-City (CEP)</t>
  </si>
  <si>
    <t>Maryland Employment Initiatives (Baltimore Options)</t>
  </si>
  <si>
    <t>Baltimore, AFDC</t>
  </si>
  <si>
    <t>MEIBO-Baltimore, AFDC</t>
  </si>
  <si>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</si>
  <si>
    <t>unpaid work experience (workfare), GED preparation, basic literacy</t>
  </si>
  <si>
    <t>November 1982 - December 1983</t>
  </si>
  <si>
    <t>AFDC applicants and recipients (primarily women), WIN-mandatory</t>
  </si>
  <si>
    <t>All new WIN-mandatory AFDC applicants and recipients in Options-eligible portion of Baltimore; ~half of city covered</t>
  </si>
  <si>
    <t>MD UI wage records + AFDC payment records</t>
  </si>
  <si>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</si>
  <si>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</si>
  <si>
    <t>Pennsylvania Saturation Work Program</t>
  </si>
  <si>
    <t>Philadelphia, all cohorts averaged</t>
  </si>
  <si>
    <t>PSWP-Cohorts averaged</t>
  </si>
  <si>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</si>
  <si>
    <t>Community Work Experience Program (CWEP): unpaid work experience in public/nonprofit agencies</t>
  </si>
  <si>
    <t>January 1986 - December 1986</t>
  </si>
  <si>
    <t>AFDC recipients in Philadelphia, mandatory participation (WIN-mandatory)</t>
  </si>
  <si>
    <t>All WIN-mandatory AFDC recipients in Philadelphia randomly assigned. 4 cohorts enrolled Jan-Dec 1986. No screening beyond WIN-mandatory eligibility.</t>
  </si>
  <si>
    <t>PA UI wage records</t>
  </si>
  <si>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</si>
  <si>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</si>
  <si>
    <t>Ohio Transitions to Independence Demonstration (JOBS)</t>
  </si>
  <si>
    <t>15 counties, 1989 cohort</t>
  </si>
  <si>
    <t>OTIDJOBS-Counties, 1989 cohort</t>
  </si>
  <si>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</si>
  <si>
    <t>CWEP (Community Work Experience Program): unpaid work in public agencies, 47% of ever-assigned clients</t>
  </si>
  <si>
    <t>January 1989 - December 1989</t>
  </si>
  <si>
    <t>JOBS-mandatory ADC clients (able-bodied, no child care exemption), 15 Ohio counties</t>
  </si>
  <si>
    <t>All newly JOBS-mandatory ADC clients in 15 demonstration counties; 54% of adult ADC recipients in Ohio were JOBS-mandatory in FY 1992. Random assignment at 9:1 ratio (treatment:control).</t>
  </si>
  <si>
    <t>OH UI wage records</t>
  </si>
  <si>
    <t>Fein, Beecroft, and Blomquist 1994, The Ohio Transitions to Independence Demonstration: Final Impacts for JOBS and Work Choice. Abt Associates Inc. Impacts: Exhibit 3.1 (p. 52) for 1989 cohort employment and earnings by year. Demographics: Exhibit 2.1 (p. 29). Participation: Exhibit 2.3 (p. 33). Sample sizes: Exhibit 3.1 footnote a (p. 52). Research design: Ch. 1, pp. 10-15.</t>
  </si>
  <si>
    <t>Employment measure is 'Percent Ever Employed' during each year (fraction with any UI-recorded earnings in any quarter of the year), not a point-in-time quarterly rate. Earnings are annual totals. JOBS showed positive employment impacts but no significant earnings impacts in any year. The 1990 cohort (not extracted) showed significant NEGATIVE earnings impacts, attributed to opportunity costs of E&amp;T participation among clients with stronger labor force attachment. Only 40.5% of treatment group ever received any JOBS assignment over 3 years; low participation reduces measured ITT impacts relative to treatment effect on participants. 9:1 randomization ratio (treatment:control). Impacts are regression-adjusted (OLS for earnings, logistic for employment). 12% of original control group received JOBS services; these were removed and remaining controls were reweighted (footnote 18, p. 13). Cost data in separate forthcoming companion report. Mean age not reported; distribution: &lt;25=12.7%, 25-39=68.5%, 40+=18.8% (approx ~33). Racial breakdown only available as white/non-white; non-white=23.5%. (NEW v15: companion rows for 1990 cohort (row 146) and 1991 cohort (row 147) now added; those cohorts had negative or null impacts not captured by the 1989-only restriction.)</t>
  </si>
  <si>
    <t>No B-C analysis in Fein, Beecroft, and Blomquist 1994. Report presents impacts for JOBS and Work Choice programs but no benefit-cost framework.</t>
  </si>
  <si>
    <t>Ohio Transitions to Independence Demonstration (Work Choice)</t>
  </si>
  <si>
    <t>Montgomery County, Jan-Jun 1989 cohort</t>
  </si>
  <si>
    <t>OTIDWC-Jun 1989 cohort</t>
  </si>
  <si>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</si>
  <si>
    <t>Extended transitional Medicaid (12 vs. 4 months) and child care benefits are the primary intervention</t>
  </si>
  <si>
    <t>January 1989 - June 1989</t>
  </si>
  <si>
    <t>Single-parent ADC-R case heads with youngest child aged 1-5, Montgomery County, Ohio</t>
  </si>
  <si>
    <t>All ADC-R single-parent case heads with youngest child aged 1-5 in Montgomery County who were not otherwise exempt. Random assignment at 6:4 ratio (treatment:control).</t>
  </si>
  <si>
    <t>Fein, Beecroft, and Blomquist 1994, The Ohio Transitions to Independence Demonstration: Final Impacts for JOBS and Work Choice. Abt Associates Inc. Impacts: Exhibit 4.1 (p. 79) for early cohort employment and earnings. Demographics: Exhibit 2.5 (p. 41). Participation: Exhibit 2.7 (p. 44). Sample sizes: Exhibit 4.1 footnote a (p. 79). Research design: Ch. 1, pp. 10-15.</t>
  </si>
  <si>
    <t>Work Choice's primary intervention was extended transitional benefits (Medicaid and child care), not E&amp;T. Only 14.1% of treatment group ever participated in E&amp;T. Employment measure is 'Percent Ever Employed' during the year. Earnings are annual totals. MT not extracted: after March 1990, control group also received extended transitional benefits, contaminating the treatment-control contrast for the 2nd year. Follow-up extended only through December 1990 (~18 months for early cohort). Later cohort (Jul-Dec 1989, N=1,344) showed +3.2pp employment (n.s.) and -$192* earnings in Year 1 (Exhibit 4.3, p. 81); not extracted. 6:4 randomization ratio (treatment:control). Impacts are regression-adjusted (OLS for earnings, logistic for employment). Mean age not reported; distribution: &lt;25=42.4%, 25-39=54.8%, 40+=2.8% (approx ~26). Racial breakdown only available as white/non-white; non-white=55.4%. Cost data in separate companion report. (NEW v15: companion row for the Jul-Dec 1989 cohort (row 148) now added.)</t>
  </si>
  <si>
    <t>Wildcat (Supported Work)</t>
  </si>
  <si>
    <t>Manhattan, ex-addicts</t>
  </si>
  <si>
    <t>WSW-Ex-addicts</t>
  </si>
  <si>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</si>
  <si>
    <t>subsidized transitional employment, peer support, job development/placement</t>
  </si>
  <si>
    <t>May 1972 – August 1973</t>
  </si>
  <si>
    <t>Ex-addicts on methadone maintenance in NYC, ages 18+, enrolled in methadone programs</t>
  </si>
  <si>
    <t>Vera Institute of Justice 1976, "Employment patterns of ex-addicts: Impact of supported work on long-term employment," Table 1 (p. 5). Vera Institute of Justice 1974, "Wildcat: The first two years," Table 5 (p. 51), pp. 64-67 (statistical significance tests).</t>
  </si>
  <si>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</si>
  <si>
    <t>15 counties, 1990 cohort</t>
  </si>
  <si>
    <t>OTIDJOBS-Counties, 1990 cohort</t>
  </si>
  <si>
    <t>January 1990 – December 1990</t>
  </si>
  <si>
    <t>All newly JOBS-mandatory ADC clients in 15 demonstration counties; majority of 1990 cohort were new/re-opened ADC cases (58.4%).</t>
  </si>
  <si>
    <t>Fein, Beecroft, and Blomquist 1994, The Ohio Transitions to Independence Demonstration: Final Impacts for JOBS and Work Choice. Abt Associates Inc. Impacts: Exhibit 3.3 (p. 56) 1990 cohort columns. Demographics: Exhibit 2.1 (p. 29) 1990 column. Participation: Exhibit 2.3 (p. 33). Research design: Ch. 1, pp. 10-15. Cohort composition discussion: Ch. 2, p. 27.</t>
  </si>
  <si>
    <t>Year 2 sample N declines due to outmigration from demonstration counties. 1990 cohort distinguished by predominance of NEW/re-opened ADC cases (58.4%) vs. ongoing spells (1989 cohort was mostly ongoing). The negative earnings impacts are attributed to opportunity costs of E&amp;T participation among clients with stronger labor force attachment and faster spontaneous return to work. Race breakdown only available as White/Non-White (non-white = 23.1%). Age in bins only: &lt;25=23.2%, 25-39=63.5%, 40+=13.3%. Years of education not extractable for 1990 cohort due to CRIS-E computer system conversion (footnote b, Exhibit 2.1, p. 29). Impact significance: ** at 5%, * at 10%; SEs not reported by source. 9:1 randomization ratio. Long-term (3-yr) follow-up not available for this cohort.</t>
  </si>
  <si>
    <t>15 counties, 1991 cohort</t>
  </si>
  <si>
    <t>OTIDJOBS-Counties, 1991 cohort</t>
  </si>
  <si>
    <t>January 1991 – December 1991</t>
  </si>
  <si>
    <t>All newly JOBS-mandatory ADC clients in 15 demonstration counties; 1991 cohort includes large Franklin County ADC-R inflow (ongoing single-parent cases).</t>
  </si>
  <si>
    <t>Fein, Beecroft, and Blomquist 1994, The Ohio Transitions to Independence Demonstration: Final Impacts for JOBS and Work Choice. Abt Associates Inc. Impacts: Exhibit 3.3 (p. 56) 1991 cohort columns. Demographics: Exhibit 2.1 (p. 29) 1991 column. Participation: Exhibit 2.3 (p. 33). Research design: Ch. 1, pp. 10-15. Cohort composition discussion: Ch. 2, p. 27.</t>
  </si>
  <si>
    <t>1991 cohort distinct because Franklin County did not begin JOBS for its large ADC-R (single-parent) caseload until January 1991, producing a large influx of ongoing cases with very different demographics: 81.1% female (vs. 62.1% in 1989), 37.5% non-white (vs. 23.5% in 1989), 82.2% single-parent. Race breakdown only available as White/Non-White. Age in bins only: &lt;25=26.5%, 25-39=63.3%, 40+=10.2%. Education not extractable due to CRIS-E conversion. Only 1 year of follow-up available for this cohort. Impact significance: ** at 5%; SEs not reported. 9:1 randomization ratio.</t>
  </si>
  <si>
    <t>Montgomery County, Jul-Dec 1989 cohort</t>
  </si>
  <si>
    <t>OTIDWC-Dec 1989 cohort</t>
  </si>
  <si>
    <t>July 1989 – December 1989</t>
  </si>
  <si>
    <t>All ADC-R single-parent case heads with youngest child aged 1-5 in Montgomery County who were not otherwise exempt. Random assignment ratio (treatment:control) similar to early cohort.</t>
  </si>
  <si>
    <t>Fein, Beecroft, and Blomquist 1994, The Ohio Transitions to Independence Demonstration: Final Impacts for JOBS and Work Choice. Abt Associates Inc. Impacts: Exhibit 4.3 (p. 81, First-Year Impacts of Work Choice for Later July-December 1989 Demonstration Entrants). Demographics: Exhibit 2.5 (p. 41, Jul 1989-Mar 1990 column). Research design: Ch. 1, pp. 9-15.</t>
  </si>
  <si>
    <t>Later Work Choice cohort. After April 1990 the state began offering 12 months of transitional Medicaid/child care to controls too, contaminating the experimental contrast for the second year and beyond. The first year of follow-up for this cohort (Jul 1989 entry + 12 months) extends just past April 1990, so the last quarter of Year 1 is partially contaminated. Demographics from Exhibit 2.5 use the report's Jul 1989-Mar 1990 cell, which overlaps but is not identical to the impact sample. Race breakdown only as White/Non-White (non-white = 57.6%). Age in bins only: &lt;25=48.8%, 25-39=48.8%, 40+=2.4%. Years of education in bins: &lt;12=43.1%, 12=43.8%, 13+=13.1%. Only 1 year of clean follow-up. Impact significance: * at 10%; SEs not reported.</t>
  </si>
  <si>
    <t>training_role_reasoning</t>
  </si>
  <si>
    <t>classification_reasoning</t>
  </si>
  <si>
    <t>design_cell_references</t>
  </si>
  <si>
    <t>impact_cell_references</t>
  </si>
  <si>
    <t>estimand_type</t>
  </si>
  <si>
    <t>time_horizon_reasoning</t>
  </si>
  <si>
    <t>se_derivation</t>
  </si>
  <si>
    <t>cost_source</t>
  </si>
  <si>
    <t>ambiguities_and_flags</t>
  </si>
  <si>
    <t>leadagn_communityorg_reasoning</t>
  </si>
  <si>
    <t>partneragn_staffingagency_reasoning</t>
  </si>
  <si>
    <t>employengage_curricula_reasoning</t>
  </si>
  <si>
    <t>jobdev_yes_reasoning</t>
  </si>
  <si>
    <t>employerol_curriculum_reasoning</t>
  </si>
  <si>
    <t>employerol_hire_reasoning</t>
  </si>
  <si>
    <t>funding_public_private_reasoning</t>
  </si>
  <si>
    <t>admin_public_private_reasoning</t>
  </si>
  <si>
    <t>treatment_duration_reasoning</t>
  </si>
  <si>
    <t>program_uptake_cell_references</t>
  </si>
  <si>
    <t>any_training_cell_references</t>
  </si>
  <si>
    <t>Primary: the core intervention is structured transitional employment with graduated stress and peer support. While not classroom training, OJT in work crews is the central service. Training role coded 'primary' because the work experience IS the program.</t>
  </si>
  <si>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</si>
  <si>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</si>
  <si>
    <t>Short-term (months 10-18): Employment impact=37.1†, Table 9-1, row 'Percent employed, Months 10-18', p. 153. Earnings impact=142.98†, Table 9-1, row 'Average monthly earnings, Months 10-18', p. 153. Control means from same table. Medium-term (months 19-27): Employment impact=8.5†, Table 9-1, row 'Percent employed, Months 19-27', p. 153. Earnings impact=77.01†, Table 9-1, row 'Average monthly earnings, Months 19-27', p. 153.</t>
  </si>
  <si>
    <t>Regression-adjusted experimental-control difference (ITT), controlling for age, sex, race, education, prior work experience, household composition, site, and length of site operation.</t>
  </si>
  <si>
    <t>Months 10-18 centered at ~14 months (1.2 years) post-enrollment → short-term per CKW classification. Months 19-27 centered at ~23 months (1.9 years) → medium-term. Months 1-9 excluded: program lasted up to 12-18 months, most AFDC participants stayed 9.5 months on average, so months 1-9 are predominantly in-program. Only 27 months of follow-up available, so no long-term estimate.</t>
  </si>
  <si>
    <t>SEs not reported. Only significance stars: † = p&lt;0.05, * = p&lt;0.10. No SEs or confidence intervals available in this report.</t>
  </si>
  <si>
    <t>Table 2-8, p. 37: average public subsidy cost per participant=$5,740 for all groups. Text p. 37: ranges from $4,455 per ex-offender to $8,139 per AFDC participant. Cost is public subsidy (operating costs minus worksite revenues), in ~1978 dollars.</t>
  </si>
  <si>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</si>
  <si>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</si>
  <si>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</si>
  <si>
    <t>private: MDRC (a nonprofit created by Ford Foundation) coordinated the demonstration nationally. Local operators were community-based organizations and nonprofits that ran the supported work sites. Government agencies funded but did not directly administer the program.</t>
  </si>
  <si>
    <t>AFDC group: avg 9.5 months in supported work positions. MDRC 1980, Table 2-7, p.36.</t>
  </si>
  <si>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</si>
  <si>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</si>
  <si>
    <t>Demographics: Table 2-5, p. 32. Eligibility: Table 2-2, p. 23. Total sample: Table 2-5, p. 32 (n=974). Cost: Table 2-8, p. 37 ($5,740 average across all groups). mean_years_schooling: 'Average years of schooling' from Table 2-5, p. 32 (same source as other demographics).</t>
  </si>
  <si>
    <t>Short-term (months 10-18): Employment=10.8†, Earnings=39.20*, Table 9-2, p. 155. Medium-term (months 19-27): Employment=3.5 (n.s.), Earnings=16.42 (n.s.), Table 9-2, p. 155. Long-term (months 28-36): Employment=10.1*, Earnings=101.73†, Table 9-2, p. 155.</t>
  </si>
  <si>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</si>
  <si>
    <t>Table 2-8, p. 37: $5,740 average per participant across all groups. Ex-addict-specific cost not reported in this volume.</t>
  </si>
  <si>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</si>
  <si>
    <t>Ex-addicts: avg 6.8 months in supported work. MDRC 1980, Table 2-7, p.36.</t>
  </si>
  <si>
    <t>Demographics: Table 2-5, p. 32. Eligibility: Table 2-2, p. 23. Total sample: Table 2-5, p. 32 (n=1,497). Cost: text p. 37 ($4,455 per ex-offender). mean_years_schooling: 'Average years of schooling' from Table 2-5, p. 32 (same source as other demographics).</t>
  </si>
  <si>
    <t>Short-term (months 10-18): Employment=6.8†, Earnings=25.16 (n.s.), Table 9-4, p. 160. Medium-term (months 19-27): Employment=3.2 (n.s.), Earnings=14.99 (n.s.), Table 9-4, p. 160. Long-term (months 28-36): Employment=1.2 (n.s.), Earnings=62.60 (n.s.), Table 9-4, p. 160.</t>
  </si>
  <si>
    <t>Same as ex-addicts: months 10-18 → short-term, 19-27 → medium-term, 28-36 → long-term (borderline at 2.7 years).</t>
  </si>
  <si>
    <t>Text p. 37: '$4,455 per ex-offender participant.' This is public subsidy cost reflecting shorter average stay.</t>
  </si>
  <si>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</si>
  <si>
    <t>Ex-offenders: avg 5.2 months in supported work. MDRC 1980, Table 2-7, p.36.</t>
  </si>
  <si>
    <t>Demographics: Table 2-5, p. 32. Eligibility: Table 2-2, p. 23. Total sample: Table 2-5, p. 32 (n=861). Cost: Table 2-8, p. 37 ($5,740 average). mean_years_schooling: 'Average years of schooling' from Table 2-5, p. 32 (same source as other demographics).</t>
  </si>
  <si>
    <t>Short-term (months 10-18): Employment=6.2*, Earnings=30.71 (n.s.), Table 9-3, p. 158. Medium-term (months 19-27): Employment=0.0 (n.s.), Earnings=19.30 (n.s.), Table 9-3, p. 158. Long-term (months 28-36): Employment=8.7 (n.s.), Earnings=-41.53 (n.s.), Table 9-3, p. 158. Note: Table 9-3 source note says data for months 1-27 have been used because months 1-36 data are based on unreliably small sample.</t>
  </si>
  <si>
    <t>Same horizon classification as other NSW groups. Note Table 9-3 footnote b: 'Data for months 1-27 have been used because data for months 1-36 are based on an unreliably small sample.' Months 28-36 data still reported but flagged.</t>
  </si>
  <si>
    <t>Table 2-8, p. 37: $5,740 average across all groups. Youth-specific cost not separately reported.</t>
  </si>
  <si>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</si>
  <si>
    <t>Youth: avg 6.8 months in supported work. MDRC 1980, Table 2-7, p.36.</t>
  </si>
  <si>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</si>
  <si>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</si>
  <si>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</si>
  <si>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</si>
  <si>
    <t>ITT comparison of treatment vs. control group means using SSA administrative earnings records. GAO calculated means and variances for each group and tested for significant differences at 5% level.</t>
  </si>
  <si>
    <t>GAO 1996 reports annual earnings and employment rates for calendar years 1-5 after random assignment. Mapped as: Year 1 → short-term, Year 3 → medium-term, Year 5 → long-term. This extends the Orr et al. 1994 follow-up (which covered only 30 months/~2.5 years) to 5 years.</t>
  </si>
  <si>
    <t>Earnings SEs: pooled standard errors reported directly in GAO Tables II.9-II.12. Employment SEs: computed as sqrt(pT*(1-pT)/nT + pC*(1-pC)/nC) from proportions and sample sizes, since GAO does not report employment standard errors.</t>
  </si>
  <si>
    <t>Exhibit 6.2, p. 162: 'Incremental training cost to society' = -$1,171 per enrollee for adult women. This is net cost (treatment minus control services). Exhibit also reports enrollee training cost savings=$56, rest of society cost=$1,227.</t>
  </si>
  <si>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t>
  </si>
  <si>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</si>
  <si>
    <t>public: JTPA Title II-A was funded entirely by federal block grants to states. No significant private funding of program operations.</t>
  </si>
  <si>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</si>
  <si>
    <t>Adult women: median 3.8 months enrolled. Orr et al. 1994, Exhibit 3.18.</t>
  </si>
  <si>
    <t>Exhibit 3.15, "All Subgroups" row, "Adult women" col (2), p. 64: T enrollment = 65.7%. Control barred from JTPA for 18 months (p. 57); C crossover rate not explicitly reported in Orr et al. 1994. program_uptake_impact recorded as T enrollment rate, program_uptake_control_mean left blank.</t>
  </si>
  <si>
    <t>Exhibit 4.2, "Percentage receiving a service" panel, "Adult women" row, p. 77: T = 59.5%, C = 33.1%, Difference per Assignee = 26.4 pp (SE = 1.4%). "Any employment and training service" from any source.</t>
  </si>
  <si>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</si>
  <si>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</si>
  <si>
    <t>Exhibit 6.2, p. 162: incremental training cost to society = $831 per enrollee for adult men.</t>
  </si>
  <si>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t>
  </si>
  <si>
    <t>Adult men: median 2.8 months enrolled. Orr et al. 1994, Exhibit 3.18.</t>
  </si>
  <si>
    <t>Exhibit 3.15, "All Subgroups" row, "Adult men" col (3), p. 64: T enrollment = 62.3%. Control barred from JTPA for 18 months (p. 57); C crossover rate not reported. program_uptake_impact recorded as T enrollment rate, program_uptake_control_mean left blank.</t>
  </si>
  <si>
    <t>Exhibit 4.2, "Percentage receiving a service" panel, "Adult men" row, p. 77: T = 49.6%, C = 23.4%, Difference per Assignee = 26.2 pp (SE = 1.5%). "Any employment and training service" from any source.</t>
  </si>
  <si>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</si>
  <si>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</si>
  <si>
    <t>Exhibit 6.3, p. 165: incremental training cost to society = $1,316 per enrollee for female youths.</t>
  </si>
  <si>
    <t>FLAG: GAO sample (2,300 female youths) smaller than Orr's (2,657) due to exclusions. FLAG: No earnings or employment impacts significant at any horizon. FLAG: Female youth treatment group size drops to 1,592 at year 3 (footnote a, Table II.12).</t>
  </si>
  <si>
    <t>Female youths: median 4.3 months enrolled. Orr et al. 1994, Exhibit 3.18.</t>
  </si>
  <si>
    <t>Exhibit 3.15, "All Subgroups" row, "Female youths" col (4), p. 64: T enrollment = 66.6%. Control barred from JTPA for 18 months (p. 57); C crossover rate not reported. program_uptake_impact recorded as T enrollment rate, program_uptake_control_mean left blank.</t>
  </si>
  <si>
    <t>Exhibit 4.13, "Percentage receiving a service" panel, "Female youths" row, p. 101: T = 66.1%, C = 44.3%, Difference per Assignee = 21.8 pp (SE = 2.2%). "Any employment and training service" from any source.</t>
  </si>
  <si>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</si>
  <si>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</si>
  <si>
    <t>Exhibit 6.3, p. 165: incremental training cost to society = $1,955 per enrollee for male non-arrestee youths.</t>
  </si>
  <si>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t>
  </si>
  <si>
    <t>Male youth non-arrestees: median 3.2 months enrolled. Orr et al. 1994, Exhibit 3.18.</t>
  </si>
  <si>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</si>
  <si>
    <t>Exhibit 4.13, "Percentage receiving a service" panel, "Male youth non-arrestees" row, p. 101: T = 62.7%, C = 34.6%, Difference per Assignee = 28.1 pp (SE = 2.8%). "Any employment and training service" from any source.</t>
  </si>
  <si>
    <t>Primary: JOBSTART's core components are basic education (GED prep) and occupational training. The program is explicitly modeled on Job Corps to provide classroom education and vocational training to school dropouts. Job placement is a secondary component.</t>
  </si>
  <si>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</si>
  <si>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</si>
  <si>
    <t>Long-term (months 25-48): Table 5.12, p. 157, row 'Atlanta Job Corps', column 'Total Earnings, Months 25-48, Difference'. Impact=$2093, stars=''. Control mean from same table column 'Controls'=$10112. Medium-term (months 1-24): computed as months 1-48 minus months 25-48, both from Table 5.12, p. 157.</t>
  </si>
  <si>
    <t>Split-file linear analysis of covariance (ANCOVA) controlling for 19 pre-randomization characteristics within each site, not adjusted for cross-site differences (Table 5.12). Two-tailed t-test for within-site impacts.</t>
  </si>
  <si>
    <t>Months 25-48 (years 3-4 post-randomization) classified as long-term (~3+ years, midpoint ~36.5 months). Months 1-24 (years 1-2 post-randomization) classified as medium-term (~1-2 years, midpoint ~12.5 months). Computed by subtracting months 25-48 from months 1-48, both reported in Table 5.12.</t>
  </si>
  <si>
    <t>No SEs reported for site-level impacts. Only significance stars (*** p&lt;0.01, ** p&lt;0.05, * p&lt;0.10) for select sites. SE derived from stars where available using SE = |impact| / Phi^-1(1-p/2). Months 1-24 impacts computed by subtraction; no significance test available.</t>
  </si>
  <si>
    <t>Table 7.3, p. 191: total cost per experimental = $4863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</si>
  <si>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</si>
  <si>
    <t>Atlanta Job Corps center (public). Federal government-run vocational training. No CBO involvement, no employer engagement in curriculum design.</t>
  </si>
  <si>
    <t>mixed: JOBSTART was funded jointly by the U.S. Department of Labor and the Ford Foundation, with some additional local public and private funds at specific sites. Neither sector was clearly dominant in program operational funding.</t>
  </si>
  <si>
    <t>public: Atlanta Job Corps center is a federally operated Job Corps facility.</t>
  </si>
  <si>
    <t>All JOBSTART sites pooled: avg length of stay 6.8 months. Cave et al. 1993.</t>
  </si>
  <si>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</si>
  <si>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</si>
  <si>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</si>
  <si>
    <t>Long-term (months 25-48): Table 5.12, p. 157, row 'CET/San Jose', column 'Total Earnings, Months 25-48, Difference'. Impact=$6547, stars='***'. Control mean from same table column 'Controls'=$12362. Medium-term (months 1-24): computed as months 1-48 minus months 25-48, both from Table 5.12, p. 157.</t>
  </si>
  <si>
    <t>Table 7.3, p. 191: total cost per experimental = $2034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</si>
  <si>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</si>
  <si>
    <t>CET (Center for Employment Training) is a community-based organization. admin=private in extraction.</t>
  </si>
  <si>
    <t>No staffing agency involvement mentioned in Cave et al. 1993.</t>
  </si>
  <si>
    <t>CET model integrates training in 'occupations in demand in local labor market' with 'strong employer linkages' (Cave et al. 1993, Table 2.1). Employers engaged with curricula.</t>
  </si>
  <si>
    <t>CET provided job placement assistance as part of its integrated model.</t>
  </si>
  <si>
    <t>CET model is known for employer involvement in curriculum design — training occupations determined by local labor market demand with employer input.</t>
  </si>
  <si>
    <t>No formal employer commitment to hire documented. Strong linkages but not binding commitments.</t>
  </si>
  <si>
    <t>private: CET/San Jose is a nonprofit community-based organization.</t>
  </si>
  <si>
    <t>CET/San Jose JOBSTART site: using pooled avg 6.8 months (site-specific not reported). Cave et al. 1993.</t>
  </si>
  <si>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</si>
  <si>
    <t>Long-term (months 25-48): Table 5.12, p. 157, row 'Chicago Commons', column 'Total Earnings, Months 25-48, Difference'. Impact=$-1417, stars=''. Control mean from same table column 'Controls'=$11726. Medium-term (months 1-24): computed as months 1-48 minus months 25-48, both from Table 5.12, p. 157.</t>
  </si>
  <si>
    <t>Table 7.3, p. 191: total cost per experimental = $6477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</si>
  <si>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</si>
  <si>
    <t>Chicago Commons is a community-based organization (admin=private).</t>
  </si>
  <si>
    <t>No staffing agency partnerships described (Cave et al. 1993).</t>
  </si>
  <si>
    <t>Chicago Commons had 'strong ties to local employers' but no evidence employers designed curricula (Cave et al. 1993, pp. 68-69).</t>
  </si>
  <si>
    <t>Strong job placement: 'placement specialists provided leads and assistance in finding a job' and 'especially strong ties to local employers' (Cave et al. 1993, p. 68).</t>
  </si>
  <si>
    <t>Training was occupational and partially integrated, but no evidence employers designed curriculum content (Cave et al. 1993).</t>
  </si>
  <si>
    <t>No employer hiring commitments described (Cave et al. 1993).</t>
  </si>
  <si>
    <t>private: Chicago Commons is a nonprofit settlement house.</t>
  </si>
  <si>
    <t>Chicago Commons JOBSTART: using pooled avg 6.8 months. Cave et al. 1993.</t>
  </si>
  <si>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</si>
  <si>
    <t>Long-term (months 25-48): Table 5.12, p. 157, row 'Connelley Skill Learning Center', column 'Total Earnings, Months 25-48, Difference'. Impact=$785, stars=''. Control mean from same table column 'Controls'=$6685. Medium-term (months 1-24): computed as months 1-48 minus months 25-48, both from Table 5.12, p. 157.</t>
  </si>
  <si>
    <t>Table 7.3, p. 191: total cost per experimental = $5185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</si>
  <si>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</si>
  <si>
    <t>Public vocational school/skills center (admin=public). No CBO, no employer engagement in curriculum documented in Cave et al. 1993.</t>
  </si>
  <si>
    <t>public: Connelley Skill Learning Center is a public vocational school in Pittsburgh.</t>
  </si>
  <si>
    <t>Connelley JOBSTART: using pooled avg 6.8 months. Cave et al. 1993.</t>
  </si>
  <si>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</si>
  <si>
    <t>Long-term (months 25-48): Table 5.12, p. 157, row 'East LA Skills Center', column 'Total Earnings, Months 25-48, Difference'. Impact=$1343, stars=''. Control mean from same table column 'Controls'=$13158. Medium-term (months 1-24): computed as months 1-48 minus months 25-48, both from Table 5.12, p. 157.</t>
  </si>
  <si>
    <t>Table 7.3, p. 191: total cost per experimental = $4887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</si>
  <si>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</si>
  <si>
    <t>public: East LA Skills Center is a public adult education center.</t>
  </si>
  <si>
    <t>East LA JOBSTART: using pooled avg 6.8 months. Cave et al. 1993.</t>
  </si>
  <si>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</si>
  <si>
    <t>Long-term (months 25-48): Table 5.12, p. 157, row 'EGOS (Denver)', column 'Total Earnings, Months 25-48, Difference'. Impact=$401, stars=''. Control mean from same table column 'Controls'=$10690. Medium-term (months 1-24): computed as months 1-48 minus months 25-48, both from Table 5.12, p. 157.</t>
  </si>
  <si>
    <t>Table 7.3, p. 191: total cost per experimental = $2100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</si>
  <si>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</si>
  <si>
    <t>public: EGOS (Employment and Guidance Opportunities for Students) operated through Denver public schools.</t>
  </si>
  <si>
    <t>EGOS (Denver) JOBSTART: using pooled avg 6.8 months. Cave et al. 1993.</t>
  </si>
  <si>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</si>
  <si>
    <t>Long-term (months 25-48): Table 5.12, p. 157, row 'Phoenix Job Corps', column 'Total Earnings, Months 25-48, Difference'. Impact=$-1325, stars=''. Control mean from same table column 'Controls'=$8198. Medium-term (months 1-24): computed as months 1-48 minus months 25-48, both from Table 5.12, p. 157.</t>
  </si>
  <si>
    <t>Table 7.3, p. 191: total cost per experimental = $5313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</si>
  <si>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</si>
  <si>
    <t>Phoenix Job Corps center (public). Federal government program.</t>
  </si>
  <si>
    <t>public: Phoenix Job Corps is a federally funded Job Corps center.</t>
  </si>
  <si>
    <t>Phoenix Job Corps JOBSTART: using pooled avg 6.8 months. Cave et al. 1993.</t>
  </si>
  <si>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</si>
  <si>
    <t>Long-term (months 25-48): Table 5.12, p. 157, row 'SER/Corpus Christi', column 'Total Earnings, Months 25-48, Difference'. Impact=$485, stars=''. Control mean from same table column 'Controls'=$7992. Medium-term (months 1-24): computed as months 1-48 minus months 25-48, both from Table 5.12, p. 157.</t>
  </si>
  <si>
    <t>Table 7.3, p. 191: total cost per experimental = $2098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</si>
  <si>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</si>
  <si>
    <t>SER/Jobs for Progress is a community-based organization (admin=private).</t>
  </si>
  <si>
    <t>No employer engagement in curricula documented (Cave et al. 1993).</t>
  </si>
  <si>
    <t>Job placement 'noticeably weaker' at SER/Corpus Christi; site 'lacked any or sufficient in-house job development specialists' (Cave et al. 1993, p. 69).</t>
  </si>
  <si>
    <t>No employer curriculum role described (Cave et al. 1993).</t>
  </si>
  <si>
    <t>private: SER-Jobs for Progress/Corpus Christi is a nonprofit community organization.</t>
  </si>
  <si>
    <t>SER/Corpus Christi JOBSTART: using pooled avg 6.8 months. Cave et al. 1993.</t>
  </si>
  <si>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</si>
  <si>
    <t>Long-term (months 25-48): Table 5.12, p. 157, row 'El Centro Community College', column 'Total Earnings, Months 25-48, Difference'. Impact=$336, stars=''. Control mean from same table column 'Controls'=$11057. Medium-term (months 1-24): computed as months 1-48 minus months 25-48, both from Table 5.12, p. 157.</t>
  </si>
  <si>
    <t>Table 7.3, p. 191: total cost per experimental = $5306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</si>
  <si>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</si>
  <si>
    <t>El Centro Community College (admin=public). Community college, not CBO.</t>
  </si>
  <si>
    <t>public: El Centro Community College is a public community college in Dallas.</t>
  </si>
  <si>
    <t>El Centro JOBSTART: using pooled avg 6.8 months. Cave et al. 1993.</t>
  </si>
  <si>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</si>
  <si>
    <t>Long-term (months 25-48): Table 5.12, p. 157, row 'LA Job Corps', column 'Total Earnings, Months 25-48, Difference'. Impact=$-121, stars=''. Control mean from same table column 'Controls'=$12757. Medium-term (months 1-24): computed as months 1-48 minus months 25-48, both from Table 5.12, p. 157.</t>
  </si>
  <si>
    <t>Table 7.3, p. 191: total cost per experimental = $6114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</si>
  <si>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</si>
  <si>
    <t>LA Job Corps center (public). Federal government program.</t>
  </si>
  <si>
    <t>public: LA Job Corps is a federally funded Job Corps center.</t>
  </si>
  <si>
    <t>LA Job Corps JOBSTART: using pooled avg 6.8 months. Cave et al. 1993.</t>
  </si>
  <si>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</si>
  <si>
    <t>Long-term (months 25-48): Table 5.12, p. 157, row 'Allentown Youth Services Consortium', column 'Total Earnings, Months 25-48, Difference'. Impact=$904, stars=''. Control mean from same table column 'Controls'=$6577. Medium-term (months 1-24): computed as months 1-48 minus months 25-48, both from Table 5.12, p. 157.</t>
  </si>
  <si>
    <t>Table 7.3, p. 191: total cost per experimental = $5862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</si>
  <si>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</si>
  <si>
    <t>Allentown Youth Services Consortium is a private nonprofit consortium (admin=private).</t>
  </si>
  <si>
    <t>Sequential/brokered site; no employer engagement in curricula (Cave et al. 1993).</t>
  </si>
  <si>
    <t>Job placement 'noticeably weaker'; sequential/brokered site where 'only informal assistance was available' (Cave et al. 1993, p. 69).</t>
  </si>
  <si>
    <t>private: Allentown Youth Services Consortium was a private nonprofit.</t>
  </si>
  <si>
    <t>Allentown JOBSTART: using pooled avg 6.8 months. Cave et al. 1993.</t>
  </si>
  <si>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</si>
  <si>
    <t>Long-term (months 25-48): Table 5.12, p. 157, row 'BSA (NYC)', column 'Total Earnings, Months 25-48, Difference'. Impact=$1424, stars=''. Control mean from same table column 'Controls'=$10499. Medium-term (months 1-24): computed as months 1-48 minus months 25-48, both from Table 5.12, p. 157.</t>
  </si>
  <si>
    <t>Table 7.3, p. 191: total cost per experimental = $7484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</si>
  <si>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</si>
  <si>
    <t>Basic Skills Academy (BSA) in NYC is a community-based organization (admin=private).</t>
  </si>
  <si>
    <t>Job placement 'noticeably weaker'; 'responsibility fell solely on training provider' (Cave et al. 1993, p. 23).</t>
  </si>
  <si>
    <t>private: BSA (Brooklyn Skills Alliance) is a nonprofit in NYC.</t>
  </si>
  <si>
    <t>BSA (NYC) JOBSTART: using pooled avg 6.8 months. Cave et al. 1993.</t>
  </si>
  <si>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</si>
  <si>
    <t>Long-term (months 25-48): Table 5.12, p. 157, row 'CREC (Hartford)', column 'Total Earnings, Months 25-48, Difference'. Impact=$-1370, stars=''. Control mean from same table column 'Controls'=$11124. Medium-term (months 1-24): computed as months 1-48 minus months 25-48, both from Table 5.12, p. 157.</t>
  </si>
  <si>
    <t>Table 7.3, p. 191: total cost per experimental = $5166 in 1986 dollars. Gross cost ≈ net cost because non-JOBSTART services for experimentals and controls were approximately equal (p. 193).</t>
  </si>
  <si>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</si>
  <si>
    <t>Capitol Region Education Council (CREC) is an educational service agency, not a CBO in the Peck sense. admin=private but functions as educational entity.</t>
  </si>
  <si>
    <t>private: CREC (Connecticut Regional Education Council) in Hartford operated as a private nonprofit.</t>
  </si>
  <si>
    <t>CREC (Hartford) JOBSTART: using pooled avg 6.8 months. Cave et al. 1993.</t>
  </si>
  <si>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</si>
  <si>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</si>
  <si>
    <t>Sample sizes: Table 1, Alameda section, bottom row 'Sample size'. Randomization period: Table 1 notes page. Target group: text p. 2 ('AFDC-FG single heads of household'). Data source: Table 1 SOURCE note ('MDRC calculations from California UI earnings records and county AFDC records').</t>
  </si>
  <si>
    <t>Short-term (Year 1): Table 1, Alameda section, rows 'Ever employed / Year 1' and 'Average total earnings / Year 1'. Medium-term (Year 2): same table, Year 2 rows. Long-term (Year 5): same table, Year 5 rows. Control means from 'Controls' column of same rows.</t>
  </si>
  <si>
    <t>Regression-adjusted experimental-control difference (ITT), using OLS controlling for pre-random assignment characteristics of sample members. Two-tailed t-test applied.</t>
  </si>
  <si>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</si>
  <si>
    <t>SEs not reported in this working paper. Only significance stars: *** = p&lt;0.01, ** = p&lt;0.05, * = p&lt;0.10.</t>
  </si>
  <si>
    <t>Not reported in this working paper. Riccio, Friedlander, and Freedman (1994) may contain cost data.</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</si>
  <si>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</si>
  <si>
    <t>GAIN: California state welfare-to-work program administered by county welfare agencies (admin=public). Referrals to education and job search. No CBO lead, no employer engagement in curriculum, no sector focus.</t>
  </si>
  <si>
    <t>public: California's Greater Avenues for Independence (GAIN) was funded by state and federal welfare funds under the JOBS program. No significant private funding.</t>
  </si>
  <si>
    <t>public: County welfare departments (Departments of Social Services) administered GAIN directly, including intake, case management, and referrals to education/training.</t>
  </si>
  <si>
    <t>GAIN is a welfare-to-work case management program, not fixed-duration training. Alameda: no tracking data available for months of activity participation. Riccio &amp; Friedlander 1992, Table 2.2. Duration ambiguous.</t>
  </si>
  <si>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</si>
  <si>
    <t>Sample sizes: Table 1, Butte section, bottom row 'Sample size'. Randomization period: Table 1 notes page. Target group: text p. 2 ('AFDC-FG single heads of household'). Data source: Table 1 SOURCE note ('MDRC calculations from California UI earnings records and county AFDC records').</t>
  </si>
  <si>
    <t>Short-term (Year 1): Table 1, Butte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</si>
  <si>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</si>
  <si>
    <t>GAIN Butte: avg 2.4 months participating in GAIN activities within 11 months after orientation. Riccio &amp; Friedlander 1992, Table 2.2. Note: this is a welfare-to-work case management program; duration measures time in activities, not a fixed program length.</t>
  </si>
  <si>
    <t>Sample sizes: Table 1, Los Angeles section, bottom row 'Sample size'. Randomization period: Table 1 notes page. Target group: text p. 2 ('AFDC-FG single heads of household'). Data source: Table 1 SOURCE note ('MDRC calculations from California UI earnings records and county AFDC records').</t>
  </si>
  <si>
    <t>Short-term (Year 1): Table 1, Los Angeles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</si>
  <si>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</si>
  <si>
    <t>GAIN LA: no tracking data available for months of activity participation. Riccio &amp; Friedlander 1992, Table 2.2. Duration ambiguous—GAIN is welfare-to-work case management.</t>
  </si>
  <si>
    <t>Sample sizes: Table 1, Riverside section, bottom row 'Sample size'. Randomization period: Table 1 notes page. Target group: text p. 2 ('AFDC-FG single heads of household'). Data source: Table 1 SOURCE note ('MDRC calculations from California UI earnings records and county AFDC records').</t>
  </si>
  <si>
    <t>Short-term (Year 1): Table 1, Riverside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</si>
  <si>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</si>
  <si>
    <t>GAIN Riverside: avg 3.2 months participating in GAIN activities within 11 months after orientation. Riccio &amp; Friedlander 1992, Table 2.2. Note: welfare-to-work case management.</t>
  </si>
  <si>
    <t>Sample sizes: Table 1, San Diego section, bottom row 'Sample size'. Randomization period: Table 1 notes page. Target group: text p. 2 ('AFDC-FG single heads of household'). Data source: Table 1 SOURCE note ('MDRC calculations from California UI earnings records and county AFDC records').</t>
  </si>
  <si>
    <t>Short-term (Year 1): Table 1, San Diego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</si>
  <si>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</si>
  <si>
    <t>GAIN San Diego: avg 3.1 months participating in GAIN activities within 11 months after orientation. Riccio &amp; Friedlander 1992, Table 2.2. Note: welfare-to-work case management.</t>
  </si>
  <si>
    <t>Sample sizes: Table 1, Tulare section, bottom row 'Sample size'. Randomization period: Table 1 notes page. Target group: text p. 2 ('AFDC-FG single heads of household'). Data source: Table 1 SOURCE note ('MDRC calculations from California UI earnings records and county AFDC records').</t>
  </si>
  <si>
    <t>Short-term (Year 1): Table 1, Tulare section, rows 'Ever employed / Year 1' and 'Average total earnings / Year 1'. Medium-term (Year 2): same table, Year 2 rows. Long-term (Year 5): same table, Year 5 rows. Control means from 'Controls' column of same rows.</t>
  </si>
  <si>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</si>
  <si>
    <t>GAIN Tulare: avg 4.2 months participating in GAIN activities within 11 months after orientation. Riccio &amp; Friedlander 1992, Table 2.2. Note: welfare-to-work case management.</t>
  </si>
  <si>
    <t>Primary: Career Academies are school-within-a-school programs where classroom instruction (academic + career/technical curriculum) IS the core intervention. Work-based learning supplements the classroom.</t>
  </si>
  <si>
    <t>has_classroom=1: academic and CTE courses. has_ojt=0: work-based learning is employer exposure, not structured OJT. has_jsa=0: no formal job search component. has_multiple_components=1: classroom + work-based learning + employer partnerships.</t>
  </si>
  <si>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</si>
  <si>
    <t>MT (Years 1-4): Exhibit 1, 'Average monthly earnings' row, 'During Years 1-4' column, p.13. LT (Years 5-8): same table, 'During Years 5-8' column.</t>
  </si>
  <si>
    <t>ITT regression-adjusted impact (MDRC standard), controlling for baseline characteristics.</t>
  </si>
  <si>
    <t>Report groups 8-year follow-up into two 4-year blocks. Years 1-4 center ~2.5 years post-HS graduation → medium-term. Years 5-8 center ~6.5 years → long-term. No single-year data available.</t>
  </si>
  <si>
    <t>SEs not reported. Only significance stars (*** = p&lt;0.01). Technical companion may contain SEs.</t>
  </si>
  <si>
    <t>Cost not reported in this paper.</t>
  </si>
  <si>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</si>
  <si>
    <t>Career Academies are public school programs (admin=public), not CBO-led.</t>
  </si>
  <si>
    <t>No staffing agency involvement.</t>
  </si>
  <si>
    <t>Employer partnerships providing work-based learning; career themes organized around industries. Employers engaged with curricula through career theme development (Kemple &amp; Willner 2008, p.1).</t>
  </si>
  <si>
    <t>High school program without dedicated job development staff. Work-based learning was embedded in the school model.</t>
  </si>
  <si>
    <t>Career/technical curricula built around career themes with employer partnerships. Employers had input on career theme curriculum (Kemple &amp; Willner 2008).</t>
  </si>
  <si>
    <t>No formal employer commitment to hire students.</t>
  </si>
  <si>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</si>
  <si>
    <t>public: Career Academies operate within public school systems, administered by school districts and staffed by public school teachers.</t>
  </si>
  <si>
    <t>Career Academies span grades 9-12 (3-4 years) but no average actual participation duration reported. Kemple &amp; Willner 2008. Duration missing.</t>
  </si>
  <si>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</si>
  <si>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</si>
  <si>
    <t>Primary: Year Up's core service is six months of intensive classroom training in IT/financial services occupations, followed by six-month internships. The program IS training.</t>
  </si>
  <si>
    <t>has_classroom=1: six months of formal classroom instruction in IT/financial operations. has_ojt=1: six-month internships at major employers. has_jsa=1: post-graduation job placement assistance. has_multiple_components=1: classroom + internship + stipends + social support.</t>
  </si>
  <si>
    <t>Sample sizes: Exhibit 1-1, pp.8-9. Demographics: same exhibit. Randomization period: p.4. Cost: Exhibit 5-2, p.49. pct_no_hs_diploma source: Fein &amp; Hamadyk 2018 (Year Up Implementation and Early Impact Report), Exhibit 3-2, p. 29, "Less than a high school degree" row.</t>
  </si>
  <si>
    <t>ST (Year 2): Exhibit 2-1, 'Annual earnings' row, 'Year 2' column, p.14. MT (Year 3): same table, 'Year 3'. LT (Q23-24): same table, 'Average quarterly earnings Q23-24' row. LT employment: Exhibit 2-3, row 'Not currently employed' (complement), p.16. T=20.1%, C=18.9%, impact=+1.2 pp on non-employment → -1.2 pp on employment.</t>
  </si>
  <si>
    <t>ITT from OLS with demographic controls (Abt Associates standard PACE methodology).</t>
  </si>
  <si>
    <t>Year 2 (~12-24 months post-enrollment, first full post-program year) → short-term. Year 3 (~24-36 months) → medium-term. Q23-24 (~66-72 months, Year 6) → long-term.</t>
  </si>
  <si>
    <t>SEs reported directly in Exhibit 2-1.</t>
  </si>
  <si>
    <t>Exhibit 5-2, p.49. Net incremental cost = $23,135 (gross $28,290 minus control group service costs $5,155).</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</si>
  <si>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</si>
  <si>
    <t>Peck et al. 2021 dataset (PACE-Year Up): coded as 1</t>
  </si>
  <si>
    <t>Peck et al. 2021 dataset (PACE-Year Up): coded as 0</t>
  </si>
  <si>
    <t>mixed: Year Up's operating revenue comes from a combination of employer fees for interns (~50%), private philanthropy, and government grants. No single sector dominates.</t>
  </si>
  <si>
    <t>private: Year Up is a national nonprofit organization that directly operates its programs.</t>
  </si>
  <si>
    <t>Year Up: 6 months classroom training + 6 months corporate internship = 12 months total. Juras et al. 2022; PACE Year Up report.</t>
  </si>
  <si>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</si>
  <si>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</si>
  <si>
    <t>Primary: the HCD (Human Capital Development) approach is explicitly education-focused, emphasizing basic education, GED preparation, post-secondary education, and vocational training as the core pathway before job search. Classroom instruction is the central service.</t>
  </si>
  <si>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</si>
  <si>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</si>
  <si>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</si>
  <si>
    <t>Regression-adjusted experimental-control difference (ITT), OLS controlling for pre-random assignment characteristics of sample members.</t>
  </si>
  <si>
    <t>Year 1 (quarters 2-5, ~3-15 months post-random-assignment) → short-term per CKW. Year 2 (quarters 6-9, ~15-27 months) → medium-term. Year 5 (quarters 18-21, ~51-63 months) → long-term. Per protocol: pick value closest to center of each bin when year-by-year data available.</t>
  </si>
  <si>
    <t>SEs not reported. Only significance stars from two-tailed t-test: * = p&lt;0.10, ** = p&lt;0.05, *** = p&lt;0.01.</t>
  </si>
  <si>
    <t>Table 13.4, Atlanta Human Capital Development, Total row. 5-year net cost in 1999 dollars.</t>
  </si>
  <si>
    <t xml:space="preserve">FLAG: No SEs reported — only significance stars. Cannot compute t-statistics. FLAG: Demographics not yet extracted from Table 2.1. FLAG: Employment measure is annual ('employed in at least one quarter of year'), not quarterly. </t>
  </si>
  <si>
    <t>NEWWS: Welfare-to-work program administered by welfare agencies (admin=mixed). Education-focused or employment-focused approaches. No CBO lead, no employer engagement in curriculum, no sector focus, no staffing agency.</t>
  </si>
  <si>
    <t>public: NEWWS evaluated mandatory welfare-to-work programs under the JOBS program, funded by federal JOBS matching funds and state/county welfare appropriations. No significant private funding of program operations.</t>
  </si>
  <si>
    <t>mixed: State and county welfare agencies (public) administered the programs but contracted with community colleges, nonprofits, and other providers (public and private) for education, training, and job search services. The degree of contracting varied by site.</t>
  </si>
  <si>
    <t>NEWWS Atlanta HCD: welfare-to-work program. Participants required to participate 9-17 months depending on site; actual activity participation episodic. No site-specific avg duration reported. Hamilton et al. 2001. Duration ambiguous.</t>
  </si>
  <si>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</si>
  <si>
    <t>any_training: Hamilton et al. 2001, Table 3.1, 'Any education or training' row, 'Atlanta Human Capital Development' column. Program=61.2%, Control=35.3%, Difference=25.8***.</t>
  </si>
  <si>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</si>
  <si>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</si>
  <si>
    <t>Table 13.4, Grand Rapids Human Capital Development, Total row. 5-year net cost in 1999 dollars.</t>
  </si>
  <si>
    <t>NEWWS Grand Rapids HCD: welfare-to-work. No site-specific avg training duration reported. Hamilton et al. 2001.</t>
  </si>
  <si>
    <t>program_uptake: Hamilton et al. 2001, Table 3.1, 'Any activity' row, 'Grand Rapids Human Capital Development' column. Program=81.1%, Control=63.9%, Difference=17.1***.</t>
  </si>
  <si>
    <t>any_training: Hamilton et al. 2001, Table 3.1, 'Any education or training' row, 'Grand Rapids Human Capital Development' column. Program=69.3%, Control=55.2%, Difference=14.1***.</t>
  </si>
  <si>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</si>
  <si>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</si>
  <si>
    <t>Table 13.4, Riverside Human Capital Development,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</si>
  <si>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</si>
  <si>
    <t>NEWWS Riverside HCD: welfare-to-work. No site-specific avg training duration reported. Hamilton et al. 2001.</t>
  </si>
  <si>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</si>
  <si>
    <t>any_training: Hamilton et al. 2001, Table 3.1, 'Any education or training' row, 'Riverside Human Capital Development' column. Program=68.9%, Control=47.1%, Difference=21.9***.</t>
  </si>
  <si>
    <t>Secondary: Columbus programs tested case management models (integrated vs. traditional) within a welfare-to-work framework. Education and training were significant components but the primary experimental variation was in case management structure, not training content.</t>
  </si>
  <si>
    <t>has_classroom=1: basic education, post-secondary education, vocational training. has_ojt=1: work experience component. has_jsa=1: job search activities. has_multiple_components=1: combines education, training, job search, work experience, and case management.</t>
  </si>
  <si>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</si>
  <si>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</si>
  <si>
    <t>Table 13.4, Columbus Integrated,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</si>
  <si>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</si>
  <si>
    <t>NEWWS Columbus Integrated: welfare-to-work. No site-specific avg training duration reported. Hamilton et al. 2001; Scrivener &amp; Walter 2001.</t>
  </si>
  <si>
    <t>program_uptake: Not extracted. Hamilton et al. 2001 reports five-year participation data from the Five-Year Client Survey for only 4 sites (Atlanta, Grand Rapids, Riverside, Portland). Columbus Integrated does not have survey-based participation data in this report.</t>
  </si>
  <si>
    <t>any_training: Not extracted. Same reason as program_uptake — no five-year survey data for Columbus Integrated in Hamilton et al. 2001.</t>
  </si>
  <si>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</si>
  <si>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</si>
  <si>
    <t>Table 13.4, Columbus Traditional, Total row. 5-year net cost in 1999 dollars.</t>
  </si>
  <si>
    <t>NEWWS Columbus Traditional: welfare-to-work. No site-specific avg training duration reported. Hamilton et al. 2001.</t>
  </si>
  <si>
    <t>program_uptake: Not extracted. Hamilton et al. 2001 reports five-year participation data from the Five-Year Client Survey for only 4 sites (Atlanta, Grand Rapids, Riverside, Portland). Columbus Traditional does not have survey-based participation data in this report.</t>
  </si>
  <si>
    <t>any_training: Not extracted. Same reason as program_uptake — no five-year survey data for Columbus Traditional in Hamilton et al. 2001.</t>
  </si>
  <si>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</si>
  <si>
    <t>has_classroom=1: basic education and vocational training (combined as 'education and training'). has_ojt=1: work experience component. has_jsa=1: job search activities. has_multiple_components=1: combines education, training, job search, work experience, and case management.</t>
  </si>
  <si>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</si>
  <si>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Detroit MOST, Year 1 row (employment); Appendix Table C.2, Detroit MOST, Year 1 row (earnings). Medium-term (Year 2): same tables, Year 2 rows. Long-term (Year 5): same tables, Year 5 rows. Control means from 'Control Group (%)' or 'Control Group ($)' columns of same rows.</t>
  </si>
  <si>
    <t>Table 13.4, Detroit, Total row. 5-year net cost in 1999 dollars.</t>
  </si>
  <si>
    <t>NEWWS Detroit MOST: welfare-to-work. No site-specific avg training duration reported. Hamilton et al. 2001.</t>
  </si>
  <si>
    <t>program_uptake: Not extracted. Hamilton et al. 2001 reports five-year participation data from the Five-Year Client Survey for only 4 sites (Atlanta, Grand Rapids, Riverside, Portland). Detroit MOST does not have survey-based participation data in this report.</t>
  </si>
  <si>
    <t>any_training: Not extracted. Same reason as program_uptake — no five-year survey data for Detroit MOST in Hamilton et al. 2001.</t>
  </si>
  <si>
    <t>Secondary: Oklahoma City ET&amp;E (Education, Training, and Employment) included training as one component of a broader welfare-to-work program. The program combined education, training, and employment activities; training was not the sole focus.</t>
  </si>
  <si>
    <t>has_classroom=1: basic education and vocational training components. has_ojt=0: no structured OJT reported as a major component. has_jsa=1: job search activities. has_multiple_components=1: combines education, training, and employment activities + case management.</t>
  </si>
  <si>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</si>
  <si>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</si>
  <si>
    <t>Oklahoma City not included in Table 13.4; cost data not reported for this site.</t>
  </si>
  <si>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</si>
  <si>
    <t>NEWWS Oklahoma City: welfare-to-work. No site-specific avg training duration reported. Hamilton et al. 2001.</t>
  </si>
  <si>
    <t>program_uptake: Not extracted. Hamilton et al. 2001 reports five-year participation data from the Five-Year Client Survey for only 4 sites (Atlanta, Grand Rapids, Riverside, Portland). Oklahoma City ET&amp;E does not have survey-based participation data in this report.</t>
  </si>
  <si>
    <t>any_training: Not extracted. Same reason as program_uptake — no five-year survey data for Oklahoma City ET&amp;E in Hamilton et al. 2001.</t>
  </si>
  <si>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</si>
  <si>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</si>
  <si>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</si>
  <si>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</si>
  <si>
    <t>Table 13.4, Portland, Total row. 5-year net cost in 1999 dollars.</t>
  </si>
  <si>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</si>
  <si>
    <t>NEWWS Portland JOBS: welfare-to-work. No site-specific avg training duration reported. Hamilton et al. 2001.</t>
  </si>
  <si>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</si>
  <si>
    <t>any_training: Hamilton et al. 2001, Table 3.1, 'Any education or training' row, 'Portland' column. Program=67.5%, Control=55.0%, Difference=12.5***.</t>
  </si>
  <si>
    <t>Primary: the program's core service is classroom-based education and/or occupational training. All PACE programs are career pathways training interventions.</t>
  </si>
  <si>
    <t>has_classroom=1: formal classroom instruction (occupational training, basic education). has_ojt=0: no structured on-the-job training component. has_jsa varies by program. has_multiple_components=1: training + supports.</t>
  </si>
  <si>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</si>
  <si>
    <t>ST (Year 1): Exhibit B-2, 'Year 1 (Q 0-3)' row, p.31. MT (Year 2): same table, 'Year 2 (Q 4-7)' row. LT (Confirm): same table, 'Confirmatory outcome' row. LT employment: same table, 'Employed (%) in follow-up Q24' row.</t>
  </si>
  <si>
    <t>ITT regression-adjusted impact from OLS with baseline demographic controls (Abt Associates PACE methodology).</t>
  </si>
  <si>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</si>
  <si>
    <t>SEs reported directly in Appendix B tables.</t>
  </si>
  <si>
    <t>Cost data not extracted from cross-site report; available in individual program reports.</t>
  </si>
  <si>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</si>
  <si>
    <t>Peck et al. 2021 dataset (PACE-Bridge to Employment): coded as 0</t>
  </si>
  <si>
    <t>Peck et al. 2021 dataset (PACE-Bridge to Employment): coded as 1</t>
  </si>
  <si>
    <t>public: All PACE programs were funded through combinations of public sources: community college budgets, Pell grants, WIA/WIOA funds, TANF, and state workforce development funds. Some sites had supplemental private funding but public sources dominated.</t>
  </si>
  <si>
    <t>public: Bridge to Employment was based at San Diego Continuing Education (public adult ed).</t>
  </si>
  <si>
    <t>Bridge to Employment (San Diego): among those who enrolled in training, avg 4.9 months in training. PACE San Diego Three-Year Report 2020.</t>
  </si>
  <si>
    <t>program_uptake: PACE San Diego BTE Three-Year Impact Report 2020, Section 1.2.1, p.10: 'about 82 percent of treatment group members participated in healthcare training' (from HPOG administrative records). Control group barred from BTE by design, so C=0. Impact = 82 - 0 = 82 pp.</t>
  </si>
  <si>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</si>
  <si>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</si>
  <si>
    <t>ST: Exhibit B-5, 'Year 1 (Q 0-3)' row, p.33. MT: same table, 'Year 2 (Q 4-7)'. LT: same table, 'Confirmatory outcome'. LT emp: same table, 'Employed (%) in follow-up Q24'.</t>
  </si>
  <si>
    <t>Peck et al. 2021 dataset (PACE-Carreras en Salud): coded as 1</t>
  </si>
  <si>
    <t>Peck et al. 2021 dataset (PACE-Carreras en Salud): coded as 0</t>
  </si>
  <si>
    <t>private: Carreras en Salud was run by Instituto del Progreso Latino, a nonprofit CBO in Chicago.</t>
  </si>
  <si>
    <t>Carreras en Salud (Chicago): multi-step pathway from lower bridge courses (CNA, 16+16 weeks) to LPN (12 months). Total duration varies widely by pathway chosen. PACE Carreras Six-Year Report 2022. Duration ambiguous.</t>
  </si>
  <si>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</si>
  <si>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</si>
  <si>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</si>
  <si>
    <t>ST: Exhibit B-8, 'Year 1 (Q 0-3)' row, p.35. MT: same table, 'Year 2 (Q 4-7)'. LT: same table, 'Confirmatory outcome'. LT emp: same table, 'Employed (%) in follow-up Q24'.</t>
  </si>
  <si>
    <t>Peck et al. 2021 dataset (PACE-Health Careers for All): coded as 0</t>
  </si>
  <si>
    <t>Peck et al. 2021 dataset (PACE-Health Careers for All): coded as 1</t>
  </si>
  <si>
    <t>public: Health Careers for All was a consortium of community colleges in Seattle (public).</t>
  </si>
  <si>
    <t>Health Careers for All (Seattle): avg duration of education/training at non-college schools was only 0.84 months for treatment group. Short-term program with modest training component. PACE WDC Three-Year Report 2020. Duration ambiguous.</t>
  </si>
  <si>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</si>
  <si>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</si>
  <si>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</si>
  <si>
    <t>ST: Exhibit B-11, 'Year 1 (Q 0-3)' row, p.36. MT: same table, 'Year 2 (Q 4-7)'. LT: same table, 'Confirmatory outcome'. LT emp: same table, 'Employed (%) in follow-up Q24'.</t>
  </si>
  <si>
    <t>Peck et al. 2021 dataset (PACE-IBest): coded as 0</t>
  </si>
  <si>
    <t>Peck et al. 2021 dataset (PACE-IBest): coded as 1</t>
  </si>
  <si>
    <t>public: I-BEST is a Washington State community and technical college program (public).</t>
  </si>
  <si>
    <t>I-BEST (WA): short-term college program, roughly one semester. Exact avg duration not reported in months. PACE I-BEST Six-Year Report 2022.</t>
  </si>
  <si>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</si>
  <si>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</si>
  <si>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</si>
  <si>
    <t>ST: Exhibit B-17, 'Year 1 (Q 0-3)' row, p.40. MT: same table, 'Year 2 (Q 4-7)'. LT: same table, 'Confirmatory outcome'. LT emp: same table, 'Employed (%) in follow-up Q24'.</t>
  </si>
  <si>
    <t>Peck et al. 2021 dataset (PACE-Pathways to Healthcare): coded as 0</t>
  </si>
  <si>
    <t>Peck et al. 2021 dataset (PACE-Pathways to Healthcare): coded as 1</t>
  </si>
  <si>
    <t>public: Pathways to Healthcare was based at Pima Community College in Tucson (public).</t>
  </si>
  <si>
    <t>Pathways to Healthcare (Pima): 'compressed basic skills programs that in one semester remediated students.' Exact avg months not reported. PACE Pima Three-Year Report 2020.</t>
  </si>
  <si>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</si>
  <si>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</si>
  <si>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</si>
  <si>
    <t>ST: Exhibit B-14, 'Year 1 (Q 0-3)' row, p.39. MT: same table, 'Year 2 (Q 4-7)'. LT: same table, 'Confirmatory outcome'. LT emp: same table, 'Employed (%) in follow-up Q24'.</t>
  </si>
  <si>
    <t>Peck et al. 2021 dataset (PACE-Patient Care Academies): coded as 0</t>
  </si>
  <si>
    <t>public: Patient Care Pathway was at Madison Area Technical College (public).</t>
  </si>
  <si>
    <t>Patient Care Pathway Program (Madison): 'semester-long academies.' Roughly 4-5 months. PACE Madison Three-Year Report 2020. Duration approximate.</t>
  </si>
  <si>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</si>
  <si>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</si>
  <si>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</si>
  <si>
    <t>ST: Exhibit B-20, 'Year 1 (Q 0-3)' row, p.42. MT: same table, 'Year 2 (Q 4-7)'. LT: same table, 'Confirmatory outcome'. LT emp: same table, 'Employed (%) in follow-up Q24'.</t>
  </si>
  <si>
    <t>Peck et al. 2021 dataset (PACE-VIDA): coded as 1</t>
  </si>
  <si>
    <t>Peck et al. 2021 dataset (PACE-VIDA): coded as 0</t>
  </si>
  <si>
    <t>private: VIDA (Valley Initiative for Development and Advancement) is a nonprofit CBO in the Rio Grande Valley.</t>
  </si>
  <si>
    <t>VIDA (Rio Grande Valley): required full-time enrollment in certificate/degree programs of varying length. Avg duration not reported. PACE VIDA Six-Year Report 2022.</t>
  </si>
  <si>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</si>
  <si>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</si>
  <si>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</si>
  <si>
    <t>Hamadyk &amp; Juras 2021 Ch.4: Q12-13 earn +$93 (ns, 90% CI -$275 to +$461). Juras et al. 2022: Q23-24 earn -$135, SE=288; 6yr employment +2pp, SE=3.1. No detectable impact at any horizon.</t>
  </si>
  <si>
    <t>Peck et al. 2021 dataset (PACE-WTA Connect): coded as 0</t>
  </si>
  <si>
    <t>Peck et al. 2021 dataset (PACE-WTA Connect): coded as 1</t>
  </si>
  <si>
    <t>public: WTA Connect was based at Des Moines Area Community College (public).</t>
  </si>
  <si>
    <t>WTA Connect (Des Moines): avg 2.7 months of training for treatment group. Hamadyk &amp; Juras 2021, implementation findings.</t>
  </si>
  <si>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</si>
  <si>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</si>
  <si>
    <t>SSA earnings records (SER)</t>
  </si>
  <si>
    <t>Primary: Job Corps IS a training program. Its core services are academic education (GED prep, basic education) and vocational training. Residential setting and support services are facilitating infrastructure, not the intervention itself.</t>
  </si>
  <si>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</si>
  <si>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</si>
  <si>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</si>
  <si>
    <t>ITT regression-adjusted impact, estimated via OLS with controls for baseline demographic characteristics. Table 4 note: 'Regressions control for sample member characteristics.' (p.1875)</t>
  </si>
  <si>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</si>
  <si>
    <t>SEs reported directly in Table 4, in parentheses below each impact estimate.</t>
  </si>
  <si>
    <t>p.1883 text: 'about $16,500 per participant.' In 1995 dollars. Gross cost, not net.</t>
  </si>
  <si>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t>
  </si>
  <si>
    <t>National Job Corps Study: Federally-funded residential training program (admin=public). No CBO lead, no employer engagement in curriculum design, no staffing agency partnerships, no formal employer hiring commitments.</t>
  </si>
  <si>
    <t>public: Job Corps is 100% federally funded through annual DOL appropriations (~$1.7B/year). No private operational funding.</t>
  </si>
  <si>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</si>
  <si>
    <t>Average stay in Job Corps ~8 months. Schochet et al. 2008.</t>
  </si>
  <si>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</si>
  <si>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</si>
  <si>
    <t>Survey sample sizes: Table 2 note / Table 4 bottom, 6,828 T + 4,485 C (p.1872/1875). Demographics: same as SER row (Table 1, p.1867). Follow-up rate: ~80% at 48-month interview (p.1870).</t>
  </si>
  <si>
    <t>MT (CY1998): Table 4, 'Survey Data' panel, row '1998', 'Earnings Impact' column = 972 (SE 186). p.1875.</t>
  </si>
  <si>
    <t>ITT regression-adjusted impact, OLS with demographic controls, using survey-reported earnings.</t>
  </si>
  <si>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</si>
  <si>
    <t>SEs reported directly in Table 4.</t>
  </si>
  <si>
    <t>Same as SER row: p.1883, $16,500 per participant (1995 dollars, gross).</t>
  </si>
  <si>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t>
  </si>
  <si>
    <t>Secondary: the core intervention is subsidized transitional employment, not classroom training. Some sites included life skills workshops, financial literacy, GED referrals, and job readiness training, but these were ancillary to the main subsidized employment component.</t>
  </si>
  <si>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</si>
  <si>
    <t>N: Appendix Table B.1, 'Sample size' row, p.125: 501 treatment, 495 control. Cost: Table 5.2, 'Atlanta' row, p.89: net $6,219 (2016$). Demographics: Table 1.3 pooled for NCP sites (~93% male).</t>
  </si>
  <si>
    <t>MT earnings: Appendix Table B.1, 'Total earnings in the last year of the follow-up period ($)', p.125: impact $930, CI [-595, 2456]. MT employment: Appendix Table B.1, 'Ever employed in that last year (%)', p.125: impact 5.0*, CI [0.8, 9.3]. Control means from same rows: earn $13,168, emp 74.1%.</t>
  </si>
  <si>
    <t>ITT regression-adjusted impact, controlling for pre-random assignment characteristics. NDNH quarterly wage data used for employment and earnings outcomes.</t>
  </si>
  <si>
    <t>Last year of 30-month follow-up = months 18-30, centering around month 24 (~2 years post-RA). Classified as medium-term per CKW (~1-2 years). No short-term or long-term data separately reported.</t>
  </si>
  <si>
    <t>SEs derived from 90% confidence intervals: SE = (upper - lower) / (2 * 1.645).</t>
  </si>
  <si>
    <t>Table 5.2, p.89: net cost $6,219 per program group member (2016 dollars).</t>
  </si>
  <si>
    <t>FLAG: 30-month follow-up spans borderline medium/long-term. Last year (months 18-30) classified as MT. FLAG: Cumulative 30-month earnings strongly significant ($4,741***) but last-year earnings not significant ($930). FLAG: Demographics only available pooled across NCP sites, not site-specific.</t>
  </si>
  <si>
    <t>Atlanta Center for Self-Sufficiency (ACSS) is a CBO (admin=private).</t>
  </si>
  <si>
    <t>No staffing agency.</t>
  </si>
  <si>
    <t>Transitional employment, no employer engagement in training curricula.</t>
  </si>
  <si>
    <t>Participants worked at Goodwill store then moved to subsidized private-sector position. Case management provided but no evidence of dedicated job developers (Barden et al. 2018, Table 1.1).</t>
  </si>
  <si>
    <t>No employer role in curriculum design.</t>
  </si>
  <si>
    <t>No employer commitment to hire.</t>
  </si>
  <si>
    <t>public: Enhanced Transitional Jobs Demonstration was funded by DOL grants. No significant private funding of program operations.</t>
  </si>
  <si>
    <t>private: All ETJD grantee organizations were nonprofits/CBOs that directly administered the transitional jobs programs at their sites.</t>
  </si>
  <si>
    <t>ETJD Atlanta: ~4 months. Barden et al. 2018, Table 1.1.</t>
  </si>
  <si>
    <t>program_uptake: Barden et al. 2018, Figure 1.2, p.15: Atlanta subsidized employment rate = 97%. Also confirmed in text p.17: 'Almost all program group members (97 percent) were placed into the first stage of subsidized employment at Goodwill Industries.' Control = 0 by design. Impact = 97 pp.</t>
  </si>
  <si>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</si>
  <si>
    <t>N: Appendix Table C.1, p.127: 502 treatment, 501 control. Cost: Table 5.2, p.89: net $6,670 (2016$).</t>
  </si>
  <si>
    <t>MT earnings: Appendix Table C.1, 'Total earnings in the last year', p.127: impact $567, CI [-364, 1499]. MT employment: Appendix Table C.1, 'Ever employed in that last year', p.127: impact 2.5, CI [-2.1, 7.1]. Control means: earn $6,592, emp 69.2%.</t>
  </si>
  <si>
    <t>Last year (months 18-30) → medium-term. Same logic as Atlanta.</t>
  </si>
  <si>
    <t>Table 5.2, p.89: net $6,670 (2016$).</t>
  </si>
  <si>
    <t>FLAG: Neither last-year impact significant despite significant cumulative ($2,875***). FLAG: Demographics pooled across NCP sites.</t>
  </si>
  <si>
    <t>MAXIMUS is a for-profit company, not a CBO.</t>
  </si>
  <si>
    <t>No staffing agency partnerships described (Barden et al. 2018).</t>
  </si>
  <si>
    <t>Transitional jobs with private-sector employers; no employer engagement in curricula (Barden et al. 2018).</t>
  </si>
  <si>
    <t>Job-readiness workshop and transitional jobs placement with wage supplement. No evidence of dedicated job developers (Barden et al. 2018, Table 1.1).</t>
  </si>
  <si>
    <t>No employer role in curriculum design (Barden et al. 2018).</t>
  </si>
  <si>
    <t>No employer hiring commitments described (Barden et al. 2018).</t>
  </si>
  <si>
    <t>ETJD Milwaukee: ~6 months. Barden et al. 2018, Table 1.1.</t>
  </si>
  <si>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</si>
  <si>
    <t>N: Appendix Table D.1, p.133: 502 treatment, 492 control. Cost: Table 5.2, p.89: net $8,662 (2016$).</t>
  </si>
  <si>
    <t>MT earnings: Appendix Table D.1, 'Total earnings in the last year', p.133: impact $1,660*, CI [227, 3094]. MT employment: Appendix Table D.1, 'Ever employed in that last year', p.133: impact 7.6**, CI [2.7, 12.6]. Control means: earn $8,551, emp 53.9%.</t>
  </si>
  <si>
    <t>Table 5.2, p.89: net $8,662 (2016$).</t>
  </si>
  <si>
    <t>FLAG: Demographics pooled across NCP sites.</t>
  </si>
  <si>
    <t>SF Dept of Child Support Services (govt) + Arriba Juntos (CBO). Government-led partnership.</t>
  </si>
  <si>
    <t>Three-tier subsidized jobs model; no employer engagement in curricula (Barden et al. 2018).</t>
  </si>
  <si>
    <t>Three-tiered subsidized jobs with assessment and job-readiness training. No evidence of dedicated job developers (Barden et al. 2018, Table 1.1).</t>
  </si>
  <si>
    <t>No employer hiring commitments; child support incentives were the main enhancement (Barden et al. 2018).</t>
  </si>
  <si>
    <t>ETJD San Francisco: duration unclear from Table 1.1. Barden et al. 2018.</t>
  </si>
  <si>
    <t>program_uptake: Barden et al. 2018, Figure 1.2 (p.15) shows 46%; text p.18 states 'Fewer than half of the program group (44 percent) ever worked in a subsidized job.' Using text figure (44%) as more precise. Control = 0 for ETJD specifically. Impact = 44 pp.</t>
  </si>
  <si>
    <t>N: Appendix Table E.1, p.149: 506 treatment, 498 control. Cost: Table 5.2, p.89: net $7,206 (2016$).</t>
  </si>
  <si>
    <t>MT earnings: Appendix Table E.1, 'Total earnings in the last year', p.149: impact $931*, CI [114, 1747]. MT employment: Appendix Table E.1, 'Ever employed in that last year', p.149: impact 3.7, CI [-1.2, 8.6]. Control means: earn $4,582, emp 55.7%.</t>
  </si>
  <si>
    <t>Table 5.2, p.89: net $7,206 (2016$).</t>
  </si>
  <si>
    <t>Center for Employment Opportunities (CEO) is a CBO (admin=private).</t>
  </si>
  <si>
    <t>Work crews at public housing authority, BIDs, nonprofits; no employer curricula engagement (Barden et al. 2018).</t>
  </si>
  <si>
    <t>Program offered 'job-search and job-placement assistance' as explicit component; work crews model with dedicated follow-up services (Barden et al. 2018, Table 1.1).</t>
  </si>
  <si>
    <t>No employer hiring commitments (Barden et al. 2018).</t>
  </si>
  <si>
    <t>ETJD Syracuse: duration unclear from Table 1.1. Barden et al. 2018.</t>
  </si>
  <si>
    <t>program_uptake: Barden et al. 2018, Figure 1.2, p.15: Syracuse subsidized employment rate = 80%. Control = 0 by design. Impact = 80 pp.</t>
  </si>
  <si>
    <t>N: Appendix Table F.1, p.165: 503 treatment, 495 control. Cost: Table 5.2, p.89: net $8,899 (2016$).</t>
  </si>
  <si>
    <t>MT earnings: Appendix Table F.1, 'Total earnings in the last year', p.165: impact -$657, CI [-1975, 660]. MT employment: Appendix Table F.1, 'Ever employed in that last year', p.165: impact -3.2, CI [-8.2, 1.9]. Control means: earn $9,122, emp 60.7%.</t>
  </si>
  <si>
    <t>Table 5.2, p.89: net $8,899 (2016$).</t>
  </si>
  <si>
    <t>FLAG: Demographics pooled across ex-offender sites. FLAG: Only site with negative impacts — may reflect program implementation issues.</t>
  </si>
  <si>
    <t>Workforce Solutions for Tarrant County + Corrections Dept. Government agencies.</t>
  </si>
  <si>
    <t>Private-sector subsidized jobs; no employer engagement in curricula (Barden et al. 2018).</t>
  </si>
  <si>
    <t>Participants 'placed in jobs with private employers' with program paying wages; placement into private-sector jobs implies dedicated placement function (Barden et al. 2018, Table 1.1).</t>
  </si>
  <si>
    <t>Employers 'expected to retain participants who performed well' (Barden et al. 2018) but this is an expectation to retain subsidized workers, not a formal commitment to hire graduates per Peck definition.</t>
  </si>
  <si>
    <t>ETJD Fort Worth: ~4.5 months. Barden et al. 2018, Table 1.1.</t>
  </si>
  <si>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</si>
  <si>
    <t>N: Appendix Table G.1, p.179: 500 treatment, 497 control. Cost: Table 5.2, p.89: net $11,075 (2016$).</t>
  </si>
  <si>
    <t>MT earnings: Appendix Table G.1, 'Total earnings in the last year', p.179: impact $1,016**, CI [261, 1771]. MT employment: Appendix Table G.1, 'Ever employed in that last year', p.179: impact 9.0***, CI [3.9, 14.1]. Control means: earn $4,186, emp 55.7%.</t>
  </si>
  <si>
    <t>Table 5.2, p.89: net $11,075 (2016$).</t>
  </si>
  <si>
    <t>FLAG: Demographics pooled across ex-offender sites.</t>
  </si>
  <si>
    <t>RecycleForce is a nonprofit (admin=private).</t>
  </si>
  <si>
    <t>No staffing agency; RecycleForce is a social enterprise, not a staffing agency (Barden et al. 2018).</t>
  </si>
  <si>
    <t>Social enterprise model (electronics recycling); no employer curricula engagement (Barden et al. 2018).</t>
  </si>
  <si>
    <t>Program explicitly offered 'job development' as a named component alongside case management and occupational training (Barden et al. 2018, Table 1.1).</t>
  </si>
  <si>
    <t>No external employer role in curriculum design (Barden et al. 2018).</t>
  </si>
  <si>
    <t>Participants 'may have been hired later as unsubsidized employees' by RecycleForce, but no formal external employer hiring commitments (Barden et al. 2018).</t>
  </si>
  <si>
    <t>ETJD Indianapolis: duration unclear from Table 1.1. Barden et al. 2018.</t>
  </si>
  <si>
    <t>program_uptake: Barden et al. 2018, Figure 1.2, p.15: Indianapolis subsidized employment rate = 100%. 'participants were immediately placed into jobs with the program sponsor' (ES p.5 / Table ES.1). Control = 0 by design. Impact = 100 pp.</t>
  </si>
  <si>
    <t>N: Appendix Table H.1, p.193: 504 treatment, 501 control. Cost: Table 5.2, p.89: net $6,459 (2016$).</t>
  </si>
  <si>
    <t>MT earnings: Appendix Table H.1, 'Total earnings in the last year', p.193: impact $247, CI [-824, 1318]. MT employment: Appendix Table H.1, 'Ever employed in that last year', p.193: impact 3.5, CI [-1.6, 8.5]. Control means: earn $7,124, emp 53.4%.</t>
  </si>
  <si>
    <t>Table 5.2, p.89: net $6,459 (2016$).</t>
  </si>
  <si>
    <t>FLAG: Demographics pooled across ex-offender sites. FLAG: CEO operates both NYC (ex-offenders) and Syracuse (NCPs) sites.</t>
  </si>
  <si>
    <t>CEO is a CBO (admin=private).</t>
  </si>
  <si>
    <t>Street-cleaning crews then subsidized internships; no employer engagement in curricula (Barden et al. 2018).</t>
  </si>
  <si>
    <t>Job coaching and job development explicitly described (Barden et al. 2018).</t>
  </si>
  <si>
    <t>Internships could transition to unsubsidized employment, but no formal employer hiring commitments (Barden et al. 2018).</t>
  </si>
  <si>
    <t>ETJD NYC (Doe Fund): ~6 months. Barden et al. 2018, Table 1.1.</t>
  </si>
  <si>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</si>
  <si>
    <t>Secondary: the core service is a 14-week paid internship (subsidized employment). Workshops on job readiness, financial literacy, and college prep are concurrent but ancillary to the internship placement.</t>
  </si>
  <si>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</si>
  <si>
    <t>Sample sizes (n_treatment=1638, n_control=1040): Table 4.2, p.85. Demographics: Table 2.1, pp.47-48. Randomization period: p.4 (July 2013–March 2014).</t>
  </si>
  <si>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</si>
  <si>
    <t>ITT regression-adjusted impact, controlling for pre-random assignment characteristics (NDNH administrative data).</t>
  </si>
  <si>
    <t>ST: Year 1 (quarters 1-4 post-RA) → short-term. MT: Last Year (months 19-30, centered ~24 months) → medium-term. 30-month total not used as it spans both time bins. Source: Cummings et al. 2018 final 30-month report.</t>
  </si>
  <si>
    <t>All SEs converted from 90% CIs: SE = half-width / 1.645. ST emp: (31.0-26.6)/(2×1.645) = 4.4/3.29 = 1.34. ST earn: (3746-3109)/(2×1.645) = 637/3.29 = 193.6. MT emp: (2.2-(-3.1))/(2×1.645) = 5.3/3.29 = 1.61. MT earn: (1071-(-84))/(2×1.645) = 1155/3.29 = 351.06.</t>
  </si>
  <si>
    <t>Cummings et al. 2018, p. xv: '$5,431 per program group member (in 2016 dollars).' Net cost above control services.</t>
  </si>
  <si>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</si>
  <si>
    <t>YAIP operated by private nonprofit (admin=private).</t>
  </si>
  <si>
    <t>No staffing agency partnerships described (Cummings et al. 2018).</t>
  </si>
  <si>
    <t>No employer engagement in workshop curricula documented.</t>
  </si>
  <si>
    <t>Job placement and follow-up support documented (Skemer et al. 2017).</t>
  </si>
  <si>
    <t>Curriculum developed by Workforce Professionals Training Institute for DYCD/CEO; no employer role in design (Cummings et al. 2018).</t>
  </si>
  <si>
    <t>'Employers do not have to commit to hiring participants'; subsidized internship model (Cummings et al. 2018).</t>
  </si>
  <si>
    <t>public: Subsidized and Transitional Employment Demonstration was funded by DOL grants under the American Recovery and Reinvestment Act and subsequent appropriations.</t>
  </si>
  <si>
    <t>private: YAIP (Young Adult Internship Program) in NYC was operated by nonprofit CBOs.</t>
  </si>
  <si>
    <t>YAIP NYC: 10-12 week paid internship, ~2.5 months. Cummings et al. 2018.</t>
  </si>
  <si>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</si>
  <si>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</si>
  <si>
    <t>Secondary: the core intervention is a wage subsidy to private employers. Job-readiness services and case management are ancillary. The report explicitly states 'the STEP Forward program did not emphasize education or training' (p.56).</t>
  </si>
  <si>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</si>
  <si>
    <t>Sample sizes (n_treatment=414, n_control=397): Table 5.2, p.58. Demographics: Table 3.1, pp.28-29 (Full Sample column). Randomization period: p.25 footnote (fall 2012 enrollment began; expanded September 2013; continued through spring 2015). Attrition: NDNH administrative data, 100% coverage.</t>
  </si>
  <si>
    <t>ST employment: Table 5.2, Administrative outcomes panel, row 'Employment (%)', columns Program=75.7, Control=69.7, Impact=6.0**, 90% CI [1.3, 10.7], p.58. ST earnings: Table 5.2, row 'Total earnings ($)', columns Program=8520, Control=6912, Impact=1608***, 90% CI [589, 2628], p.58.</t>
  </si>
  <si>
    <t>ITT regression-adjusted impact, controlling for pre-random assignment characteristics (NDNH + STEP Forward subsidy payment records).</t>
  </si>
  <si>
    <t>1-year follow-up (4 quarters post-random assignment) → short-term per CKW classification. Q5 data also available (employment impact 6.6** at ~15 months) but assigned to short-term bin as closest to 1-year center.</t>
  </si>
  <si>
    <t>Converted from 90% CIs. Employment SE = (10.7 - 1.3) / (2 × 1.645) = 9.4 / 3.29 = 2.86. Earnings SE = (2628 - 589) / (2 × 1.645) = 2039 / 3.29 = 619.76.</t>
  </si>
  <si>
    <t>Not reported in early impacts report.</t>
  </si>
  <si>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</si>
  <si>
    <t>Public program (admin=public).</t>
  </si>
  <si>
    <t>No evidence.</t>
  </si>
  <si>
    <t>No employer engagement in curricula; job fairs are an employer engagement mechanism but not curricula design.</t>
  </si>
  <si>
    <t>Job readiness services and case management provided.</t>
  </si>
  <si>
    <t>Employers 'had agreed to hire program participants' — explicit employer commitment to hire (Walter et al. 2017).</t>
  </si>
  <si>
    <t>public: STEP Forward was administered by the San Francisco Office of Economic and Workforce Development (public).</t>
  </si>
  <si>
    <t>STEP Forward (SF): duration not clearly reported. Farrell &amp; Webster 2019.</t>
  </si>
  <si>
    <t>Table 4.2, report p. 41 (Walter et al. 2017): 'Ever worked in a subsidized job in Months 1-12 (%)': 25.4. Also 'Ever placed in a subsidized job: 31.6%' but 'worked' is the stricter measure. C barred from STEP Forward subsidized jobs by design, so C=0.</t>
  </si>
  <si>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</si>
  <si>
    <t>Secondary: the core intervention is subsidized employment (private-sector or public work experience). Job-readiness workshops (2-6 weeks) are ancillary to the employment placement.</t>
  </si>
  <si>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</si>
  <si>
    <t>Sample sizes (n_treatment=403, n_control=396): Table 4.2, p.31. Demographics: Table 2.1, pp.15-16 (TSE Group and Control Group columns). Randomization period: p.5 (November 2014 through June 2016).</t>
  </si>
  <si>
    <t>ST employment: Table 4.2, row 'Ever employed in Year 1 (%)', Program=87.0, Control=80.2, Impact=6.8, 90% CI [2.7, 10.9], p.31. ST earnings: Table 4.2, row 'Total earnings in Year 1 ($)', Program=7132, Control=6572, Impact=560, 90% CI [-188, 1308], p.31.</t>
  </si>
  <si>
    <t>1-year follow-up (4 quarters post-random assignment) → short-term per CKW classification. Q5 data also available (employment impact 6.2* at ~15 months) but year 1 is the primary estimate.</t>
  </si>
  <si>
    <t>Converted from 90% CIs. Employment SE = (10.9 - 2.7) / (2 × 1.645) = 8.2 / 3.29 = 2.49. Earnings SE = (1308 - (-188)) / (2 × 1.645) = 1496 / 3.29 = 454.71.</t>
  </si>
  <si>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</si>
  <si>
    <t>Admin=private but operator unclear; subsidized employment model.</t>
  </si>
  <si>
    <t>No staffing agency partnerships described (Farrell &amp; Webster 2019).</t>
  </si>
  <si>
    <t>Subsidized private-sector jobs; no employer engagement in curricula design (Farrell &amp; Webster 2019).</t>
  </si>
  <si>
    <t>Job readiness workshops and employment services (Farrell &amp; Webster 2019).</t>
  </si>
  <si>
    <t>No employer role in curriculum design (Farrell &amp; Webster 2019).</t>
  </si>
  <si>
    <t>Employers 'expected to retain the participants after the subsidy ended' (Farrell &amp; Webster 2019) but this is an expectation to retain subsidized workers, not a formal commitment to hire graduates per Peck definition.</t>
  </si>
  <si>
    <t>private: Minnesota STED was operated by nonprofit workforce organizations (Twin Cities RISE, EMERGE).</t>
  </si>
  <si>
    <t>Minnesota STED: duration not clearly reported. Farrell &amp; Webster 2019; LeBlanc et al. 2007.</t>
  </si>
  <si>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</si>
  <si>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</si>
  <si>
    <t>Secondary: the core intervention is Paid Work Experience (subsidized employment at nonprofit/public worksites). GAIN services (job club, counseling) are ancillary.</t>
  </si>
  <si>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</si>
  <si>
    <t>Sample sizes: Appendix Table B.2, p.55 (874 PWE, 871 control). Demographics: Table 1.2, pp.9-10 (pooled across all groups). Randomization period: p.3 (November 2012 through November 2013). Cost: Table 3.1, p.34 ($4,701 net per PWE member, 2016$).</t>
  </si>
  <si>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</si>
  <si>
    <t>First year (quarters 1-4) → short-term. Last year (months 19-30, centered at ~24 months) → medium-term per CKW classification. 30-month total not used as it spans multiple time bins.</t>
  </si>
  <si>
    <t>Short-term SEs not derivable: p reported as 0.000 (&lt; 0.0005), giving z &gt; 3.29, but exact z unknown. Medium-term SEs derived from two-tailed p-values: Employment: p=0.056, z=Φ^(-1)(0.972)=1.911, SE=4.1/1.911=2.15. Earnings: p=0.114, z=Φ^(-1)(0.943)=1.580, SE=889/1.580=562.66.</t>
  </si>
  <si>
    <t>Table 3.1, p.34: Total net cost (PWE - Control) = $4,701 per program group member (2016$). Includes GAIN costs ($65 net), TSE costs ($5,404 net), and non-GAIN education costs (-$768 net).</t>
  </si>
  <si>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</si>
  <si>
    <t>LA County PWE: public welfare agency administering subsidized employment at nonprofit/public worksites. Part of GAIN. No dedicated job development, no employer engagement in curricula.</t>
  </si>
  <si>
    <t>mixed: LA County PWE was administered by LA County DPSS (public) contracting with community-based providers.</t>
  </si>
  <si>
    <t>LA County PWE: up to 6 months paid work experience. Anderson et al. 2019.</t>
  </si>
  <si>
    <t>Figure 1.1, report p. 11 (Anderson et al. 2019): 79% of PWE group placed in subsidized employment (n=874). C barred from STED subsidized employment, so C=0. Note: C participated in other welfare-to-work services through CalWORKs.</t>
  </si>
  <si>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</si>
  <si>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</si>
  <si>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</si>
  <si>
    <t>Sample sizes: Appendix Table B.2, p.55 (877 OJT, 871 control). Demographics: Table 1.2, pp.9-10 (pooled). Randomization period: p.3. Cost: Table 3.1, p.34 ($2,046 net per OJT member, 2016$).</t>
  </si>
  <si>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</si>
  <si>
    <t>First year → short-term. Last year (months 19-30) → medium-term. Same logic as PWE row.</t>
  </si>
  <si>
    <t>Short-term SEs not derivable (p=0.000). Medium-term: Employment p=0.294, z=Φ^(-1)(0.853)=1.050, SE=2.3/1.050=2.19. Earnings p=0.757, z=Φ^(-1)(0.6215)=0.309, SE=174/0.309=563.11.</t>
  </si>
  <si>
    <t>Table 3.1, p.34: Total net cost (OJT - Control) = $2,046 per program group member (2016$). Includes GAIN costs ($-151 net), TSE costs ($2,725 net), and non-GAIN education costs (-$528 net).</t>
  </si>
  <si>
    <t>training_role='secondary' is a judgment call — OJT literally means on-the-job training, but in this context it functions as subsidized employment within a welfare-to-work system. Short-term SEs not derivable. Same shared control group as PWE row. Demographics pooled across arms.</t>
  </si>
  <si>
    <t>LA County OJT: public welfare agency administering OJT subsidies. Employer retained with bonus but no formal hiring commitment in program design.</t>
  </si>
  <si>
    <t>mixed: LA County OJT was administered by LA County DPSS (public) contracting with employers and providers.</t>
  </si>
  <si>
    <t>LA County OJT: 2 months classroom + 4 months OJT = up to 6 months. Anderson et al. 2019.</t>
  </si>
  <si>
    <t>Figure 1.1, report p. 11 (Anderson et al. 2019): 42% of OJT group placed in subsidized employment (n=877). C barred from STED subsidized employment, so C=0.</t>
  </si>
  <si>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</si>
  <si>
    <t>Primary: the program is structured around three phases, with Phase 1 being classroom-based education (GED prep, literacy, numeracy) lasting approximately 6 months. Education/training is the core service, with subsidized internship and job placement as subsequent phases.</t>
  </si>
  <si>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</si>
  <si>
    <t>Sample sizes (n_treatment=289, n_control=191): Table 6.2, p.69. Demographics: Table 3.2, p.30. Randomization period: Table 3.2 notes (June 2015 through July 2016). Participation: Table 4.1, p.34 (67.8% ever attended).</t>
  </si>
  <si>
    <t>ST employment: Table 6.3, 'Employment' section, row 'Ever employed (%)', columns Program=68.2, Control=50.1, Difference=18.2***, 90% CI [7.7, 28.6], p.71. Survey sample sizes: 137 program, 91 control.</t>
  </si>
  <si>
    <t>ITT regression-adjusted impact, controlling for pre-random assignment characteristics (follow-up survey data).</t>
  </si>
  <si>
    <t>Survey administered approximately 1 year after random assignment → short-term per CKW classification.</t>
  </si>
  <si>
    <t>Converted from 90% CI. Employment SE = (28.6 - 7.7) / (2 × 1.645) = 20.9 / 3.29 = 6.35.</t>
  </si>
  <si>
    <t>Not reported in feasibility study.</t>
  </si>
  <si>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</si>
  <si>
    <t>Bridges to Pathways operated by private CBO (admin=private).</t>
  </si>
  <si>
    <t>No staffing agency partnerships; partnered with &gt;25 employers for subsidized internships (Wasserman et al. 2019).</t>
  </si>
  <si>
    <t>Classroom-based education developed by program providers; no employer engagement in curricula (Wasserman et al. 2019).</t>
  </si>
  <si>
    <t>Three-phase model with Phase 3 including job development/placement (Wasserman et al. 2019).</t>
  </si>
  <si>
    <t>No employer role in curriculum design (Wasserman et al. 2019).</t>
  </si>
  <si>
    <t>No employer hiring commitments; some participants hoped to be hired but no formal arrangements (Wasserman et al. 2019).</t>
  </si>
  <si>
    <t>private: Bridges to Pathways in Chicago was operated by nonprofit CBOs.</t>
  </si>
  <si>
    <t>Bridges to Pathways (Chicago): 6 months program + 3 months follow-up. Wasserman et al. 2019.</t>
  </si>
  <si>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</si>
  <si>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</si>
  <si>
    <t>Primary: Per Scholas provides intensive IT skills training (CompTIA A+ certification prep) as the core service. Training averaged 3.6 months. Job placement follows training completion.</t>
  </si>
  <si>
    <t>has_classroom=1: formal IT certification training. has_ojt=1: internships with employers. has_jsa=1: sector-focused job development and placement. has_multiple_components=1: screening + training + internship + placement + retention services.</t>
  </si>
  <si>
    <t>Sample sizes (349T, 341C): Table 2.1, p.16. Demographics (age, pct_male): Table 1.1, p.5. Provider info: Table ES.1, p.ES-2. Enrollment period: p.2. Cost: p.4.</t>
  </si>
  <si>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</si>
  <si>
    <t>ITT regression-adjusted impact from NDNH administrative data, controlling for baseline characteristics.</t>
  </si>
  <si>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</si>
  <si>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</si>
  <si>
    <t>p.4: 'net cost of about $3,750 per program group member' for Per Scholas (2018$). Gross cost $6,400.</t>
  </si>
  <si>
    <t>Race/ethnicity not reported in the 5-year report (Table 1.1). Available in earlier Hendra et al. 2016 report. Very long follow-up (6 years) makes this a strong long-term estimate. Earnings impact highly significant ($6,281***) but employment impact slightly negative and not significant.</t>
  </si>
  <si>
    <t>Peck et al. 2021 dataset (WorkAdvance-Per Scholas): coded as 1</t>
  </si>
  <si>
    <t>Peck et al. 2021 dataset (WorkAdvance-Per Scholas): coded as 0</t>
  </si>
  <si>
    <t>mixed: WorkAdvance was funded through the Social Innovation Fund (federal) matched with private philanthropy (Robin Hood Foundation and other foundations). Genuine mixed funding.</t>
  </si>
  <si>
    <t>private: All four WorkAdvance provider organizations are nonprofits: Per Scholas, St. Nicks Alliance, Madison Strategies Group, and Towards Employment.</t>
  </si>
  <si>
    <t>Per Scholas (Bronx): 15-week training. 15/4 = 3.75 months. Hendra et al. 2016, Table 2.4.</t>
  </si>
  <si>
    <t>Hendra et al. 2016, Table 3.2 (continued), 'WorkAdvance provider' row, Per Scholas columns: WA=68.0%, C=0.0%, regression-adjusted impact=68.3pp***. C barred from WA program; 0.0% contamination.</t>
  </si>
  <si>
    <t>Hendra et al. 2016, Table 3.2, 'Participated in education or training' row, Per Scholas columns: WA=84.4%, C=63.0%, impact=21.4pp***. Consistent with Katz et al. 2022 (~21pp).</t>
  </si>
  <si>
    <t>Primary: environmental remediation training (asbestos, lead, mold removal certifications) is the core service.</t>
  </si>
  <si>
    <t>has_classroom=1: formal certification training in environmental remediation. has_ojt=0: no structured OJT/internship component mentioned. has_jsa=1: sector-focused job development and placement. has_multiple_components=1: screening + training + placement + retention.</t>
  </si>
  <si>
    <t>Sample sizes (242T, 237C): Table 2.2, p.20. Demographics: Table 1.1, p.5. Provider info: Table ES.1, p.ES-2.</t>
  </si>
  <si>
    <t>LT earnings: Table 2.2, 'Total earnings (2018)', impact=$2,849, p=0.208, p.20. LT employment: Table 2.2, 'Employed (%, 2018)', impact=-2.0, p=0.601, p.20. ST/MT: Hendra et al. 2016, Table 5.2 (pp. 124-125). Year 1 (Quarters 2-5) = ST; Year 2 (Quarters 6-9) = MT. Employment: 'Ever employed (%)' row. Earnings: 'Earnings ($)' row.</t>
  </si>
  <si>
    <t>Calendar year 2018 NDNH data, ~6 years post-enrollment → long-term. ST = Year 1 post-RA (Quarters 2-5, ~1 year) per CKW. MT = Year 2 post-RA (Quarters 6-9, ~2 years) per CKW. LT = calendar year 2018 (~6 years post-RA) from Schaberg &amp; Greenberg 2020.</t>
  </si>
  <si>
    <t>Earnings: z = Φ^{-1}(0.896) = 1.259, SE = 2849/1.259 = 2263. Employment: z = Φ^{-1}(0.6995) = 0.524, SE = 2.0/0.524 = 3.82. ST/MT SEs: derived from significance stars in Table 5.2 using SE = |impact| / Phi^-1(1 - p/2). Stars: * → p=0.10, ** → p=0.05, *** → p=0.01. Where no stars reported (n.s.), SE left blank.</t>
  </si>
  <si>
    <t>p.4: net cost approximately $5,100 per program group member.</t>
  </si>
  <si>
    <t>Neither impact is statistically significant. St. Nicks had the smallest sample among the four sites. Race/ethnicity not reported.</t>
  </si>
  <si>
    <t>Peck et al. 2021 dataset (WorkAdvance-St Nicks Alliance): coded as 1</t>
  </si>
  <si>
    <t>Peck et al. 2021 dataset (WorkAdvance-St Nicks Alliance): coded as 0</t>
  </si>
  <si>
    <t>St. Nicks Alliance: 5-12 weeks training. Midpoint ~8.5 weeks ≈ 2 months. Hendra et al. 2016, Table 2.4.</t>
  </si>
  <si>
    <t>Hendra et al. 2016, Table 3.2 (continued), 'WorkAdvance provider' row, St. Nicks Alliance columns: WA=54.6%, C=1.7%, regression-adjusted impact=53.0pp***. Small C contamination (1.7%).</t>
  </si>
  <si>
    <t>Hendra et al. 2016, Table 3.2, 'Participated in education or training' row, St. Nicks Alliance columns: WA=81.2%, C=60.6%, impact=20.6pp***. Consistent with Katz et al. 2022 (~21pp at SN).</t>
  </si>
  <si>
    <t>Primary: sector-focused occupational skills training in transportation/manufacturing is the core service.</t>
  </si>
  <si>
    <t>has_classroom=1: formal occupational training. has_ojt=0: no structured OJT mentioned. has_jsa=1: sector-focused placement. has_multiple_components=1: screening + training + placement + retention.</t>
  </si>
  <si>
    <t>Sample sizes (353T, 344C): Table 2.3, p.23. Demographics: Table 1.1, p.5.</t>
  </si>
  <si>
    <t>LT earnings: Table 2.3, 'Total earnings (2018)', impact=$787, p=0.603, p.23. LT employment: Table 2.3, 'Employed (%, 2018)', impact=-4.4, p=0.168, p.23. ST/MT: Hendra et al. 2016, Table 5.2 (pp. 124-125). Year 1 (Quarters 2-5) = ST; Year 2 (Quarters 6-9) = MT. Employment: 'Ever employed (%)' row. Earnings: 'Earnings ($)' row.</t>
  </si>
  <si>
    <t>Calendar year 2018, ~6 years post-enrollment → long-term. ST = Year 1 post-RA (Quarters 2-5, ~1 year) per CKW. MT = Year 2 post-RA (Quarters 6-9, ~2 years) per CKW. LT = calendar year 2018 (~6 years post-RA) from Schaberg &amp; Greenberg 2020.</t>
  </si>
  <si>
    <t>Earnings: z = Φ^{-1}(0.6985) = 0.521, SE = 787/0.521 = 1511. Employment: z = Φ^{-1}(0.916) = 1.383, SE = 4.4/1.383 = 3.19. ST/MT SEs: derived from significance stars in Table 5.2 using SE = |impact| / Phi^-1(1 - p/2). Stars: * → p=0.10, ** → p=0.05, *** → p=0.01. Where no stars reported (n.s.), SE left blank.</t>
  </si>
  <si>
    <t>p.4: net cost approximately $5,100-$6,300 range; used $6,300 as upper end for Madison.</t>
  </si>
  <si>
    <t>Neither impact significant. Tulsa site had weakest results among four WorkAdvance sites. Cost estimate is approximate (range given for three non-Per Scholas sites).</t>
  </si>
  <si>
    <t>Peck et al. 2021 dataset (WorkAdvance-Madison Strategies Group): coded as 1</t>
  </si>
  <si>
    <t>Peck et al. 2021 dataset (WorkAdvance-Madison Strategies Group): coded as 0</t>
  </si>
  <si>
    <t>Madison Strategies (Tulsa): 4-32 weeks. Wide range; midpoint ~18 weeks ≈ 4.5 months. Hendra et al. 2016, Table 2.4. Duration highly variable.</t>
  </si>
  <si>
    <t>Hendra et al. 2016, Table 3.2 (continued), 'WorkAdvance provider' row, Madison Strategies columns: WA=49.9%, C=0.1%, regression-adjusted impact=49.9pp***. Negligible C contamination.</t>
  </si>
  <si>
    <t>Hendra et al. 2016, Table 3.2, 'Participated in education or training' row, Madison Strategies columns: WA=76.1%, C=49.5%, impact=26.6pp***. Consistent with Katz et al. 2022 (~27pp at MSG).</t>
  </si>
  <si>
    <t>Primary: sector-focused occupational skills training in health care/manufacturing is the core service.</t>
  </si>
  <si>
    <t>Sample sizes (349T, 349C): Table 2.4, p.27. Demographics: Table 1.1, p.5.</t>
  </si>
  <si>
    <t>LT earnings: Table 2.4, 'Total earnings (2018)', impact=$1,404, p=0.275, p.27. LT employment: Table 2.4, 'Employed (%, 2018)', impact=0.4, p=0.894, p.27. ST/MT: Hendra et al. 2016, Table 5.2 (pp. 124-125). Year 1 (Quarters 2-5) = ST; Year 2 (Quarters 6-9) = MT. Employment: 'Ever employed (%)' row. Earnings: 'Earnings ($)' row.</t>
  </si>
  <si>
    <t>Earnings: z = Φ^{-1}(0.8625) = 1.089, SE = 1404/1.089 = 1289. Employment: z = Φ^{-1}(0.553) = 0.133, SE = 0.4/0.133 = 3.01. ST/MT SEs: derived from significance stars in Table 5.2 using SE = |impact| / Phi^-1(1 - p/2). Stars: * → p=0.10, ** → p=0.05, *** → p=0.01. Where no stars reported (n.s.), SE left blank.</t>
  </si>
  <si>
    <t>p.4: net cost approximately $5,100-$6,300 range; used $5,100 as lower end for Towards Employment.</t>
  </si>
  <si>
    <t>Neither impact significant. Only site with majority female (59%). Cost is approximate (range given for non-Per Scholas sites).</t>
  </si>
  <si>
    <t>Peck et al. 2021 dataset (WorkAdvance-Towards Employment): coded as 1</t>
  </si>
  <si>
    <t>Peck et al. 2021 dataset (WorkAdvance-Towards Employment): coded as 0</t>
  </si>
  <si>
    <t>Towards Employment (NE Ohio): 2-17 weeks. Midpoint ~9.5 weeks ≈ 2.4 months. Hendra et al. 2016, Table 2.4. Duration highly variable.</t>
  </si>
  <si>
    <t>Hendra et al. 2016, Table 3.2 (continued), 'WorkAdvance provider' row, Towards Employment columns: WA=54.8%, C=1.6%, regression-adjusted impact=53.2pp***. Small C contamination (1.6%).</t>
  </si>
  <si>
    <t>Hendra et al. 2016, Table 3.2, 'Participated in education or training' row, Towards Employment columns: WA=80.1%, C=54.5%, impact=25.6pp***. Consistent with Katz et al. 2022.</t>
  </si>
  <si>
    <t>Primary: WRTP's core service is sector-specific occupational training (healthcare, construction, manufacturing). Training is short-term (avg 1.6 months) but is the central program component.</t>
  </si>
  <si>
    <t>has_classroom=1: formal sector-specific training through external providers. has_ojt=0: no structured OJT. has_jsa=1: job placement through employer/union networks. has_multiple_components=1: training + placement + support services + certification prep.</t>
  </si>
  <si>
    <t>Sample sizes: Table 5, p.19 (N=341 follow-up; 168C, 173T). Response rate 87%: Table 5. Demographics: Table 5 (race, age, education, gender). Training cohort: Table 2, p.10 (393 recruited, 73% completion, 1.6 months avg training).</t>
  </si>
  <si>
    <t>MT earnings (M13-24): Table 6, row 'Total Earnings, Months 13-24', Treatment Impact=$3,735***, Control Group Mean=$13,614, p.21. MT employment (M13-24): Table 6, row 'Ever Employed, Months 13-24', Treatment Impact=2% (not significant), Control Group Mean=88%, p.21.</t>
  </si>
  <si>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</si>
  <si>
    <t>Months 13-24 is the second year of the study → medium-term per CKW classification (1-2 years). The study's 24-month total spans both short and medium-term; M13-24 is the cleaner Year 2 measure.</t>
  </si>
  <si>
    <t>SEs not reported. Only significance stars provided (* p&lt;0.10, ** p&lt;0.05, *** p&lt;0.01).</t>
  </si>
  <si>
    <t>Not reported in this publication.</t>
  </si>
  <si>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</si>
  <si>
    <t>Peck et al. 2021 dataset (SEIS-WRTP): coded as 1</t>
  </si>
  <si>
    <t>Peck et al. 2021 dataset (SEIS-WRTP): coded as 0</t>
  </si>
  <si>
    <t>mixed: The Sectoral Employment Impact Study was supported by a combination of government grants and foundation funding, coordinated by Public/Private Ventures (P/PV).</t>
  </si>
  <si>
    <t>private: All three SEIS provider organizations are nonprofits/CBOs: Wisconsin Regional Training Partnership, Jewish Vocational Service (Boston), and Per Scholas.</t>
  </si>
  <si>
    <t>WRTP (Milwaukee): completers avg 1.6 months. Maguire et al. 2010.</t>
  </si>
  <si>
    <t>Maguire et al. 2010, Table 2 'Training Cohorts, by Site': WRTP completion rate = 73% (T group). C group barred from program for 24 months (p.10). 26% of 47 early leavers 'never attended.' Completion rate used as program_uptake since C=0.</t>
  </si>
  <si>
    <t>Not reported. Maguire et al. 2010 p.10 states 41% of C group pooled received other training, but no site-level T vs C comparison of any-source training participation. Study design 'did not include the collection of detailed information on program intensity' (p.6).</t>
  </si>
  <si>
    <t>Primary: JVS-Boston's core service is intensive occupational skills training (medical assistant, computerized accounting, medical office) lasting 5.2 months on average.</t>
  </si>
  <si>
    <t>has_classroom=1: formal occupational skills training programs (20-22 weeks). has_ojt=0: no structured OJT. has_jsa=1: job placement through employer networks and advisory boards. has_multiple_components=1: training + case management + placement + post-graduation retention support.</t>
  </si>
  <si>
    <t>Sample sizes: Table 12, p.30 (N=328 follow-up; 147C, 181T). Response rate 73% (80% T, 66% C): Table 12. Demographics: Table 12 (race, age, education, gender). Training cohort: Table 2, p.10.</t>
  </si>
  <si>
    <t>MT earnings (M13-24): Table 13, row 'Total Earnings, Months 13-24', Treatment Impact=$4,237***, Control Group Mean=$12,098, p.33. MT employment (M13-24): Table 13, row 'Ever Employed, Months 13-24', Treatment Impact=10%**, Control Group Mean=72%, p.33.</t>
  </si>
  <si>
    <t>ITT regression-adjusted impact from follow-up survey data.</t>
  </si>
  <si>
    <t>Months 13-24 is Year 2 → medium-term per CKW classification.</t>
  </si>
  <si>
    <t>SEs not reported. Only significance stars provided.</t>
  </si>
  <si>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</si>
  <si>
    <t>Peck et al. 2021 dataset (SEIS-JVS Boston): coded as 1</t>
  </si>
  <si>
    <t>Peck et al. 2021 dataset (SEIS-JVS Boston): coded as 0</t>
  </si>
  <si>
    <t>JVS-Boston: completers avg 5.2 months. Maguire et al. 2010.</t>
  </si>
  <si>
    <t>Maguire et al. 2010, Table 2 'Training Cohorts, by Site': JVS-Boston completion rate = 74% (T group). C group barred from program for 24 months (p.10). 34% of 47 early leavers 'never attended.'</t>
  </si>
  <si>
    <t>Not reported. See WRTP note. No site-level T vs C training participation comparison available.</t>
  </si>
  <si>
    <t>Primary: Per Scholas's core service is computer technician training (A+ certification prep) lasting 3.6 months.</t>
  </si>
  <si>
    <t>has_classroom=1: formal IT certification training. has_ojt=1: internship placements with employers. has_jsa=1: IT sector job placement. has_multiple_components=1: training + internship + certification + placement.</t>
  </si>
  <si>
    <t>Sample sizes: Table 16, p.39 (N=345 follow-up; 170C, 175T). Response rate 78%: Table 16. Demographics: Table 16 (race, age, education, gender).</t>
  </si>
  <si>
    <t>MT earnings (M13-24): Table 17, row 'Total Earnings, Months 13-24', Treatment Impact=$4,663***, Control Group Mean=$14,680, p.42. MT employment (M13-24): Table 17, row 'Ever Employed, Months 13-24', Treatment Impact=9%*, Control Group Mean=73%, p.42.</t>
  </si>
  <si>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</si>
  <si>
    <t>Peck et al. 2021 dataset (SEIS-Per Scholas): coded as 1</t>
  </si>
  <si>
    <t>Peck et al. 2021 dataset (SEIS-Per Scholas): coded as 0</t>
  </si>
  <si>
    <t>Per Scholas (SEIS): completers avg 3.6 months. Maguire et al. 2010.</t>
  </si>
  <si>
    <t>Maguire et al. 2010, Table 2 'Training Cohorts, by Site': Per Scholas completion rate = 78% (T group). C group barred from program for 24 months (p.10). 21% of 38 early leavers 'never attended.'</t>
  </si>
  <si>
    <t>Primary: health care occupational training (CNA, phlebotomy, medical office) is the core service.</t>
  </si>
  <si>
    <t>has_classroom=1: formal health care certification training. has_ojt=0: no structured OJT mentioned. has_jsa=1: job readiness and placement services. has_multiple_components=1: training + job readiness + support services + placement.</t>
  </si>
  <si>
    <t>Sample sizes (271T, 271C): Exhibit 3.3, p.31. Demographics: Exhibit 3.3. Analysis sample (268T, 270C): Exhibit 3.9, p.39.</t>
  </si>
  <si>
    <t>MT earnings (Q5+Q6): Exhibit 3.9, row 'Average total earnings in Q5 and Q6 combined (confirmatory)', Treatment=$7,602, Control=$7,682, Impact=-$79, p.39. MT employment: Exhibit 3.9, row 'Ever employed in Q5 or Q6', Treatment=79.9%, Control=82.5%, Impact=-2.6 pp, p.39.</t>
  </si>
  <si>
    <t>ITT regression-adjusted impact from NDNH administrative data.</t>
  </si>
  <si>
    <t>Q5+Q6 = months 13-18 post-random assignment → 1.25-1.5 years → medium-term per CKW classification.</t>
  </si>
  <si>
    <t>SEs not reported in exhibits.</t>
  </si>
  <si>
    <t>Not reported for individual grantees in this publication.</t>
  </si>
  <si>
    <t>No significant impacts at any horizon. Q1 training dip (-$400*) suggests training displaced early employment. AIOIC had the weakest results among the four grantees.</t>
  </si>
  <si>
    <t>Peck et al. 2021 dataset (Green Jobs-AIOIC): coded as 1</t>
  </si>
  <si>
    <t>Peck et al. 2021 dataset (Green Jobs-AIOIC): coded as 0</t>
  </si>
  <si>
    <t>public: Green Jobs and Health Care Impact Evaluation programs were funded by DOL Pathways Out of Poverty grants.</t>
  </si>
  <si>
    <t>private: AIOIC (American Indian OIC) in Minneapolis is a nonprofit CBO.</t>
  </si>
  <si>
    <t>AIOIC (Minneapolis): avg length of stay 2.5 months. Copson et al. 2016.</t>
  </si>
  <si>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</si>
  <si>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</si>
  <si>
    <t>Primary: green jobs/energy-sector occupational training is the core service.</t>
  </si>
  <si>
    <t>has_classroom=1: formal green jobs/energy training. has_ojt=0: no structured OJT. has_jsa=1: job placement. has_multiple_components=1: training + support + placement.</t>
  </si>
  <si>
    <t>Sample sizes (183T, 91C): from baseline exhibit. Demographics: Exhibit 4.3.</t>
  </si>
  <si>
    <t>MT earnings (Q5+Q6): Exhibit 4.9, confirmatory outcome, impact=$576, control=$5,868. MT employment (Q5/Q6): Exhibit 4.9, impact=6.4 pp. Exhibit 4.14 (p.63), survey-based: Employed (%) at 18-month follow-up survey. Control = 64.4%. No NDNH wage record data available for GRCC.</t>
  </si>
  <si>
    <t>Q5+Q6 = months 13-18 → medium-term.</t>
  </si>
  <si>
    <t>Not reported for individual grantees.</t>
  </si>
  <si>
    <t>Small sample (N=274) with 2:1 randomization. Neither impact significant. GRCC had lowest control group earnings ($5,868) among the four sites.</t>
  </si>
  <si>
    <t>Peck et al. 2021 dataset (Green Jobs-GRCC (Pathways to Prosperity in Peck)): coded as 0</t>
  </si>
  <si>
    <t>Peck et al. 2021 dataset (Green Jobs-GRCC (Pathways to Prosperity in Peck)): coded as 1</t>
  </si>
  <si>
    <t>public: Grand Rapids Community College is a public community college.</t>
  </si>
  <si>
    <t>GRCC (Grand Rapids): avg length of stay 3.3 months. Copson et al. 2016.</t>
  </si>
  <si>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</si>
  <si>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</si>
  <si>
    <t>Primary: green jobs occupational training (solar, energy efficiency, HVAC) is the core service.</t>
  </si>
  <si>
    <t>has_classroom=1: formal green jobs/energy training and certification prep. has_ojt=0: no structured OJT. has_jsa=1: job placement. has_multiple_components=1: training + certification + support + placement.</t>
  </si>
  <si>
    <t>Sample sizes (407T, 409C): from baseline exhibit. Demographics: Exhibit 5.3.</t>
  </si>
  <si>
    <t>MT earnings (Q5+Q6): Exhibit 5.9, confirmatory outcome, impact=$1,520##, control=$7,709. MT employment (Q5/Q6): Exhibit 5.9, impact=4.7 pp (not significant). Exhibit 5.15 (p.88), survey-based: Employed (%) at 18-month follow-up survey. Control = 61.7%. No NDNH wage record data available for KCCD.</t>
  </si>
  <si>
    <t>SEs not reported. ## denotes significance at p&lt;0.05 after multiple comparison adjustment.</t>
  </si>
  <si>
    <t>KCCD is the ONLY grantee with a significant confirmatory earnings impact. ## notation means significant after Benjamini-Hochberg multiple comparison adjustment at p&lt;0.05. Stars column records '**' as equivalent significance level. Mostly male sample (~90%).</t>
  </si>
  <si>
    <t>Peck et al. 2021 dataset (Green Jobs-KCCD (Clean Energy Center in Peck)): coded as 0</t>
  </si>
  <si>
    <t>Peck et al. 2021 dataset (Green Jobs-KCCD (Clean Energy Center in Peck)): coded as 1</t>
  </si>
  <si>
    <t>public: Kern Community College District in Bakersfield is a public community college district.</t>
  </si>
  <si>
    <t>KCCD (Bakersfield): avg length of stay 2.5 months. Copson et al. 2016.</t>
  </si>
  <si>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</si>
  <si>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</si>
  <si>
    <t>Primary: health care occupational training (CNA, pharmacy tech, phlebotomy) is the core service.</t>
  </si>
  <si>
    <t>has_classroom=1: formal health care certification training. has_ojt=0: no structured OJT. has_jsa=1: job placement. has_multiple_components=1: training + support + placement.</t>
  </si>
  <si>
    <t>Sample sizes (550T, 434C): from baseline exhibit. Demographics: Exhibit 6.3.</t>
  </si>
  <si>
    <t>MT earnings (Q5+Q6): Exhibit 6.10, confirmatory outcome, impact=-$345, control=$7,945. MT employment (Q5/Q6): Exhibit 6.10, impact=-2.3 pp. Exhibit 6.10 (p.107), NDNH wage records: Ever employed during Q5 or Q6 (%). Control = 82.3%.</t>
  </si>
  <si>
    <t>No significant impacts. Largest NCTC sample (N=984) yet still null results. Negative point estimates for both earnings and employment. Rural Texas setting may differ substantially from urban sites.</t>
  </si>
  <si>
    <t>Peck et al. 2021 dataset (Green Jobs-NCTC (Health Matrix Grant Scholarship in Peck)): coded as 0</t>
  </si>
  <si>
    <t>Peck et al. 2021 dataset (Green Jobs-NCTC (Health Matrix Grant Scholarship in Peck)): coded as 1</t>
  </si>
  <si>
    <t>public: North Central Texas College in Gainesville is a public community college.</t>
  </si>
  <si>
    <t>NCTC (Gainesville, TX): avg length of stay 2.4 months. Copson et al. 2016.</t>
  </si>
  <si>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</si>
  <si>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</si>
  <si>
    <t>Secondary: subsidized employment (up to 12 months) is the primary intervention; classroom training (4-8 weeks) is pre-employment preparation. Paper title emphasizes 'subsidized employment' as the key component.</t>
  </si>
  <si>
    <t>has_classroom=1: formal vocational training at local schools. has_ojt=1: subsidized employment constitutes structured work experience. has_jsa=0: no distinct job search assistance; placement was into subsidized positions. has_multiple_components=1: training + subsidized employment.</t>
  </si>
  <si>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</si>
  <si>
    <t>MT earnings: Table 2, 'Monthly Earnings', Arkansas, 'Post-demonstration year 2' row, impact=$101***, SE=(35.0), control mean=$211, p.50.</t>
  </si>
  <si>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</si>
  <si>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</si>
  <si>
    <t>SE originally reported in Bell &amp; Orr 1994 Table 2 (in parentheses below coefficient) as TOT (per training entrant). Converted to ITT SE by multiplying by entry rate (0.91): SE(ITT) = SE(TOT) × entry_rate. Per Bloom (1984), t-statistics are identical for ITT and TOT.</t>
  </si>
  <si>
    <t>Table 3, Row 3 (p.56): demonstration training and employment costs = $7867 per participant (Arkansas),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</si>
  <si>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</si>
  <si>
    <t>AFDC Homemaker-Home Health Aide: State-administered (admin=public). Training at vocational-technical schools using established curricula. Subsidized employment at home health agencies. No CBO lead, no employer engagement in curriculum design, no staffing agency.</t>
  </si>
  <si>
    <t>public: AFDC Homemaker-Home Health Aide Demonstrations were federally funded by DHHS as a demonstration under the Social Security Act.</t>
  </si>
  <si>
    <t>public: State welfare agencies administered the programs in each of the 7 states, using existing welfare system infrastructure.</t>
  </si>
  <si>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</si>
  <si>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</si>
  <si>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</si>
  <si>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</si>
  <si>
    <t>MT earnings: Table 2, 'Monthly Earnings', Kentucky, 'Post-demonstration year 2' row, impact=$161***, SE=(43.1), control mean=$337, p.50.</t>
  </si>
  <si>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</si>
  <si>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(0.96): SE(ITT) = SE(TOT) × entry_rate. Per Bloom (1984), t-statistics are identical for ITT and TOT.</t>
  </si>
  <si>
    <t>Table 3, Row 3 (p.56): demonstration training and employment costs = $8688 per participant (Kentucky), in 1984 dollars. Gross program cost from social standpoint.</t>
  </si>
  <si>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</si>
  <si>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</si>
  <si>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</si>
  <si>
    <t>MT earnings: Table 2, 'Monthly Earnings', New Jersey, 'Post-demonstration year 2' row, impact=~$134***, SE≈(33.3), control mean=$269, p.50. Dollar impact read from rotated table; cross-check: text confirms significant gains in both post-demo years for NJ.</t>
  </si>
  <si>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</si>
  <si>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(0.89): SE(ITT) = SE(TOT) × entry_rate. Per Bloom (1984), t-statistics are identical for ITT and TOT.</t>
  </si>
  <si>
    <t>Table 3, Row 3 (p.56): demonstration training and employment costs = $7343 per participant (New Jersey),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</si>
  <si>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</si>
  <si>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</si>
  <si>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</si>
  <si>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</si>
  <si>
    <t>MT earnings: Table 2, 'Monthly Earnings', New York, 'Post-demonstration year 2' row, impact=$12, SE=(80.7), control mean=$256, p.51. Not statistically significant.</t>
  </si>
  <si>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</si>
  <si>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(0.92): SE(ITT) = SE(TOT) × entry_rate. Per Bloom (1984), t-statistics are identical for ITT and TOT.</t>
  </si>
  <si>
    <t>Table 3, Row 3 (p.56): demonstration training and employment costs = $5230 per participant (New York), in 1984 dollars. Gross program cost from social standpoint.</t>
  </si>
  <si>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</si>
  <si>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</si>
  <si>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</si>
  <si>
    <t>MT earnings: Table 2, 'Monthly Earnings', Ohio, 'Post-demonstration year 2' row, impact=$105***, SE≈(35.2), control mean=$278, p.51. Cross-check: 105/278 = 37.8% ≈ reported 38%.</t>
  </si>
  <si>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</si>
  <si>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(0.88): SE(ITT) = SE(TOT) × entry_rate. Per Bloom (1984), t-statistics are identical for ITT and TOT.</t>
  </si>
  <si>
    <t>Table 3, Row 3 (p.56): demonstration training and employment costs = $4299 per participant (Ohio), in 1984 dollars. Gross program cost from social standpoint.</t>
  </si>
  <si>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</si>
  <si>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</si>
  <si>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</si>
  <si>
    <t>MT earnings: Table 2, 'Monthly Earnings', South Carolina, 'Post-demonstration year 2' row, impact=$22, SE≈(24.0), control mean=$182, p.51. Original reading of $12 from landscape Table 2 corrected to $22 per Bell et al. 1987 Tables III.2 (p.37) and III.3 (p.39).</t>
  </si>
  <si>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</si>
  <si>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(0.93): SE(ITT) = SE(TOT) × entry_rate. Per Bloom (1984), t-statistics are identical for ITT and TOT.</t>
  </si>
  <si>
    <t>Table 3, Row 3 (p.56): demonstration training and employment costs = $4902 per participant (South Carolina), in 1984 dollars. Gross program cost from social standpoint.</t>
  </si>
  <si>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</si>
  <si>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</si>
  <si>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</si>
  <si>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</si>
  <si>
    <t>MT earnings: Table 2, 'Monthly Earnings', Texas, 'Post-demonstration year 2' row, impact=$215***, control mean=$208, p.51. Cross-check: text (p.52) confirms '$215 per month' and '103 percent of the control mean' for max gain. 215/208 = 103.4% ✓. SE estimated ~35 from table; exact reading uncertain.</t>
  </si>
  <si>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</si>
  <si>
    <t>SE originally reported in Bell &amp; Orr 1994 Table 2 (in parentheses below coefficient) as TOT (per training entrant). Converted to ITT SE by multiplying by entry rate (0.75): SE(ITT) = SE(TOT) × entry_rate. Per Bloom (1984), t-statistics are identical for ITT and TOT.</t>
  </si>
  <si>
    <t>Table 3, Row 3 (p.56): demonstration training and employment costs = $8592 per participant (Texas), in 1984 dollars. Gross program cost from social standpoint.</t>
  </si>
  <si>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</si>
  <si>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</si>
  <si>
    <t>Primary: training and education are the core services. Each CBO designed its program around classroom training (job-skill or remedial education). No subsidized employment component.</t>
  </si>
  <si>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</si>
  <si>
    <t>Demographics (age, race, education): Table III.1, p.14, AUL (Atlanta Urban League) column. Randomization period: p.1 ('November 1984 to December 1987'). Total N=3,965: Executive Summary, p.xiii. 30-month survey sample sizes: Table V.1, p.42. Target group: Executive Summary, p.xiii ('minority single mothers').</t>
  </si>
  <si>
    <t>MT employment: Table IV.1, 'AUL' panel, 'Average Monthly Employment Rate' row, 'Quarters 7 Through 10' column, impact=+1.2pp, SE=(3.2), p.22. Not significant. MT earnings: Table IV.1, 'AUL' panel, 'Average Monthly Earnings' row, 'Quarters 7 Through 10' column, impact=+$6, SE=(37), control mean=$425, p.22. Not significant.</t>
  </si>
  <si>
    <t>ITT regression-adjusted impact from OLS with personal characteristics controls (Burghardt et al. 1992, Chapter IV methodology). Includes treatment group members who never participated (ITT).</t>
  </si>
  <si>
    <t>Quarters 7-10 of the 30-month follow-up = months 19-30, midpoint ~month 24.5 ≈ 2 years after application. This fits medium-term per CKW classification (1-2 years).</t>
  </si>
  <si>
    <t>SE reported directly in Table IV.1 (in parentheses below coefficient).</t>
  </si>
  <si>
    <t>Table VI.1 (pp.48-49): MFSP program costs from social perspective = $3791 per participant (AUL (Atlanta Urban League)), in 1986 dollars. Cross-check: text on p.47 rounds to $3800.</t>
  </si>
  <si>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</si>
  <si>
    <t>Atlanta Urban League is a CBO (admin=private).</t>
  </si>
  <si>
    <t>No staffing agency partnerships described (Burghardt et al. 1992).</t>
  </si>
  <si>
    <t>AUL used cooperative agreements with training organizations; no employer curricula engagement (Burghardt et al. 1992).</t>
  </si>
  <si>
    <t>Counselors worked with job-ready trainees to identify openings and arrange interviews (Burghardt et al. 1992). These were counselors with multiple duties, not dedicated job developers per Peck definition.</t>
  </si>
  <si>
    <t>No employer role in curriculum design (Burghardt et al. 1992).</t>
  </si>
  <si>
    <t>No employer hiring commitments described (Burghardt et al. 1992).</t>
  </si>
  <si>
    <t>private: The Minority Female Single Parent Demonstration was funded by the Rockefeller Foundation, with additional support from other private foundations. No significant government operational funding.</t>
  </si>
  <si>
    <t>private: All four MFSP operators were community-based organizations: Atlanta Urban League, Center for Employment Training, Opportunities Industrialization Center, and Wider Opportunities for Women.</t>
  </si>
  <si>
    <t>AUL (Atlanta): remedial education ~3 months. Burghardt et al. 1992.</t>
  </si>
  <si>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</si>
  <si>
    <t>Burghardt et al. 1992, Table VII.1, p.60
Burghardt et al. 1992, Table VII.1 (p.60): 'Percent in Job Skill Training and/or Basic Education' over 30-month follow-up. AUL: C=48.2%, T=81.6%, Impact=33.4*** (SE in table). This captures training from all sources.</t>
  </si>
  <si>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</si>
  <si>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</si>
  <si>
    <t>Table VI.1 (pp.48-49): MFSP program costs from social perspective = $3888 per participant (CET (Center for Employment Training)), in 1986 dollars. Cross-check: text on p.47 rounds to $3900.</t>
  </si>
  <si>
    <t>CET is a CBO (admin=private).</t>
  </si>
  <si>
    <t>CET model involves employer engagement: training in occupations in demand, employer involvement documented (Burghardt et al. 1992).</t>
  </si>
  <si>
    <t>Job-placement assistance provided.</t>
  </si>
  <si>
    <t>CET model known for employer involvement in curriculum design — training occupations determined by local labor market demand.</t>
  </si>
  <si>
    <t>No formal employer commitment to hire.</t>
  </si>
  <si>
    <t>CET (MFSP): open-entry self-paced program; avg duration variable. Burghardt et al. 1992.</t>
  </si>
  <si>
    <t>Burghardt et al. 1992, Table VII.1, p.60
Burghardt et al. 1992, Table VII.1 (p.60): 'Percent in Job Skill Training and/or Basic Education' over 30-month follow-up. CET: C=55.7%, T=86.3%, Impact=30.6*** (SE in table). This captures training from all sources.</t>
  </si>
  <si>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</si>
  <si>
    <t>MT employment: Table IV.1, 'OIC' panel, 'Average Monthly Employment Rate' row, 'Quarters 7 Through 10' column, impact=-1.1pp, SE=(3.7), p.22. Not significant. MT earnings: Table IV.1, 'OIC' panel, 'Average Monthly Earnings' row, 'Quarters 7 Through 10' column, impact=+$20, SE=(40), control mean=$323, p.22. Not significant.</t>
  </si>
  <si>
    <t>Table VI.1 (pp.48-49): MFSP program costs from social perspective = $5692 per participant (OIC (Opportunities Industrialization Center)), in 1986 dollars. Cross-check: text on p.47 rounds to $5700.</t>
  </si>
  <si>
    <t>OIC (Opportunities Industrialization Center) is a CBO (admin=private).</t>
  </si>
  <si>
    <t>OIC used in-house and cooperative arrangements; no employer curricula engagement (Burghardt et al. 1992).</t>
  </si>
  <si>
    <t>OIC: BEST program ~10 weeks plus skill training ~8+ weeks. Avg ~2 months per component. Burghardt et al. 1992. Duration approximate.</t>
  </si>
  <si>
    <t>Burghardt et al. 1992, Table VII.1, p.60
Burghardt et al. 1992, Table VII.1 (p.60): 'Percent in Job Skill Training and/or Basic Education' over 30-month follow-up. OIC: C=50.3%, T=85.0%, Impact=34.7*** (SE in table). This captures training from all sources.</t>
  </si>
  <si>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</si>
  <si>
    <t>MT employment: Table IV.1, 'WOW' panel, 'Average Monthly Employment Rate' row, 'Quarters 7 Through 10' column, impact=+5.1**pp, SE=(2.4), p.22. MT earnings: Table IV.1, 'WOW' panel, 'Average Monthly Earnings' row, 'Quarters 7 Through 10' column, impact=+$43, SE=(28), control mean=$477, p.22. Not significant.</t>
  </si>
  <si>
    <t>Table VI.1 (pp.48-49): MFSP program costs from social perspective = $2448 per participant (WOW (Wider Opportunities for Women)), in 1986 dollars. Cross-check: text on p.47 rounds to $2400.</t>
  </si>
  <si>
    <t>Wider Opportunities for Women is a CBO (admin=private).</t>
  </si>
  <si>
    <t>WOW used general employability model; no employer curricula engagement (Burghardt et al. 1992).</t>
  </si>
  <si>
    <t>Job openings posted; individual help at the request of the trainee (Burghardt et al. 1992). No dedicated job development staff. Weakest job placement approach among MFSP sites.</t>
  </si>
  <si>
    <t>WOW: duration not clearly specified in Burghardt et al. 1992.</t>
  </si>
  <si>
    <t>Burghardt et al. 1992, Table VII.1, p.60
Burghardt et al. 1992, Table VII.1 (p.60): 'Percent in Job Skill Training and/or Basic Education' over 30-month follow-up. WOW: C=48.6%, T=82.1%, Impact=33.5*** (SE in table). This captures training from all sources.</t>
  </si>
  <si>
    <t>Primary: vocational skills training in a worklike setting is the core service. The CET model emphasizes occupational skills training as its central component, with remedial education integrated into the vocational curriculum rather than provided separately.</t>
  </si>
  <si>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</si>
  <si>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</si>
  <si>
    <t>LT earnings (Year 5): Table 3.5, 'High-fidelity sites' panel, 'Annual Earnings' section, 'Year 5' row, p.69. Impact=$1331.5, p-value=0.405. Control group mean=$14671. Also Year 4: impact=$151.2, p=0.92, ctrl=$15488.</t>
  </si>
  <si>
    <t>ITT regression-adjusted impact from OLS, controlling for pre-random assignment characteristics of sample members. Includes those assigned to CET who did not participate (ITT). Table notes (e.g., Table 3.5, p.69): 'Estimates were regression-adjusted using ordinary least squares.'</t>
  </si>
  <si>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</si>
  <si>
    <t>SE derived from two-sided p-value: z = Φ^{-1}(1 - p/2), SE = |impact|/z.</t>
  </si>
  <si>
    <t>Not available. Footnote 5 on p.99: 'A formal benefit-cost analysis was not part of this evaluation.'</t>
  </si>
  <si>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</si>
  <si>
    <t>CET replication sites operated by CBOs (admin=private).</t>
  </si>
  <si>
    <t>No staffing agency partnerships described (Miller et al. 2005).</t>
  </si>
  <si>
    <t>Desc explicitly states 'employer involvement in curriculum design and job placement' (Miller et al. 2005).</t>
  </si>
  <si>
    <t>Job placement described as a core CET model component.</t>
  </si>
  <si>
    <t>Desc explicitly states 'employer involvement in curriculum design' (Miller et al. 2005).</t>
  </si>
  <si>
    <t>No formal employer commitment to hire documented.</t>
  </si>
  <si>
    <t>public: The CET Replication study was funded by DOL. Program operations at the replication sites were funded through DOL grants.</t>
  </si>
  <si>
    <t>private: CET and the replication site operators were nonprofit organizations.</t>
  </si>
  <si>
    <t>High-fidelity CET sites: avg 6.5 months, 670 hours. Miller et al. 2003, Table 2.4.</t>
  </si>
  <si>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</si>
  <si>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</si>
  <si>
    <t>LT earnings (Year 5): Table 3.5, 'Medium/low-fidelity sites' panel, 'Annual Earnings' section, 'Year 5' row, p.69. Impact=$-719.0, p-value=0.471. Control group mean=$12078. Also Year 4: impact=$-683.9, p=0.63, ctrl=$11919.</t>
  </si>
  <si>
    <t>Medium/low-fidelity CET sites: avg 6.0 months, 595 hours. Miller et al. 2003, Table 2.4.</t>
  </si>
  <si>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</si>
  <si>
    <t>Secondary: job search workshops were the most frequently used component (~30% of registrants), with education/training at ~20%. The program functioned as a 'switching station' — training was one of several components, not the primary service.</t>
  </si>
  <si>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</si>
  <si>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</si>
  <si>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</si>
  <si>
    <t>ITT regression-adjusted impact from OLS with pre-random-assignment demographic controls (Table 5.1 notes). Includes all randomized individuals regardless of participation.</t>
  </si>
  <si>
    <t>ST: Quarters 2-5 = ~15 months after RA → 1.25 years → short-term per CKW. MT: Quarters 2-8 = ~24 months after RA → 2.0 years → medium-term per CKW. MT uses early subsample with longer follow-up.</t>
  </si>
  <si>
    <t>SEs not reported in this 1980s MDRC report. Only significance stars from two-tailed t-tests.</t>
  </si>
  <si>
    <t>Executive summary p.xxxv: 'total cost of the program was approximately $1,000 per AFDC experimental' ($800 operating + $200 stipends/support). Nominal dollars (1982-1983). Gross cost per experimental.</t>
  </si>
  <si>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</si>
  <si>
    <t>Baltimore Options: Public mandatory welfare program (admin=public). Job search workshops, work experience, training referrals. No CBO lead, no employer engagement in curriculum.</t>
  </si>
  <si>
    <t>public: Baltimore Options was a Maryland state welfare program funded by state and federal welfare appropriations.</t>
  </si>
  <si>
    <t>public: Administered by the Maryland Department of Human Resources through the Baltimore City welfare office.</t>
  </si>
  <si>
    <t>BOP: 3-week job search + 13-week work experience = 16 weeks ≈ 4 months. Friedlander et al. 1985.</t>
  </si>
  <si>
    <t>Friedlander et al. 1985, Table 4.1 (report p.60). 'Any Active Component': E=44.5%, C=3.4%, impact=41.1pp***. Sample: E=1566, C=1604.</t>
  </si>
  <si>
    <t>Friedlander et al. 1985, Table 4.1 (report p.60). 'Education and Training': E=18.6%, C=1.0%, impact=17.6pp***. Sample: E=1566, C=1604.</t>
  </si>
  <si>
    <t>Primary: TOPS is fundamentally a training program — pre-vocational classroom instruction followed by OJT with wage subsidies. Training was the core service; job search was ancillary (not part of program design).</t>
  </si>
  <si>
    <t>has_classroom=1: pre-vocational classroom training. has_ojt=1: on-the-job training with 50% wage subsidies at private employers. has_jsa=1: 32% were active in job search, though not formally part of design. has_multiple_components=1: classroom + OJT + job search.</t>
  </si>
  <si>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</si>
  <si>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</si>
  <si>
    <t>Experimental impact from regression-adjusted differences (implied by MDRC standard methodology). ITT — includes all randomized experimentals regardless of participation.</t>
  </si>
  <si>
    <t>ST: Q2-6 = ~1.5 years (in-program period, training ongoing through ~Q6). MT: Q7-11 = months 18-33 after RA, midpoint ~25 months = ~2.1 years → medium-term per CKW. Classified as mt_followup_years=2.75 (endpoint of follow-up period).</t>
  </si>
  <si>
    <t>SEs not reported. Only significance stars from two-tailed t-tests.</t>
  </si>
  <si>
    <t>Exec summary p.xxvi: total program cost $2,627 per experimental, in 1985 dollars. Net cost after subtracting control group employment services = $2,244. Gross cost used.</t>
  </si>
  <si>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</si>
  <si>
    <t>Maine TOPS: Public program (admin=public). Pre-vocational training + OJT with wage subsidies. Employers received subsidies for OJT but no evidence of curriculum engagement or hiring commitment beyond subsidized period.</t>
  </si>
  <si>
    <t>public: Maine Training Opportunities in the Private Sector was funded under the federal WIN (Work Incentive) program with state matching funds.</t>
  </si>
  <si>
    <t>public: Administered by the Maine Department of Human Services.</t>
  </si>
  <si>
    <t>Maine TOPS: 2-5 week pre-voc + up to 12 weeks work experience + avg 19 weeks OJT. Total ~33 weeks ≈ 8 months. Auspos et al. 1988. Duration approximate.</t>
  </si>
  <si>
    <t>Auspos, Cave, and Long 1988, Table 4.1 (report p.77). 'Participated in Either Pre-Voc Training, Work Experience or OJT': E=89.6%, C=22.4%***. N: E=297, C=147. Note: Controls had HIGHER rates of education (14.3% vs 6.1%) and training (11.6% vs 3.0%) because experimentals were channeled into TOPS-specific sequence.</t>
  </si>
  <si>
    <t>Auspos, Cave, and Long 1988, Table 4.1 (report p.77). 'Participated in Any Activity': E=92.9%, C=51.7%***. N: E=297, C=147. Includes job search, pre-voc, WE, OJT, education, training.</t>
  </si>
  <si>
    <t>Primary: the entire program is an OJT intervention using grant diversion to subsidize wages. There is no other major program component.</t>
  </si>
  <si>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</si>
  <si>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</si>
  <si>
    <t>ST earnings Q1-4: Table 1 (p.11), 'Total Earnings' row, diff=$634.28***, control mean=$2,865.78. ST employment Q1-4: Table 1 (p.11), 'Percent ever employed' row, diff=7.4%***, control=74.7%. MT earnings Q5-7: Table 2 (p.13), 'Total Earnings Quarters 5-7' row, diff=$468.32*, control mean=$3,159.10.</t>
  </si>
  <si>
    <t>Experimental impact from regression-adjusted differences (MDRC standard methodology). ITT.</t>
  </si>
  <si>
    <t>ST: Q1-4 = ~12 months after RA → short-term per CKW. MT: Q5-7 = ~12-21 months after RA, midpoint ~16 months = ~1.3 years → medium-term per CKW (&gt;1 year).</t>
  </si>
  <si>
    <t>Table 3 (p.15): net cost per experimental = $860 (1986 dollars). Gross cost = $1,642. Net cost deducts WIN/JTPA services received by controls.</t>
  </si>
  <si>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</si>
  <si>
    <t>NJ Grant Diversion: Public OJT program (admin=public). AFDC grants diverted to subsidize wages. No CBO, no employer engagement in curriculum.</t>
  </si>
  <si>
    <t>public: New Jersey Grant Diversion was a state demonstration funded by diverting existing welfare grant funds plus state/federal welfare appropriations.</t>
  </si>
  <si>
    <t>public: Administered by the New Jersey Department of Human Services.</t>
  </si>
  <si>
    <t>NJ Grant Diversion: up to 6 months subsidized OJT. Freedman et al. 1988.</t>
  </si>
  <si>
    <t>Freedman, Bryant, and Cave 1988, Executive Summary (p.xvi) and Table 3.2 (early sample: 40.7%). Full sample: 'Approximately 43 percent of the experimentals actually worked in OJT positions.' Controls barred from OJT. N: short-term sample E=814, C=790; early sample E=508, C=486.</t>
  </si>
  <si>
    <t>Freedman, Bryant, and Cave 1988, Table 3.3 (p.54-55). 'Active in any WIN/JTPA activity': E=83.9%, C=73.0%***. Includes job search (~62% E, ~66% C), work experience (~7% E, ~8% C), and JTPA ed/training (~21% E, ~17% C). OJT alone accounts for most of the differential. Early sample N: E=508, C=486.</t>
  </si>
  <si>
    <t>Secondary: job search was the primary activity (~50% participated). Education/vocational training referrals (~12%) did not differ between experimental and control groups, so training was not an effective distinguishing component of treatment.</t>
  </si>
  <si>
    <t>has_classroom=1: education/vocational training referrals available (~12%). has_ojt=0: no OJT component. Work experience was unpaid at government sites. has_jsa=1: job search was the primary activity (~50%). has_multiple_components=1: job search + work experience + training referrals.</t>
  </si>
  <si>
    <t>N=3,184 total: exec summary. Applicants 40%, recipients 60%: exec summary. Demographics: exec summary pp.8-12. Cost $388: exec summary. Randomization period 1983-1984: exec summary.</t>
  </si>
  <si>
    <t>ST earnings Q2-4: Table 1 (exec summary p.11), 'Total Earnings Quarters 2-4', diff=+$80.89, control=$1,038.16. Not significant. Source table: Table 4.2. ST employment Q2-4: Table 1 (p.11), 'Employed at least one quarter, Q2-4', diff=+3.3*, control=40.5%.</t>
  </si>
  <si>
    <t>ST: Q2-4 = ~9 months after RA → short-term per CKW. No longer follow-up available for full sample.</t>
  </si>
  <si>
    <t>Executive summary: $388 per experimental, gross cost, nominal dollars.</t>
  </si>
  <si>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</si>
  <si>
    <t>Virginia ESP: Public statewide welfare program (admin=public). Job search emphasis. Minimal training component. No CBO, no employer engagement.</t>
  </si>
  <si>
    <t>public: Virginia Employment Services Program was a state welfare program funded by state and federal welfare/JTPA funds.</t>
  </si>
  <si>
    <t>public: Administered by the Virginia Department of Social Services statewide.</t>
  </si>
  <si>
    <t>Virginia ESP: job search assistance (up to 4 weeks) followed by periodic re-enrollment every 6 months. Not a fixed-duration training program. Riccio et al. 1986. Duration ambiguous.</t>
  </si>
  <si>
    <t>Riccio et al. 1986, Table 3.3 (report p.68). 'Ever Active' in ESP: 58.3%*** (experimentals only; controls barred by design). Full sample: E=2138, C=1044. Text (p.80): 'Very few of the 1,044 controls were served by the Employment Services Program; by design, none were supposed to be.'</t>
  </si>
  <si>
    <t>Riccio et al. 1986, Table 4.1 (report p.82). 'Any Education or Training': E=15.8%, C=12.7%, diff=+3.1pp. Text (p.81): 'ESP was thus not able to substantially increase the receipt of education and training resources for the targeted population beyond that which they would have found on their own.'</t>
  </si>
  <si>
    <t>Primary: Project QUEST is a sectoral training program. The core service is financial support and counseling for community college health-care career track programs lasting 1-2 years.</t>
  </si>
  <si>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</si>
  <si>
    <t>N=410 (207 T, 203 C): p.4. Randomization period April 2006 – October 2008: p.4. Demographics: Table 1 (p.6) and Table A1 (p.23). Cost $12,464: p.17. Control group college costs $12,726: Table 2 (p.18).</t>
  </si>
  <si>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</si>
  <si>
    <t>Regression-adjusted impact estimates from Table A3. ITT — includes all randomized individuals regardless of participation.</t>
  </si>
  <si>
    <t>ST: Year 1 = 1 year after enrollment → short-term per CKW. MT: Year 2 = 2 years → medium-term. LT: Year 6 = 6 years → long-term. Years 1-2 show lock-in effects (negative impacts during training). Year 6 chosen for LT as peak significant impact. Years 7-11 also available with mixed significance.</t>
  </si>
  <si>
    <t>SEs reported directly in Table A3.</t>
  </si>
  <si>
    <t>p.17: 'The average cost per participant of Project QUEST in 2019 dollars was $12,464.' Gross QUEST program cost. Table 2 (p.18) shows net total cost (including differential college costs) = $13,979.</t>
  </si>
  <si>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</si>
  <si>
    <t>Peck et al. 2021 dataset (Project Quest): coded as 1</t>
  </si>
  <si>
    <t>Peck et al. 2021 dataset (Project Quest): coded as 0</t>
  </si>
  <si>
    <t>mixed: Project QUEST was founded with support from the Industrial Areas Foundation and funded by a mix of public funds (city of San Antonio, DOL, JTPA) and private philanthropy (foundations). Neither sector clearly dominates.</t>
  </si>
  <si>
    <t>private: QUEST is a nonprofit community-based organization that directly administers its programs in San Antonio.</t>
  </si>
  <si>
    <t>Project QUEST: weighted avg ~12.4 months core program duration. Roder &amp; Elliott 2021, Table A2.</t>
  </si>
  <si>
    <t>Roder and Elliott 2021 (11-year report). Program_uptake not reported as T vs C comparison. Controls barred from QUEST. ~82 of 207 T completed full QUEST program (~40% completion rate), but total participation rate not reported. N: T=207, C=203.</t>
  </si>
  <si>
    <t>Roder and Elliott 2021, Figure 6 (p.8). 'Enrolled in NSC-Covered Postsecondary Education at Any Time': QUEST=74.8%, C=66.7%, impact=8.1pp**. N: T=207, C=203. Note: both groups expressed interest in health-care career at enrollment; controls received de facto roadmap for community college programs.</t>
  </si>
  <si>
    <t>Primary: the Full-WIA vs Core comparison specifically tests the effect of adding intensive services and training to core services. Training was the largest cost component ($3,223 of $4,111 total per customer).</t>
  </si>
  <si>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</si>
  <si>
    <t>Demographics: Fortson et al. 2017, Table III.2 (pp.30-32), Adults column. N: Rotz et al. 2017, Table G.VI.1 footer: F=18,558, C&amp;I=1,214, C=1,224 (NDNH full sample, adults only). Cost: Table VIII.1 (main report p.121). Training enrollment: Figure V.12 and surrounding text (pp.65-66).</t>
  </si>
  <si>
    <t>Earnings (NDNH, F-C&amp;I, total earnings): Rotz et al. 2017, Table G.VI.1. Q4: -$323 (p=0.097); Q8: -$420* (p=0.043); Q12: -$143 (p=0.599). C&amp;I means: Q4=$3,209; Q8=$4,125; Q12=$4,432. Employment (NDNH, F-C&amp;I): Table G.VI.2. Q1:-4.4, Q2:-6.1, Q3:-5.1, Q4:-1.7 → avg=-4.3pp; Q5:-1.9, Q6:-0.1, Q7:-1.7, Q8:-2.1 → avg=-1.5pp; Q9:-0.3, Q10:+1.5, Q11:+0.6, Q12:+0.9 → avg=+0.7pp. C&amp;I means: Q1-4 avg=63.7%; Q5-8 avg=67.1%; Q9-12 avg=67.7%.</t>
  </si>
  <si>
    <t>Regression-adjusted impact from weighted OLS. Weights account for local area selection probability, assignment probability, study consent. ITT. NDNH data cover virtually all study participants (no survey selection/nonresponse).</t>
  </si>
  <si>
    <t>Earnings: single-quarter impacts at Q4 (1 year, ST), Q8 (2 years, MT), Q12 (3 years, LT) after random assignment. Employment: averages of quarterly impacts over Q1-4 (ST), Q5-8 (MT), Q9-12 (LT). NDNH quarters are calendar quarters, not quarters since RA date.</t>
  </si>
  <si>
    <t>Earnings SE derived from p-values reported in Table G.VI.1: SE = |impact| / Φ^{-1}(1-p/2). Q4: SE=|323|/1.661=194.6; Q8: SE=|420|/2.024=207.5; Q12: SE=|143|/0.526=272.2. Employment SEs not computed (user instruction: averages of quarterly impacts, no SE).</t>
  </si>
  <si>
    <t>Table VIII.1 (main report p.121): Full-WIA total cost = $4,111, Core total cost = $3,131. Net differential = $980 per customer (2012 dollars).</t>
  </si>
  <si>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t>
  </si>
  <si>
    <t>WIA Gold Standard: Government workforce system (admin=public). Training delivered through community colleges and approved providers. No CBO lead, no employer curriculum engagement in program design.</t>
  </si>
  <si>
    <t>public: WIA (Workforce Investment Act) was a federal program funded entirely by federal appropriations to states.</t>
  </si>
  <si>
    <t>public: WIA services were delivered through American Job Centers (One-Stop Career Centers), which are public workforce development infrastructure.</t>
  </si>
  <si>
    <t>WIA Adults: among trainees, median enrollment about month 8 with completion ~5 months later; ~5 months of training. Fortson et al. 2017, Figure 5. Note: only ~50% of full-WIA customers enrolled in training.</t>
  </si>
  <si>
    <t>Fortson et al. 2017, Figure V.12 and text p.65: Adults: Full-WIA=47%, C&amp;I=40%. Impact F-C&amp;I=7pp (significant at 0.05). WIA-funded training specifically: 31% of F group in first 15 months (Figure V.3).</t>
  </si>
  <si>
    <t>Fortson et al. 2017, Figure V.12 and text p.65: Adults: Full-WIA=47%, Core-and-Intensive=40%. F-C&amp;I impact=7pp*. 'Training from any source' in 30-month follow-up.</t>
  </si>
  <si>
    <t>Same as WIA Gold Standard Adults — training is the primary distinguishing component.</t>
  </si>
  <si>
    <t>Same as WIA Gold Standard Adults.</t>
  </si>
  <si>
    <t>Demographics: Fortson et al. 2017, Table III.2 (pp.30-32), Dislocated Workers column. N: Rotz et al. 2017, Table H.VI.1 footer: F=11,152, C&amp;I=820, C=805 (NDNH full sample, DW only). Cost: Table VIII.1 — reported for all customers combined.</t>
  </si>
  <si>
    <t>Earnings (NDNH, F-C&amp;I, total earnings): Rotz et al. 2017, Table H.VI.1. Q4: +$95 (p=0.606); Q8: +$360 (p=0.301); Q12: +$526 (p=0.231). C&amp;I means: Q4=$4,184; Q8=$4,932; Q12=$5,374. Employment (NDNH, F-C&amp;I): Table H.VI.2. Q1:-5.2, Q2:-3.6, Q3:-2.0, Q4:+1.8 → avg=-2.3pp; Q5:-2.7, Q6:-4.1, Q7:0.0, Q8:-0.6 → avg=-1.9pp; Q9:-1.3, Q10:-1.4, Q11:-4.0, Q12:-1.9 → avg=-2.2pp. C&amp;I means: Q1-4 avg=57.6%; Q5-8 avg=72.6%; Q9-12 avg=76.4%.</t>
  </si>
  <si>
    <t>Same as WIA Gold Standard Adults — regression-adjusted ITT from weighted OLS, NDNH data.</t>
  </si>
  <si>
    <t>Same as WIA Gold Standard Adults: earnings Q4/Q8/Q12 → ST/MT/LT; employment averages Q1-4/Q5-8/Q9-12 → ST/MT/LT.</t>
  </si>
  <si>
    <t>Earnings SE derived from p-values in Table H.VI.1: Q4: SE=|95|/0.516=184.3; Q8: SE=|360|/1.034=348.1; Q12: SE=|526|/1.198=439.1. Employment SEs not computed.</t>
  </si>
  <si>
    <t>Same as WIA Gold Standard Adults — Table VIII.1, net differential = $980 per customer (2012 dollars).</t>
  </si>
  <si>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t>
  </si>
  <si>
    <t>WIA Dislocated Workers: similar to Adults, ~5 months training duration for trainees. Fortson et al. 2017, Figure 5.</t>
  </si>
  <si>
    <t>Fortson et al. 2017, Figure V.12 and text p.65: DW: Full-WIA=54%, C&amp;I=43%. Impact F-C&amp;I=11pp (significant at 0.05).</t>
  </si>
  <si>
    <t>Fortson et al. 2017, Figure V.12 and text p.65: DW: Full-WIA=54%, Core-and-Intensive=43%. F-C&amp;I impact=11pp*. 'Training from any source' in 30-month follow-up.</t>
  </si>
  <si>
    <t>Secondary: program focus is JSA and career ladder advancement, not classroom training. Training referrals available but not the core service.</t>
  </si>
  <si>
    <t>has_jsa=1 (targeted job search, career counseling); has_multiple_components=1 (JSA + career ladders + employer outreach). No direct classroom or OJT.</t>
  </si>
  <si>
    <t>Demographics: Table 4.2, p. 110. Sample size: Appendix Table B.2, p. 309 (854 ERA, 874 control). Randomization period: text p. 109 ('last few months April-June 2003').</t>
  </si>
  <si>
    <t>ST/MT/LT all from Appendix Table B.2, pp. 309-310. Earnings: row 'Annual earnings ($)', Years 1-4. Employment: row 'Average quarterly employment (%)', Years 1-4.</t>
  </si>
  <si>
    <t>ITT experimental impact (regression-adjusted difference between ERA and control groups, from UI wage records)</t>
  </si>
  <si>
    <t>Year 1 (~Q2-Q5) → ST; Year 2 → MT; Year 4 → LT. 4-year follow-up available.</t>
  </si>
  <si>
    <t>SE reported directly in Appendix Table B.2.</t>
  </si>
  <si>
    <t>Not reported in this publication; separate cost-benefit study (Redcross, Deitch, and Farrell 2009).</t>
  </si>
  <si>
    <t>Program is primarily JSA/career advancement, not training. Included in meta-analysis because v10 lists it as ERA site with training relevance. Early-cohort subgroup showed stronger effects (Table B.5) but full sample used per protocol.</t>
  </si>
  <si>
    <t>ERA Chicago: for-profit firm delivering advancement services (admin=private but for-profit, not CBO). Career coaching and employer outreach but no formal employer curriculum engagement.</t>
  </si>
  <si>
    <t>public: The Employment Retention and Advancement project was funded by DHHS as a federal demonstration under TANF.</t>
  </si>
  <si>
    <t>private: ERA Chicago was operated through a private nonprofit provider.</t>
  </si>
  <si>
    <t>ERA Chicago: employment retention &amp; advancement case management, not fixed-duration training. Hendra et al. 2010. Duration ambiguous.</t>
  </si>
  <si>
    <t>Hendra et al. 2010, Table 4.3. 'Retention and advancement services': ERA=37.0%, C=12.6%, impact=24.5*** (p=0.000). Survey sample: ERA=306, C=292. Admin sample: 854/874.</t>
  </si>
  <si>
    <t>Hendra et al. 2010, Table 4.3. 'Education or training': ERA=23.3%, C=24.9%, impact=-1.6 (ns). Survey sample: ERA=306, C=292.</t>
  </si>
  <si>
    <t>Secondary: individualized retention/advancement services with referrals to training, but training not the core service.</t>
  </si>
  <si>
    <t>has_jsa=1 (job retention assistance); has_multiple_components=1 (retention + career planning + referrals).</t>
  </si>
  <si>
    <t>Demographics: Table 4.2, p. 110. Sample size: Appendix Table B.9 (2,857 ERA, 2,843 control). Randomization: text p. 127.</t>
  </si>
  <si>
    <t>All from Appendix Table B.9, p. 323. Earnings: row 'Annual earnings ($)', Years 1-3. Employment: row 'Average quarterly employment (%)', Years 1-3.</t>
  </si>
  <si>
    <t>Year 1 → ST; Year 2 → MT; Year 3 → LT (3-year follow-up only).</t>
  </si>
  <si>
    <t>SE reported directly in Appendix Table B.9.</t>
  </si>
  <si>
    <t>Not in this publication.</t>
  </si>
  <si>
    <t>No statistically significant impacts on any earnings or employment outcome across all 3 years. Year 3 is borderline for LT (CKW says 3+ years).</t>
  </si>
  <si>
    <t>ERA LA RFS: public welfare agency (admin=public). Voluntary retention services.</t>
  </si>
  <si>
    <t>public: ERA Los Angeles RFS was administered by LA County DPSS (public welfare agency).</t>
  </si>
  <si>
    <t>ERA Los Angeles RFS: case management. Hendra et al. 2010. Duration ambiguous.</t>
  </si>
  <si>
    <t>Hendra et al. 2010, Table 4.5. 'Retention and advancement services': ERA=21.6%, C=17.5%, impact=4.1 (ns). Survey sample: ERA=428, C=420.</t>
  </si>
  <si>
    <t>Hendra et al. 2010, Table 4.5. 'Education or training': ERA=35.9%, C=34.2%, impact=1.7 (ns). Survey sample: ERA=428, C=420.</t>
  </si>
  <si>
    <t>Secondary: program encourages education/training by relaxing work requirements, but doesn't directly provide classroom instruction. Training is a pathway within a retention/advancement framework.</t>
  </si>
  <si>
    <t>has_classroom=1 (program encouraged education/training participation, including classroom courses); has_jsa=1 (career counseling); has_multiple_components=1.</t>
  </si>
  <si>
    <t>Demographics: Table 4.2, p. 110 (Phase 2 combined). Sample size: Appendix Table B.13 (744 TF, 753 control). Randomization: text p. 137.</t>
  </si>
  <si>
    <t>Appendix Table B.13, pp. 331-332. Training Focused columns. Earnings: 'Annual earnings ($)', Years 1-4. Employment: 'Average quarterly employment (%)', Years 1-4.</t>
  </si>
  <si>
    <t>Year 1 → ST; Year 2 → MT; Year 4 → LT (4-year follow-up).</t>
  </si>
  <si>
    <t>SE reported directly in Appendix Table B.13.</t>
  </si>
  <si>
    <t>Negative Year 1 employment impact (-4.5**, p=0.011) likely reflects lock-in from training participation. Three-arm design — Training Focused vs shared control group. No significant earnings impacts at any horizon.</t>
  </si>
  <si>
    <t>ERA Riverside Training Focused: public workforce agency (admin=public).</t>
  </si>
  <si>
    <t>public: ERA Riverside Training Focused was administered by Riverside County DPSS (public).</t>
  </si>
  <si>
    <t>ERA Riverside Training Focused: case management with training referrals. Hendra et al. 2010. Duration ambiguous.</t>
  </si>
  <si>
    <t>Hendra et al. 2010, Table 4.7. 'Retention and advancement services': TF=24.2%, C=21.5%, impact=2.6 (ns). Survey sample: TF=234, C=241. Note: Riverside had shared control group for TF and WP arms.</t>
  </si>
  <si>
    <t>Hendra et al. 2010, Table 4.7. 'Education or training': TF=41.4%, C=31.9%, impact=9.5** (p=0.033). Survey sample: TF=234, C=241.</t>
  </si>
  <si>
    <t>Secondary: same framework as Training Focused but with less flexibility to reduce work for training.</t>
  </si>
  <si>
    <t>has_classroom=1, has_jsa=1, has_multiple_components=1. Same as Training Focused but with less flexibility for training participation.</t>
  </si>
  <si>
    <t>Demographics: Table 4.2, p. 110. Sample size: Appendix Table B.13 (1,532 WP, 753 control). Randomization: text p. 137.</t>
  </si>
  <si>
    <t>Appendix Table B.13, pp. 331-332. Work Plus columns. Years 1-4.</t>
  </si>
  <si>
    <t>Year 1 → ST; Year 2 → MT; Year 4 → LT.</t>
  </si>
  <si>
    <t>SE reported directly.</t>
  </si>
  <si>
    <t>Consistently negative and non-significant impacts. Shares control group with Training Focused arm. Less flexibility for training than TF arm, yet similarly negative results.</t>
  </si>
  <si>
    <t>ERA Riverside Work Plus: public welfare agency (admin=public).</t>
  </si>
  <si>
    <t>public: ERA Riverside Work Plus was administered by Riverside County DPSS (public).</t>
  </si>
  <si>
    <t>ERA Riverside Work Plus: case management. Hendra et al. 2010. Duration ambiguous.</t>
  </si>
  <si>
    <t>Hendra et al. 2010, Table 4.7. 'Retention and advancement services': WP=28.9%, C=21.5%, impact=7.4* (p=0.066). Survey sample: WP=237, C=241.</t>
  </si>
  <si>
    <t>Hendra et al. 2010, Table 4.7. 'Education or training': WP=37.3%, C=31.9%, impact=5.4 (ns). Survey sample: WP=237, C=241.</t>
  </si>
  <si>
    <t>Secondary: program provides peer support and supervisory training, not direct classroom vocational training. Included because v10 lists as ERA site.</t>
  </si>
  <si>
    <t>has_multiple_components=1 (peer support + supervisory training + retention services). No direct classroom, OJT, or JSA.</t>
  </si>
  <si>
    <t>Demographics: Table 5.2, p. 160. Sample size: Appendix Table C.2 (381 ERA, 316 control). Randomization: text p. 170 (employer-based, staged).</t>
  </si>
  <si>
    <t>Appendix Table C.2, p. 359. Years 1-3.</t>
  </si>
  <si>
    <t>Year 1 → ST; Year 2 → MT; Year 3 → LT (3-year follow-up).</t>
  </si>
  <si>
    <t>Employer-based randomization: firms randomized first, then workers within firms. Small sample. No significant impacts on any outcome.</t>
  </si>
  <si>
    <t>ERA Cleveland Achieve operated by CBO (admin=private). Employer-based retention program.</t>
  </si>
  <si>
    <t>No staffing agency partnerships described (Hendra et al. 2010).</t>
  </si>
  <si>
    <t>Employer-based retention program at nursing facilities; no employer engagement in training curricula for workers (Hendra et al. 2010).</t>
  </si>
  <si>
    <t>Retention focus, not dedicated job development.</t>
  </si>
  <si>
    <t>No employer role in curriculum design; supervisory training was for supervisors, not worker curricula (Hendra et al. 2010).</t>
  </si>
  <si>
    <t>No employer hiring commitments; workers were already employed (Hendra et al. 2010).</t>
  </si>
  <si>
    <t>private: ERA Cleveland Achieve was operated by a nonprofit provider.</t>
  </si>
  <si>
    <t>ERA Cleveland: case management. Hendra et al. 2010. Duration ambiguous.</t>
  </si>
  <si>
    <t>Hendra et al. 2010, Table 5.3. 'Retention and advancement services': ERA=38.5%, C=27.5%, impact=11.0** (p=0.025). Also 'contact': ERA=52.4%, C=30.2%, impact=22.2*** (p=0.000). Survey: ERA=260, C=225; Admin: 381/316.</t>
  </si>
  <si>
    <t>Hendra et al. 2010, Table 5.3. 'Education or training': ERA=28.9%, C=37.3%, impact=-8.3 (p=0.152). Survey: ERA=260, C=225.</t>
  </si>
  <si>
    <t>Secondary: career counseling and referrals, not direct training. Community college partnership suggests some training access.</t>
  </si>
  <si>
    <t>has_jsa=1 (career counseling/referrals); has_multiple_components=1 (counseling + referrals + community college partnership).</t>
  </si>
  <si>
    <t>Demographics: Table 5.2, p. 160. Sample size: Appendix Table C.6 (585 ERA, 594 control).</t>
  </si>
  <si>
    <t>Appendix Table C.6, p. 366. Years 1-3.</t>
  </si>
  <si>
    <t>Year 1 → ST; Year 2 → MT; Year 3 → LT.</t>
  </si>
  <si>
    <t>Significant negative Year 3 employment impact (-6.5***, p=0.008). Authors note this is a concerning finding. Report notes footnote (p. 331) about negative impacts for Eugene and Riverside TF.</t>
  </si>
  <si>
    <t>ERA Eugene: mixed admin, welfare agency partnership with CC and WIA contractor. Not CBO-led.</t>
  </si>
  <si>
    <t>mixed: ERA Eugene, OR was administered by the state welfare agency with contracted private providers.</t>
  </si>
  <si>
    <t>ERA Eugene, OR: case management. Hendra et al. 2010. Duration ambiguous.</t>
  </si>
  <si>
    <t>Hendra et al. 2010, Table 5.4. 'Retention and advancement services': ERA=38.0%, C=22.0%, impact=16.0*** (p=0.000). Also 'contact': ERA=83.5%, C=85.6%, impact=-2.2 (ns). Survey: ERA=220, C=220; Admin: 585/594.</t>
  </si>
  <si>
    <t>Hendra et al. 2010, Table 5.4. 'Education or training': ERA=21.7%, C=25.1%, impact=-3.4 (p=0.416). Survey: ERA=220, C=220.</t>
  </si>
  <si>
    <t>Secondary: career counseling and service referrals, not direct training.</t>
  </si>
  <si>
    <t>has_jsa=1 (career counseling/referrals); has_multiple_components=1.</t>
  </si>
  <si>
    <t>Demographics: Table 5.2, p. 160. Sample size: Appendix Table C.10 (590 ERA, 574 control).</t>
  </si>
  <si>
    <t>Appendix Table C.10, p. 374. Years 1-3.</t>
  </si>
  <si>
    <t>No statistically significant impacts. Consistently negative point estimates for earnings across all horizons.</t>
  </si>
  <si>
    <t>ERA Medford: mixed admin, welfare agency + nonprofit employment service. Not clearly CBO-led in program design sense.</t>
  </si>
  <si>
    <t>mixed: ERA Medford, OR was administered by the state welfare agency with contracted private providers.</t>
  </si>
  <si>
    <t>ERA Medford, OR: case management. Hendra et al. 2010. Duration ambiguous.</t>
  </si>
  <si>
    <t>Hendra et al. 2010, Table 5.5. 'Retention and advancement services': ERA=24.8%, C=16.1%, impact=8.8** (p=0.049). Also 'contact': ERA=73.1%, C=62.3%, impact=10.8** (p=0.039). Survey: ERA=167, C=178; Admin: 590/574.</t>
  </si>
  <si>
    <t>Hendra et al. 2010, Table 5.5. 'Education or training': ERA=30.3%, C=21.6%, impact=8.7* (p=0.074). Survey: ERA=167, C=178.</t>
  </si>
  <si>
    <t>Secondary: individualized retention/advancement services with community college partnership. Training is not the core service but is available.</t>
  </si>
  <si>
    <t>has_jsa=1 (career counseling/advancement); has_multiple_components=1 (JSA + community college + CBOs).</t>
  </si>
  <si>
    <t>Demographics: Table 5.2, p. 160. Sample size: Appendix Table C.14 (1,627 ERA, 1,143 control).</t>
  </si>
  <si>
    <t>Appendix Table C.14, pp. 383-384. Years 1-4.</t>
  </si>
  <si>
    <t>Year 1 → ST; Year 2 → MT; Year 4 → LT. Authors highlight Year 4 as showing sustained gains.</t>
  </si>
  <si>
    <t>One of only 3 ERA sites producing positive economic impacts. Growing effects over time suggest durable program effects. Identified by authors as a 'successful' ERA model.</t>
  </si>
  <si>
    <t>ERA Riverside PASS: delivered 'primarily by three community-based organizations' (Hendra et al. 2010).</t>
  </si>
  <si>
    <t>'Did not emphasize work-based strategies for advancement and did not seek formal connections between staff and local employers' (Hendra et al. 2010).</t>
  </si>
  <si>
    <t>Individualized retention/advancement services for already-employed; no dedicated job development component (Hendra et al. 2010).</t>
  </si>
  <si>
    <t>No employer role in curriculum; program focused on individual retention services (Hendra et al. 2010).</t>
  </si>
  <si>
    <t>No employer hiring commitments; retention program for current jobs (Hendra et al. 2010).</t>
  </si>
  <si>
    <t>mixed: ERA Riverside PASS was a public-private partnership within the county system.</t>
  </si>
  <si>
    <t>ERA Riverside PASS: case management. Hendra et al. 2010. Duration ambiguous.</t>
  </si>
  <si>
    <t>Hendra et al. 2010, Table 5.6. 'Retention and advancement services': ERA=24.4%, C=20.0%, impact=4.4 (p=0.454). Survey: ERA=120, C=104; Admin: 1627/1143. CAUTION: survey data from early cohort only; late cohort had larger economic impacts but no participation survey.</t>
  </si>
  <si>
    <t>Hendra et al. 2010, Table 5.6. 'Education or training': ERA=42.1%, C=39.9%, impact=2.2 (p=0.749). Survey: ERA=120, C=104. CAUTION: early cohort only.</t>
  </si>
  <si>
    <t>Secondary: program is primarily transitional/subsidized employment for ex-prisoners, not classroom training. Some job readiness activities and vocational training available but not the core component. (Table 7.1: only 20.8% participated in vocational training)</t>
  </si>
  <si>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</si>
  <si>
    <t>Randomization: p. ES-1, 'random assignment beginning in 2007...ended in September 2008' (pp. 19-20). Sample sizes: Table 2.2 (N=374 for Chicago); Appendix Table B.1 (189 TJ, 185 JS). Demographics: Table 2.2, p. 26. Cost: Table 7.2, p. 119.</t>
  </si>
  <si>
    <t>ST impacts: Table 5.2, pp. 75-76 — Chicago panel, 'Unsubsidized employment in Year 1' and 'Unsubsidized earnings in Year 1' rows.</t>
  </si>
  <si>
    <t>ITT regression-adjusted impact on unsubsidized employment and earnings (from UI wage records), comparing transitional jobs group to job search group</t>
  </si>
  <si>
    <t>Only 1-year follow-up available → assigned to ST. Year 1 is the only follow-up horizon in this report.</t>
  </si>
  <si>
    <t>Employment SE derived from p-value: SE = |−12.9| / Φ^{-1}(1 - 0.016/2) = 12.9/2.41 ≈ 5.4. Earnings SE derived from p-value: SE = |−540| / Φ^{-1}(1 - 0.255/2) = 540/1.14 ≈ 474.2.</t>
  </si>
  <si>
    <t>Table 7.2, p. 119 (gross cost per TJ group member, 2008 dollars)</t>
  </si>
  <si>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</si>
  <si>
    <t>Safer Foundation is a nonprofit/CBO (admin=private).</t>
  </si>
  <si>
    <t>Safer Foundation operated Pivotal Staffing LLC, a temporary staffing agency that employed transitional workers and contracted with Allied Waste (Redcross et al. 2010).</t>
  </si>
  <si>
    <t>Transitional jobs program; no employer engagement in training curricula.</t>
  </si>
  <si>
    <t>Job placement assistance provided (Redcross et al. 2010).</t>
  </si>
  <si>
    <t>No employer role in curriculum design; transitional jobs at recycling plants (Redcross et al. 2010).</t>
  </si>
  <si>
    <t>No employer hiring commitments described (Redcross et al. 2010).</t>
  </si>
  <si>
    <t>mixed: The Transitional Jobs Reentry Demonstration was funded by a combination of DOL and private foundations (Joyce Foundation, others). Genuine mixed funding.</t>
  </si>
  <si>
    <t>private: All four TJRD operators were nonprofits: Safer Foundation (Chicago), Goodwill Industries (Detroit), New Hope Project (Milwaukee), Goodwill/Easter Seals (St. Paul).</t>
  </si>
  <si>
    <t>TJRD Chicago (Safer Foundation): avg ~4 months in transitional jobs. Redcross et al. 2010.</t>
  </si>
  <si>
    <t>Table 4.1: Chicago T=87.3% worked in TJ; C group: 'very few JS group members worked in a transitional job' → ~0%. Redcross et al 2010 p.82.</t>
  </si>
  <si>
    <t>Not reported. Survey data were not collected for TJRD (p.85), so no T-C education/training participation data available.</t>
  </si>
  <si>
    <t>Randomization: pp. 19-20. Sample sizes: Table 2.2 (N=426 for Detroit). Demographics: Table 2.2, p. 26. Cost: Table 7.2, p. 119.</t>
  </si>
  <si>
    <t>ST impacts: Table 5.2, pp. 75-76 — Detroit panel, 'Unsubsidized employment in Year 1' and 'Unsubsidized earnings in Year 1' rows.</t>
  </si>
  <si>
    <t>Employment SE: |5.4|/Φ^{-1}(1-0.284/2) = 5.4/1.07 ≈ 5.0. Earnings SE: |448|/Φ^{-1}(1-0.389/2) = 448/0.86 ≈ 520.7.</t>
  </si>
  <si>
    <t>Goodwill Industries is a nonprofit/CBO (admin=private).</t>
  </si>
  <si>
    <t>No staffing agency; participants worked in Goodwill enterprises directly (Redcross et al. 2010).</t>
  </si>
  <si>
    <t>No employer role in curriculum design; work in Goodwill retail/manufacturing (Redcross et al. 2010).</t>
  </si>
  <si>
    <t>No employer hiring commitments during TJRD study period (Redcross et al. 2010).</t>
  </si>
  <si>
    <t>TJRD Detroit (Goodwill): avg ~4 months in transitional jobs. Redcross et al. 2010.</t>
  </si>
  <si>
    <t>Table 4.1: Detroit T=87.7% worked in TJ; C group ~0%. Redcross et al 2010 p.82.</t>
  </si>
  <si>
    <t>Not reported. Survey data were not collected for TJRD (p.85).</t>
  </si>
  <si>
    <t>Randomization: pp. 19-20. Sample sizes: Table 2.2 (N=507 for Milwaukee). Demographics: Table 2.2, p. 26. Cost: Table 7.2, p. 119.</t>
  </si>
  <si>
    <t>ST impacts: Table 5.2, pp. 75-76 — Milwaukee panel.</t>
  </si>
  <si>
    <t>Employment SE: |−8.3|/Φ^{-1}(1-0.055/2) = 8.3/1.92 ≈ 4.3. Earnings SE: |−98|/Φ^{-1}(1-0.854/2) = 98/0.18 ≈ 533.9.</t>
  </si>
  <si>
    <t>Table 7.2, p. 119</t>
  </si>
  <si>
    <t>New Hope Project is a nonprofit/CBO (admin=private).</t>
  </si>
  <si>
    <t>No staffing agency; scattered-site model, participants employed by New Hope (Redcross et al. 2010).</t>
  </si>
  <si>
    <t>No employer role in curriculum design (Redcross et al. 2010).</t>
  </si>
  <si>
    <t>TJRD Milwaukee (New Hope): avg ~4 months in transitional jobs. Redcross et al. 2010.</t>
  </si>
  <si>
    <t>Table 4.1: Milwaukee T=69.9% worked in TJ; C group ~0%. Redcross et al 2010 p.82.</t>
  </si>
  <si>
    <t>Randomization: pp. 19-20. Sample sizes: Table 2.2 (N=506 for St. Paul). Demographics: Table 2.2, p. 26. Cost: Table 7.2, p. 119.</t>
  </si>
  <si>
    <t>ST impacts: Table 5.2, pp. 75-76 — St. Paul panel. SEs from footnote a: employment SE=4.206, earnings SE=507.815.</t>
  </si>
  <si>
    <t>SE reported in Table 5.2 footnote a: employment SE=4.206, earnings SE=507.815.</t>
  </si>
  <si>
    <t>Goodwill/Easter Seals is a nonprofit/CBO (admin=private).</t>
  </si>
  <si>
    <t>No staffing agency; participants worked in Goodwill/Easter Seals retail facilities (Redcross et al. 2010).</t>
  </si>
  <si>
    <t>TJRD St. Paul (Goodwill/Easter Seals): avg ~4 months in transitional jobs. Redcross et al. 2010.</t>
  </si>
  <si>
    <t>Table 4.1: St. Paul T=97.2% worked in TJ; C group ~0%. Redcross et al 2010 p.82.</t>
  </si>
  <si>
    <t>Secondary: CEO's core service is transitional employment (subsidized work crews). The 5-day life skills class is brief orientation, not vocational training. Job coaching and job development are employment services, not classroom training.</t>
  </si>
  <si>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</si>
  <si>
    <t>Randomization period: p. 13, 'Study enrollment was conducted between January 2004 and October 2005.' Sample sizes: Table 1.1, p. 10 (568 program, 409 control). Demographics: Table 1.1, pp. 9-11. Cost: Table 4.1, p. 60.</t>
  </si>
  <si>
    <t>MT impacts: Table 3.1, pp. 29-30 — 'Postprogram unsubsidized employment outcomes (Years 2-3)' panel: 'Average quarterly unsubsidized employment' row for employment; 'Unsubsidized earnings' row in 'Earnings (Years 2-3)' panel.</t>
  </si>
  <si>
    <t>ITT regression-adjusted impact, weighted by week of random assignment, on postprogram (Years 2-3) unsubsidized employment and earnings (from UI wage records and NDNH)</t>
  </si>
  <si>
    <t>No ST: Year 1 earnings missing; Year 1 employment includes transitional jobs. MT at 3 years: postprogram Years 2-3 unsubsidized outcomes (Table 3.1). 3-year follow-up total, postprogram period is Years 2-3.</t>
  </si>
  <si>
    <t>Employment SE: |1.1|/Φ^{-1}(1-0.618/2) = 1.1/0.50 ≈ 2.2. Earnings SE: |486|/Φ^{-1}(1-0.715/2) = 486/0.37 ≈ 1331.0.</t>
  </si>
  <si>
    <t>Table 4.1, p. 60. Net cost = $4,807 per program group member (2009 dollars). Adjusted from Redcross et al. 2009 ($4,263 with 3% discount + inflation).</t>
  </si>
  <si>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</si>
  <si>
    <t>No staffing agency; CEO operates its own work crews and job development unit (Redcross et al. 2012).</t>
  </si>
  <si>
    <t>No employer engagement in preemployment class curricula.</t>
  </si>
  <si>
    <t>Participants 'worked with job developers to find permanent employment' — explicit dedicated job development (Redcross et al. 2012).</t>
  </si>
  <si>
    <t>No employer role in CEO curriculum; life skills/work readiness designed by CEO staff (Redcross et al. 2012).</t>
  </si>
  <si>
    <t>Job developers cultivate employer accounts and use tax credits/bonding as incentives, but no formal employer hiring commitments (Redcross et al. 2012).</t>
  </si>
  <si>
    <t>public: The Center for Employment Opportunities is primarily funded by government contracts (NYC, DOL, state corrections). Government is the dominant funder of program operations.</t>
  </si>
  <si>
    <t>private: CEO is a nonprofit organization that directly administers its transitional employment program.</t>
  </si>
  <si>
    <t>CEO NYC: avg ~9 weeks (~2 months) of actual transitional work, spread over ~4 months of engagement. Redcross et al. 2012.</t>
  </si>
  <si>
    <t>Table 2.1: T=70.5% worked in CEO TJ; C=2.2% worked in CEO (9 control members). Impact=70.5-2.2=68.3pp. Redcross et al 2012 p.28.</t>
  </si>
  <si>
    <t>Table 2.2: 'Participated in an education/training activity': T=26.5%, C=29.1%, Impact=-2.6 (p=0.515). Redcross et al 2012 p.33.</t>
  </si>
  <si>
    <t>Secondary: TWC's core is transitional jobs (subsidized employment), not classroom. Some classroom components exist (2-week orientation, 10 hrs/week professional development including GED prep and job readiness) but these supplement the work experience.</t>
  </si>
  <si>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</si>
  <si>
    <t>Randomization: p. ES-3, 'Random assignment ran from October 2004 to May 2006.' Sample sizes: Table 1.1, p. 11 (731 TWC, 486 control). Demographics: Table 1.1, pp. 10-12. Cost: p. 52.</t>
  </si>
  <si>
    <t>ST: Appendix Table B.1, pp. 79-81, Q4 row (unsubsidized employment and earnings). MT: Appendix Table B.1, Q8 row. LT: Appendix Table B.1, Q16 row.</t>
  </si>
  <si>
    <t>ITT regression-adjusted OLS impact on unsubsidized employment and earnings (from NDNH quarterly wage data)</t>
  </si>
  <si>
    <t>4-year follow-up with 16 quarterly observations. ST = Q4 (end of Year 1, ~1 year post-RA). MT = Q8 (end of Year 2, ~2 years post-RA). LT = Q16 (end of Year 4, ~4 years post-RA).</t>
  </si>
  <si>
    <t>All SEs derived from p-values. ST emp: |4.2|/Φ^{-1}(1-0.114/2). ST earn: |110|/Φ^{-1}(1-0.241/2). MT emp: |0.2|/Φ^{-1}(1-0.945/2). MT earn: |68|/Φ^{-1}(1-0.553/2). LT emp: |2.6|/Φ^{-1}(1-0.351/2). LT earn: |217|/Φ^{-1}(1-0.114/2).</t>
  </si>
  <si>
    <t>p. 52: 'cost of providing TWC services was about $3,500 per TWC group member'</t>
  </si>
  <si>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</si>
  <si>
    <t>Transitional Work Corporation is a nonprofit/CBO (admin=private).</t>
  </si>
  <si>
    <t>No staffing agency partnerships described (Jacobs &amp; Bloom 2011).</t>
  </si>
  <si>
    <t>No employer engagement in curricula described (Jacobs &amp; Bloom 2011).</t>
  </si>
  <si>
    <t>Job placement assistance after transitional job (Jacobs &amp; Bloom 2011).</t>
  </si>
  <si>
    <t>No employer role in curriculum design (Jacobs &amp; Bloom 2011).</t>
  </si>
  <si>
    <t>No employer hiring commitments described (Jacobs &amp; Bloom 2011).</t>
  </si>
  <si>
    <t>public: Enhanced Services for the Hard-to-Employ was funded by DHHS as a federal demonstration.</t>
  </si>
  <si>
    <t>private: Both TWC (Transitional Work Corporation) and STEP (Success Through Employment Preparation) were nonprofit organizations.</t>
  </si>
  <si>
    <t>TWC: 2-week orientation + up to 6 months transitional job. Bloom et al. 2011.</t>
  </si>
  <si>
    <t>Table ES.1: TWC ever in TJ: T=64.8%, C=23.1%, Impact=41.7***. Jacobs and Bloom 2011 p.ES-7.</t>
  </si>
  <si>
    <t>Table 3.1: Education/training: T=33.9%, C=38.1%, Impact=-4.2. Jacobs and Bloom 2011 p.39.</t>
  </si>
  <si>
    <t>Secondary: STEP focuses on barrier assessment and treatment (counseling, behavioral health) with some classroom components (life skills, GED prep). Not primarily a training/classroom program.</t>
  </si>
  <si>
    <t>has_classroom=1: life skills classes, GED preparation as part of treatment plan. has_ojt=0: no transitional jobs or work experience component. has_jsa=1: job development and placement services. has_multiple_components=1: assessment, counseling, life skills, GED prep, job search.</t>
  </si>
  <si>
    <t>Randomization: p. ES-3. Sample sizes: Table 1.1 (725 STEP, 486 control). Demographics: Table 1.1. Control group shared with TWC (footnote 4, p. 59).</t>
  </si>
  <si>
    <t>ST: Appendix Table B.2, pp. 81-82, Q4 row. MT: Appendix Table B.2, Q8 row. LT: Appendix Table B.2, Q16 row.</t>
  </si>
  <si>
    <t>Same as TWC: ST=Q4 (~1yr), MT=Q8 (~2yr), LT=Q16 (~4yr).</t>
  </si>
  <si>
    <t>All SEs derived from p-values where impact ≠ 0. LT employment: impact=0.0, p=0.988 — SE not derivable (impact is exactly zero).</t>
  </si>
  <si>
    <t>Not reported separately for STEP in this report.</t>
  </si>
  <si>
    <t>STEP was designed specifically for this study — not a pre-existing program. Low participation may have attenuated impacts. Same control group as TWC; TWC and STEP treated as separate experiments. Nearly 100% female.</t>
  </si>
  <si>
    <t>JEVS Human Services is a CBO (admin=private).</t>
  </si>
  <si>
    <t>Job development/placement described (Jacobs &amp; Bloom 2011).</t>
  </si>
  <si>
    <t>STEP: duration not clearly reported. Bloom et al. 2011.</t>
  </si>
  <si>
    <t>Text p.ES-4: ~77% enrolled in STEP. C group could not access STEP → C≈0%. Jacobs and Bloom 2011.</t>
  </si>
  <si>
    <t>Table 6.2: Education/training: T=41.1%, C=38.1%, Impact=3.0. Jacobs and Bloom 2011 p.98.</t>
  </si>
  <si>
    <t>Primary: the core intervention is transitional employment with on-the-job training and job placement as the central service.</t>
  </si>
  <si>
    <t>has_ojt=1: structured on-the-job training in community positions. has_jsa=1: job search, placement, and follow-along support. has_classroom=0: no formal classroom instruction described. has_multiple_components=1: combines OJT, placement, subsidized employment.</t>
  </si>
  <si>
    <t>Table 1 (p.73): demographics, N=745 (375 T, 370 C). Randomization period 1985-1987 from Table 3 title.</t>
  </si>
  <si>
    <t>ST (Year 1): Table 2 row 'Year 1' (earn $678 SE=96 ctrl=$615), Table 3 row 'Year 1' (emp 14.6pp SE=4.5 ctrl=39.6%). MT (Year 2): Table 2 row 'Year 2' (earn $835 SE=137 ctrl=$921), Table 3 row 'Year 2' (emp 12.2pp SE=4.3 ctrl=44.8%). LT: Table 2 row 'Year 6' (earn $637 SE=182 ctrl=$1131), Table 3 row 'Year 3' (emp 8.1pp SE=4.3 ctrl=48.6%).</t>
  </si>
  <si>
    <t>ITT: OLS regression for earnings, logistic regression for employment, controlling for project and individual preenrollment characteristics.</t>
  </si>
  <si>
    <t>ST=Year 1 (1yr post-enrollment), MT=Year 2 (2yr), LT=Year 6 earnings / Year 3 employment. Year 3 employment used for LT because SE available; Year 6 employment (~10pp) also significant but SE not captured from scanned OCR.</t>
  </si>
  <si>
    <t>SE reported directly in Tables 2 and 3. Stars converted to standard two-tailed convention: paper uses one-tailed tests (**=1% one-tailed ≈ 2% two-tailed). Actual t-stats from reported SEs are large enough for *** in standard convention.</t>
  </si>
  <si>
    <t>Not extracted; paper does not report per-participant cost.</t>
  </si>
  <si>
    <t>Paper significance convention differs from standard: *=5% one-tailed, **=1% one-tailed. All impacts far exceed standard two-tailed thresholds. LT employment uses Year 3 data (SE available) rather than Year 6 (SE unavailable from OCR). Sample: 88% retained at 6-year follow-up due to SSI exits.</t>
  </si>
  <si>
    <t>Operated by nonprofit agencies (admin=private).</t>
  </si>
  <si>
    <t>No staffing agency partnerships described (Decker &amp; Thornton 1995).</t>
  </si>
  <si>
    <t>Transitional employment for mentally ill; no employer engagement in training curricula (Decker &amp; Thornton 1995).</t>
  </si>
  <si>
    <t>Phase 2 provided follow-along support and competitive job placement (Decker &amp; Thornton 1995).</t>
  </si>
  <si>
    <t>No employer role in curriculum design (Decker &amp; Thornton 1995).</t>
  </si>
  <si>
    <t>No employer hiring commitments described (Decker &amp; Thornton 1995).</t>
  </si>
  <si>
    <t>public: Transitional Employment Training Demonstration was funded by DOL.</t>
  </si>
  <si>
    <t>private: The program was operated by 8 local community-based agencies (nonprofits) that provided transitional employment to ex-offenders.</t>
  </si>
  <si>
    <t>TETD: transitional employment services provided for up to 1 year (12 months) after enrollment. Decker &amp; Thornton 1995.</t>
  </si>
  <si>
    <t>Decker &amp; Thornton 1995, p.73: 'demonstration agencies placed two-thirds of the treatment group members in jobs during the demonstration.' C excluded from demo services, so C=0%.</t>
  </si>
  <si>
    <t>Not reported. Paper reports only earnings and SSI impacts; no data on education/training receipt for T or C groups.</t>
  </si>
  <si>
    <t>Primary: core services include GED preparation, skills training, and college coursework with employment as the central goal.</t>
  </si>
  <si>
    <t>has_classroom=1: GED prep, skills training, college. has_ojt=0: no structured on-the-job training described. has_jsa=1: job placement assistance. has_multiple_components=1: bundles education, training, job placement, parenting, family planning, child care.</t>
  </si>
  <si>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</si>
  <si>
    <t>LT: Table ES-7 row 'Employed at month 42' (emp -3.1pp, ctrl 30.9%), row 'Months 31-42 total earnings' (earn -$33, ctrl $3,045).</t>
  </si>
  <si>
    <t>ITT regression-adjusted difference between experimental and control group means.</t>
  </si>
  <si>
    <t>LT=3.5 years (42 months). Only LT extracted because earlier periods (months 1-18) show contamination from program participation period. Months 31-42 = year 2.5-3.5 post-RA, classified as long-term.</t>
  </si>
  <si>
    <t>SEs not reported. Neither employment nor earnings impacts at months 31-42 are statistically significant.</t>
  </si>
  <si>
    <t>Not extracted.</t>
  </si>
  <si>
    <t>Null results: program produced no significant positive employment or earnings impacts at 42-month follow-up. During months 1-6, control group had significantly higher employment (as expected during program participation). 2:1 T:C ratio limits precision.</t>
  </si>
  <si>
    <t>Operated by CBOs at 16 sites (admin=private).</t>
  </si>
  <si>
    <t>No staffing agency partnerships described (Quint, Bos &amp; Polit 1997).</t>
  </si>
  <si>
    <t>No employer engagement in curricula described (Quint, Bos &amp; Polit 1997).</t>
  </si>
  <si>
    <t>Job placement assistance provided (Quint et al. 1997).</t>
  </si>
  <si>
    <t>No employer role in curriculum design (Quint, Bos &amp; Polit 1997).</t>
  </si>
  <si>
    <t>No employer hiring commitments described (Quint, Bos &amp; Polit 1997).</t>
  </si>
  <si>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</si>
  <si>
    <t>private: New Chance was operated at 16 community-based sites by nonprofit organizations.</t>
  </si>
  <si>
    <t>New Chance: designed for up to 18 months; avg active participation 6.4 months. Quint et al. 1997, p. ES-7.</t>
  </si>
  <si>
    <t>Table ES-3: ~89% of experimental group participated in some New Chance activity. C could not access New Chance → C≈0%. Quint, Bos, and Polit 1997.</t>
  </si>
  <si>
    <t>Table ES-3: Any education, skills training, or job club: T=94.5%, C=85.9%, Impact=8.6***. Quint, Bos, and Polit 1997.</t>
  </si>
  <si>
    <t>Secondary: PRIDE is primarily a welfare-to-work/employment retention program. Training (VR/WBE tracks) is one component but mandatory participation and case management are the core.</t>
  </si>
  <si>
    <t>has_classroom=1: WBE track includes education component. has_ojt=1: work experience placements, VR track. has_jsa=1: job search activities, case management. has_multiple_components=1: multiple tracks, sanctions, case management.</t>
  </si>
  <si>
    <t>Table 1 (p.7): demographics (age 39, 49.5% Hispanic, 36.6% Black, 10.5% White, N=2,648). Table 6 (p.38): N=1,553 T + 1,095 C.</t>
  </si>
  <si>
    <t>ST (Year 1): Table 6 'Year 1' rows: ever employed 4.3pp (p=0.004, ctrl 18.7%), earnings $163 (NA). MT (Year 2): Table 6 'Year 2' rows: ever employed 5.1pp (p=0.002, ctrl 22.0%), earnings $391 (NA).</t>
  </si>
  <si>
    <t>ITT regression-adjusted impact, controlling for race/ethnicity, children, age of children, service provider, intake period, prior food stamp receipt, prior employment, prior TANF receipt.</t>
  </si>
  <si>
    <t>ST=Year 1, MT=Year 2. No LT data (only 2-year follow-up in this report).</t>
  </si>
  <si>
    <t>Employment SE derived from exact p-values: Year 1 SE = |4.3| / z(1 - 0.004/2) = 4.3/2.88 = 1.49. Year 2 SE = |5.1| / z(1 - 0.002/2) = 5.1/3.09 = 1.65. Earnings SE: not available (significance not tested).</t>
  </si>
  <si>
    <t>Earnings SEs unavailable: NY State provided only group-average earnings (16 groups), too few for significance test. Employment uses 'ever employed' (cumulative measure) rather than point-in-time rate. PRIDE targets hard-to-employ population with health barriers; very low employment rates.</t>
  </si>
  <si>
    <t>NYC PRIDE: public welfare-to-work program for TANF recipients (admin=public). Vocational rehabilitation and work-based education tracks. No CBO lead.</t>
  </si>
  <si>
    <t>public: ERA demonstration funded by DHHS/TANF.</t>
  </si>
  <si>
    <t>public: NYC PRIDE was administered by the NYC Human Resources Administration, a public agency.</t>
  </si>
  <si>
    <t>ERA NYC PRIDE: welfare-to-work case management. Hendra et al. 2010. Duration ambiguous.</t>
  </si>
  <si>
    <t>Table 4: Unpaid work/subsidized employment: T=33.0%, C=13.7%, Impact=19.3***. Bloom, Miller, and Azurdia 2007.</t>
  </si>
  <si>
    <t>Table 4: Education/training: T=31.4%, C=26.3%, Impact=5.1 (p=0.128). Bloom, Miller, and Azurdia 2007.</t>
  </si>
  <si>
    <t>Primary: core intervention is transitional employment with on-the-job training, sheltered workshop placements, and competitive job placement.</t>
  </si>
  <si>
    <t>has_ojt=1: structured on-the-job training in sheltered workshops and community placements. has_jsa=1: job search and placement services, follow-along support. has_classroom=0: no formal classroom instruction. has_multiple_components=1: combines subsidized employment, OJT, placement.</t>
  </si>
  <si>
    <t>Table III.1 (p.40): demographics (N=437, 226 exp/211 ctrl, age 20, 57.4% male, 51.5% white, 32.5% black, 13.7% Hispanic). Cost from p.178: $9,400 per participant.</t>
  </si>
  <si>
    <t>ST (Month 15): Table IX.1 regular job row (emp 9.4** ctrl 16.8%; earn $10.59** ctrl $16.31). MT (Month 22): Table IX.1 regular job row (emp 11.9** ctrl 19.1%; earn $15.81** ctrl $20.55).</t>
  </si>
  <si>
    <t>ITT from OLS regression with demographic controls. Binary outcomes also estimated by probit/tobit with virtually identical results (Table IV.4 note).</t>
  </si>
  <si>
    <t>ST=Month 15 (1.25yr, post-program). MT=Month 22 (1.83yr, post-program). Month 6 excluded because most experimentals still in training jobs (in-program contamination). No LT: longest follow-up is 22 months.</t>
  </si>
  <si>
    <t>SEs not reported directly. Derived as upper bounds from ** significance (p=0.05 two-tailed): SE = |impact|/1.96. Actual SEs may be smaller if impacts are more significant.</t>
  </si>
  <si>
    <t>Chapter VIII (p.178): $9,400 per participant average cost, of which $3,100 is wages. 1982 dollars.</t>
  </si>
  <si>
    <t>Uses regular job outcomes only (not training jobs or sheltered workshop jobs) since STETS is a transitional employment program and the protocol requires unsubsidized outcomes. SEs are upper bounds, not exact. Earnings reported as weekly averages.</t>
  </si>
  <si>
    <t>No staffing agency partnerships described (Kerachsky et al. 1985).</t>
  </si>
  <si>
    <t>Transitional employment for mentally ill; no employer engagement in curricula (Kerachsky et al. 1985).</t>
  </si>
  <si>
    <t>Supported/competitive employment with follow-along support (Kerachsky et al. 1985).</t>
  </si>
  <si>
    <t>No employer role in curriculum design (Kerachsky et al. 1985).</t>
  </si>
  <si>
    <t>No employer hiring commitments described (Kerachsky et al. 1985).</t>
  </si>
  <si>
    <t>public: Structured Training and Employment Transitional Services was a federal DOL demonstration program for persons with intellectual disabilities.</t>
  </si>
  <si>
    <t>private: STETS was operated by nonprofit agencies in 5 cities, coordinated by MDRC.</t>
  </si>
  <si>
    <t>STETS: transitional employment services for up to 18 months (similar model to TETD). Kerachsky et al. 1985. Used 12 months as approximate avg.</t>
  </si>
  <si>
    <t>Table III.2 (p.43): 92% of experimentals participated in Phase 1 supported work. Control group had no access to STETS program, so C=0%.</t>
  </si>
  <si>
    <t>Table V.4 (p.97): Month 6 (in-program) 'Percent in any training': T=61.7%, C=40.6%, Impact=21.1pp**. Used Month 6 as it captures in-program training receipt. Month 15/22 show negative impacts as program ended.</t>
  </si>
  <si>
    <t>Primary: core services are education (GED prep, schooling) and job training, with employment as central goal.</t>
  </si>
  <si>
    <t>has_classroom=1: GED prep, schooling, training workshops. has_ojt=0: no structured OJT. has_jsa=1: case management, job referrals. has_multiple_components=1: education + training + parenting + child care.</t>
  </si>
  <si>
    <t>Table III.5 (p.63): Camden N~618 T + 570 C. Exec summary (pp.15-20): randomization mid-1987 to mid-1991. Demographics: all female teenage mothers.</t>
  </si>
  <si>
    <t>LT (5yr): Table III.5 Camden rows: avg pct period employed 22.3 vs 21.0, impact 1.3 n.s.; total earnings $6,666 vs $6,341, impact $325 n.s.</t>
  </si>
  <si>
    <t>ITT: regression-adjusted difference between enhanced- and regular-services groups, controlling for baseline characteristics.</t>
  </si>
  <si>
    <t>LT=5 years (admin records data covering entire 5-year post-intake period). No ST/MT available separately from admin records. Survey data at 6-7 years also available but without SEs.</t>
  </si>
  <si>
    <t>SEs not reported. Neither impact is statistically significant.</t>
  </si>
  <si>
    <t>Control group (regular-services) also received standard welfare services; this is not a no-services control. Impacts faded over time as control group caught up. N are midpoints of ranges given in Table III.5 (sample varies slightly by outcome). Earnings in nominal dollars.</t>
  </si>
  <si>
    <t>Teenage Parent Demonstration: public mandatory welfare demonstration (admin=public). Case managers developed individualized plans. No CBO lead, no employer engagement in curriculum.</t>
  </si>
  <si>
    <t>public: Teenage Parent Demonstration was funded by DHHS as a federal demonstration under AFDC.</t>
  </si>
  <si>
    <t>public: State welfare agencies administered the programs in New Jersey and Illinois, with contracted service providers operating under public agency oversight.</t>
  </si>
  <si>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</si>
  <si>
    <t>Kisker et al 1998, p.13: 92% of enhanced-services group participated in subsequent program activity (pooled across sites; site-specific not reported). C received regular AFDC services only, so C=0%.</t>
  </si>
  <si>
    <t>Not reported by site for short-term period. Kisker 1998 is the 5-8yr follow-up; short-term site-specific education/training impacts are in Maynard et al 1993 (not available). Long-term Table III.4 (p.59): Camden training ever C=18.4%, Impact=-2.6 (n.s.).</t>
  </si>
  <si>
    <t>Primary: core services are education (GED prep, schooling) and job training.</t>
  </si>
  <si>
    <t>Same as Camden: has_classroom=1, has_ojt=0, has_jsa=1, has_multiple=1.</t>
  </si>
  <si>
    <t>Table III.5 (p.63): Newark N~570 T + 609 C.</t>
  </si>
  <si>
    <t>LT (5yr): Table III.5 Newark rows: avg pct period employed 23.4 vs 22.0, impact 1.5 n.s. (note: I read 1.5 from table context); total earnings $7,764 vs $7,691, impact $73 n.s.</t>
  </si>
  <si>
    <t>ITT: regression-adjusted difference.</t>
  </si>
  <si>
    <t>LT=5 years (admin records). No ST/MT separately available.</t>
  </si>
  <si>
    <t>SEs not reported. Neither impact statistically significant.</t>
  </si>
  <si>
    <t>At 6-7yr survey follow-up (Table III.6), Newark showed significant NEGATIVE employment impact (-8.4**pp), suggesting possible adverse long-term effects at this site. Control group (regular-services) is not a no-services control.</t>
  </si>
  <si>
    <t>TPD Newark: same program structure as Camden.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</si>
  <si>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Newark training ever C=17.1%, Impact=-1.0 (n.s.).</t>
  </si>
  <si>
    <t>Primary: core services are education and job training.</t>
  </si>
  <si>
    <t>Table III.5 (p.63): Chicago N~1,434 T + 1,449 C.</t>
  </si>
  <si>
    <t>LT (5yr): Table III.5 Chicago rows: avg pct period employed 28.4 vs 26.2, impact 2.2**; total earnings $9,391 vs $8,692, impact $699 n.s.</t>
  </si>
  <si>
    <t>LT=5 years (admin records).</t>
  </si>
  <si>
    <t>Employment SE derived from ** (p=0.05): SE = 2.2/1.96 = 1.12 (upper bound). Earnings SE not reported (not significant).</t>
  </si>
  <si>
    <t>Largest TPD site. Employment impact significant but small. Control group received standard welfare services. Chicago later enrollees were subsampled for survey follow-up.</t>
  </si>
  <si>
    <t>TPD Chicago: same program structure. No average months of participation per participant reported. Kisker et al. 1998, pp.13-15.</t>
  </si>
  <si>
    <t>Not reported by site for short-term period. Kisker 1998 is the 5-8yr follow-up; short-term site-specific education/training impacts are in Maynard et al 1993 (not available). Long-term Table III.4 (p.59): Chicago training ever C=18.3%, Impact=1.3 (n.s.).</t>
  </si>
  <si>
    <t>Training role classified as incidental. WRP was primarily a work requirements and financial incentives program; job search assistance was a component, but classroom training or OJT were not systematic program components.</t>
  </si>
  <si>
    <t>Welfare-to-work program with work requirements, financial incentives, and community service employment. Training per se was not the primary intervention.</t>
  </si>
  <si>
    <t>Table 3 (demographics), Tables 5-6 (impacts). Report p.18: random assignment across 12 welfare districts, 6 research districts.</t>
  </si>
  <si>
    <t>Table 6: Impacts over time — Years 1-2, 3-4, 5-6 period-specific impacts on average quarterly employment and average annual earnings.</t>
  </si>
  <si>
    <t>ITT regression-adjusted impact</t>
  </si>
  <si>
    <t>ST=Years 1-2 (before work requirement), MT=Years 3-4 (work requirement onset, peak impacts), LT=Years 5-6 (long-term follow-up). 6-year data from UI records.</t>
  </si>
  <si>
    <t>SEs not reported. Derived as upper bounds from significance stars: ***→p=0.01, **→p=0.05. ST earnings not significant, SE not derivable.</t>
  </si>
  <si>
    <t>Not extracted — cost data in report Chapter 14 but not in standard per-participant format.</t>
  </si>
  <si>
    <t>Vermont was nearly all white in the 1990s; race data not reported in paper. Training role is incidental — primary intervention is work requirements and financial incentives.</t>
  </si>
  <si>
    <t>Vermont WRP: public welfare program (admin=public). Work requirements and job search assistance. No CBO, no employer engagement.</t>
  </si>
  <si>
    <t>public: Vermont Welfare Restructuring Project was a state welfare reform initiative funded by state and federal welfare appropriations plus a federal waiver.</t>
  </si>
  <si>
    <t>public: Administered by the Vermont Department of Social Welfare.</t>
  </si>
  <si>
    <t>Vermont WRP: welfare restructuring with case management. Duration unclear. Scrivener &amp; Walter 2001.</t>
  </si>
  <si>
    <t>Table 4: Any activity: WRP=38.4%, ANFC=34.4%, Impact=4.1**. Program is welfare reform with work requirements, not primarily training. Scrivener et al 2002.</t>
  </si>
  <si>
    <t>Table 4: Education and training: WRP=30.2%, ANFC=26.2%, Impact=4.0***. Scrivener et al 2002.</t>
  </si>
  <si>
    <t>Training role classified as incidental. New Hope was primarily an earnings supplement and work supports program (health insurance, child care, community service jobs). No classroom training or OJT was a program component.</t>
  </si>
  <si>
    <t>Anti-poverty demonstration with earnings supplements and work supports, not a training program per se. Community service jobs provided work experience but not training.</t>
  </si>
  <si>
    <t>Table 2.1 (demographics), Table 3.1 (impacts). Report p.21: random assignment of 1,357 adults, CFS sample of 745 with children ages 1-10. mean_years_schooling: 'Highest grade completed in school (average)' = 10.8 from Bos et al. 1999, baseline characteristics table.</t>
  </si>
  <si>
    <t>Table 3.1: Ever employed (%) and average annual earnings by year, Years 1-5.</t>
  </si>
  <si>
    <t>ST=Year 1, MT=Year 2, LT=Year 5. Program operated for 3 years (1994-1997). Year 5 is well post-program. Large ST effects faded substantially by MT and were statistically insignificant by LT.</t>
  </si>
  <si>
    <t>SEs derived from exact two-sided p-values reported in Table 3.1. SE = |impact| / Φ^{-1}(1 - p/2). All p-values available for all outcomes.</t>
  </si>
  <si>
    <t>Not extracted from this report.</t>
  </si>
  <si>
    <t>CFS subsample (N=745) is smaller than full sample (N=1,357). Training role is incidental — program is primarily earnings supplements and work supports.</t>
  </si>
  <si>
    <t>New Hope operated by CBO in Milwaukee (admin=private).</t>
  </si>
  <si>
    <t>No staffing agency partnerships described (Bos et al. 1999; Huston et al. 2003).</t>
  </si>
  <si>
    <t>Earnings supplement/wage subsidy program; no employer engagement in curricula (Bos et al. 1999).</t>
  </si>
  <si>
    <t>Community service jobs provided but no dedicated job development staff.</t>
  </si>
  <si>
    <t>No employer role in curriculum design; primarily a financial incentive program (Bos et al. 1999).</t>
  </si>
  <si>
    <t>No employer hiring commitments; earnings supplement model (Bos et al. 1999).</t>
  </si>
  <si>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</si>
  <si>
    <t>private: The New Hope Project was a nonprofit organization created specifically to run this demonstration in two Milwaukee neighborhoods.</t>
  </si>
  <si>
    <t>New Hope offered 3-year eligibility for benefits (earnings supplement, health insurance, child care, CSJs) but actual average duration of benefit receipt not reported. Bos et al. 1999. Duration missing.</t>
  </si>
  <si>
    <t>Table 3.4 (p.85): 79.2% of program group ever used any New Hope financial benefit (earnings supplement, health insurance, child care, or CSJ). C had no access to NH benefits, so C=0%.</t>
  </si>
  <si>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</si>
  <si>
    <t>Training role classified as secondary. Primary intervention was job search assistance for job-ready clients (~82%). Education and training were reserved for 'not job-ready' clients (~10%). Thus training was a secondary component for a minority of participants.</t>
  </si>
  <si>
    <t>JOBS welfare-to-work program with mandatory participation. Mixed strategy: job search first for job-ready; education/training for not job-ready.</t>
  </si>
  <si>
    <t>Table 2.2 (demographics p.31), Table 2.1 (data sources p.21). Report p.29: N=18,237 (13,513 program, 4,724 control) across 9 Florida counties.</t>
  </si>
  <si>
    <t>Table 3 (ES-16): Two-year impacts on employment, earnings, AFDC, food stamps. Table 4 (ES-19): Impacts by early/late cohort and age of youngest child.</t>
  </si>
  <si>
    <t>ST=Year 1, MT=Year 2. Only 2-year follow-up available. No LT data. ES-22 notes five-year cost analysis but no five-year impacts on employment/earnings.</t>
  </si>
  <si>
    <t>SEs not reported directly. Derived as upper bounds from significance stars: ST emp *** → SE=2.8/2.576=1.1; ST earn ** → SE=146/1.96=74.5; MT emp *** → SE=2.1/2.576=0.8. MT earnings not significant, no SE.</t>
  </si>
  <si>
    <t>ES-22: '$1,304 per program group member' (1993 dollars, total Project Independence cost over 5-year time horizon including projected costs).</t>
  </si>
  <si>
    <t>Gender not reported in demographics table. Randomization ratio changed during study (3:1 initially, then 2:1 for recipients). Very large sample (N=18,237). Earnings effects small and declining; not significant in Year 2.</t>
  </si>
  <si>
    <t>Florida Project Independence: state JOBS program (admin=public). Job search and education referrals. No CBO, no employer engagement in curriculum.</t>
  </si>
  <si>
    <t>public: Florida Project Independence was a state welfare-to-work program funded by state and federal welfare appropriations.</t>
  </si>
  <si>
    <t>public: Administered by the Florida Department of Health and Rehabilitative Services through county-level offices.</t>
  </si>
  <si>
    <t>FL Project Independence: Table 3.6 full subsample bottom panel shows program group averaged 4.3 months of participation in employment-related activities within 2 years of random assignment (ITT average including zeros). Kemple, Friedlander, and Fellerath 1995, Table 3.6, p.60.</t>
  </si>
  <si>
    <t>Table 1 (ES-12): Any employment-related activity: T=63.9%, C=40.1%, Impact=23.8pp. ~20% of controls exposed to some PI services. Program_uptake_impact = 23.8pp; program_uptake_control_mean = 40.1%.</t>
  </si>
  <si>
    <t>Table 1 (ES-12): Education or training (incl. ABE, GED, ESL, vocational, post-secondary, OJT): T=41.5%, C=30.5%, Impact=11.0pp (=11.1 with rounding). any_training_control_mean = 30.5%.</t>
  </si>
  <si>
    <t>Training role classified as incidental. WASC offered career coaching and referrals to education/training but did not directly provide training. The program did increase participation in education/training in Dayton.</t>
  </si>
  <si>
    <t>Advancement program for currently employed low-wage workers. Provides career coaching, work supports access, and education/training referrals.</t>
  </si>
  <si>
    <t>Table 2.1 (sample sizes), Table 2.2 (demographics). N=1,184 (595 WASC, 589 control) in Dayton.</t>
  </si>
  <si>
    <t>Table 5.3: Year 1 and Quarter 5 impacts on UI-covered employment and earnings.</t>
  </si>
  <si>
    <t>ST=Year 1 only. Only 1-year follow-up available in this report.</t>
  </si>
  <si>
    <t>SEs derived from exact two-sided p-values in Table 5.3.</t>
  </si>
  <si>
    <t>Only 1-year follow-up. Sample was employed at enrollment, so baseline employment rates are very high (~85-95%). Training role is incidental.</t>
  </si>
  <si>
    <t>WASC: public career coaching and referral program (admin=public). Education/training referrals and work support access. No CBO lead, no employer engagement in curriculum, no dedicated job development.</t>
  </si>
  <si>
    <t>public: Work Advancement and Support Center was funded by DHHS as a federal demonstration.</t>
  </si>
  <si>
    <t>public: WASC sites operated through existing public workforce One-Stop Career Centers.</t>
  </si>
  <si>
    <t>WASC Dayton: career coaching and work support services available for ~2 years, but no average actual participation duration reported. Miller et al. 2012. Duration missing.</t>
  </si>
  <si>
    <t>Table 4.4: Any advancement activity: WASC=88.5%, C=76.2%, Impact=12.3***. WASC is career advancement coaching, not primarily training. Miller, Tessler, Van Dok 2009.</t>
  </si>
  <si>
    <t>Table 4.4: Education/training: WASC=76.6%, C=53.7%, Impact=22.9***. Miller, Tessler, Van Dok 2009.</t>
  </si>
  <si>
    <t>Training role classified as incidental. Same as Dayton — career coaching and referrals, not direct training provision.</t>
  </si>
  <si>
    <t>Advancement program for currently employed low-wage workers.</t>
  </si>
  <si>
    <t>Table 2.1, Table 2.2. N=793 (397 WASC, 396 control) in San Diego.</t>
  </si>
  <si>
    <t>ST=Year 1 only. Only 1-year follow-up available.</t>
  </si>
  <si>
    <t>Only 1-year follow-up. WASC reduced 4-quarter employment by 6.5** (p=0.036) in San Diego; overall quarterly rate and earnings impacts not significant. Training role is incidental. Predominantly Hispanic sample (69.7%).</t>
  </si>
  <si>
    <t>WASC San Diego: career coaching services available for ~2 years, but no average actual participation duration reported. Miller et al. 2012. Duration missing.</t>
  </si>
  <si>
    <t>Table 4.4: Any advancement activity: WASC=71.1%, C=65.3%, Impact=5.9 (p=0.193). Miller, Tessler, Van Dok 2009.</t>
  </si>
  <si>
    <t>Table 4.4: Education/training: WASC=44.6%, C=44.3%, Impact=0.3 (not sig). Miller, Tessler, Van Dok 2009.</t>
  </si>
  <si>
    <t>Training is the primary component. YouthBuild provides hands-on construction vocational training combined with GED/diploma classroom instruction. Participants spend roughly half their time in classroom education and half in construction training.</t>
  </si>
  <si>
    <t>Youth training program combining vocational training with education. DOL-funded, operated by nonprofit YouthBuild programs across 75 sites.</t>
  </si>
  <si>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</si>
  <si>
    <t>Table 3.2 (NDNH panel). Employment: Year 1=-2.4 (p=0.120), Year 2=+3.2** (p=0.049), Year 3=+2.1 (p=0.185), Year 4=-1.7 (p=0.278). Earnings: Year 1=-$314** (p=0.016), Year 2=-$201 (p=0.293), Year 3=+$111 (p=0.652), Year 4=+$251 (p=0.407). Control means — Emp: Y1=51.3%, Y2=59.7%, Y3=66.3%, Y4=73.3%. Earn: Y1=$2,408, Y2=$3,937, Y3=$5,331, Y4=$6,729.</t>
  </si>
  <si>
    <t>ITT regression-adjusted impact with site fixed effects</t>
  </si>
  <si>
    <t>ST=Year 1 (lock-in period, participants in training). MT=Year 2 (first full post-program year). LT=Year 4 for earnings; average of Years 3-4 for employment (to smooth year-to-year volatility: Y3=+2.1, Y4=-1.7, avg=+0.2).</t>
  </si>
  <si>
    <t>Earnings SEs derived from p-values in Table 3.2: SE = |impact| / Φ^{-1}(1-p/2). ST: SE=|314|/2.405=130.6; MT: SE=|201|/1.053=190.9; LT: SE=|251|/0.830=302.4. Employment SEs: ST: SE=|2.4|/1.555=1.5; MT: SE=|3.2|/1.969=1.6. LT employment: averaged from Years 3-4, no SE computed.</t>
  </si>
  <si>
    <t>Not extracted. Report mentions DOL and matching funds but no per-participant cost figure.</t>
  </si>
  <si>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</si>
  <si>
    <t>Peck et al. 2021 dataset (YouthBuild-Combined): coded as 0</t>
  </si>
  <si>
    <t>Peck et al. 2021 dataset (YouthBuild-Combined): coded as 1</t>
  </si>
  <si>
    <t>public: YouthBuild programs are funded by federal DOL YouthBuild grants. The national program is a DOL initiative.</t>
  </si>
  <si>
    <t>private: Individual YouthBuild programs are operated by local nonprofit organizations.</t>
  </si>
  <si>
    <t>YouthBuild: 6-12 months participation. Using midpoint 9 months. Miller et al. 2018.</t>
  </si>
  <si>
    <t>Appendix Table C.1: 82.1% of program group ever participated in YouthBuild. Admin data show &lt;1% of controls enrolled in participating YB programs. C≈0%.</t>
  </si>
  <si>
    <t>Appendix Table C.1: Education-related services ever participated: T=84.0%, C=75.4%, Impact=8.7pp***. Job/training-related services: T=82.0%, C=64.3%, Impact=17.7pp***. Used education-related as broader 'any training' measure.</t>
  </si>
  <si>
    <t>Secondary: primary function is child support case management and order modification; employment services including training are one component among several.</t>
  </si>
  <si>
    <t>RCT across 8 U.S. states. Extra services group vs regular services (control). Randomization at individual level within each grantee site.</t>
  </si>
  <si>
    <t>Report pp. 7-10 (design), Table 2 (demographics), N from Tables 15-17</t>
  </si>
  <si>
    <t>Table 17 (earnings), Table 16 (quarterly employment admin data)</t>
  </si>
  <si>
    <t>ITT regression-adjusted impact, weighted average across 8 grantees</t>
  </si>
  <si>
    <t>ST=Year 1 post-RA (~1 year). MT=Year 2 post-RA (~2 years). No LT data.</t>
  </si>
  <si>
    <t>Earnings SE derived from p=.085 for Year 1. Year 2 SE not derivable (ns, no p-value).</t>
  </si>
  <si>
    <t>Not extracted</t>
  </si>
  <si>
    <t>Employment data uses quarterly admin rates; Q4 of Year 1 used as ST emp impact. Year 1 earnings impact not robust to multiple comparison correction.</t>
  </si>
  <si>
    <t>CSPED: public employment services for noncustodial parents (admin=public). Case management and employment services. No CBO lead, no employer engagement in curriculum.</t>
  </si>
  <si>
    <t>public: Child Support Noncustodial Parent Employment Demonstration was funded by DHHS/OCSE as a federal demonstration.</t>
  </si>
  <si>
    <t>public: Administered through state child support enforcement agencies in 8 states.</t>
  </si>
  <si>
    <t>CSPED: child support noncustodial parent employment case management. Duration ambiguous. Cancian et al. 2019.</t>
  </si>
  <si>
    <t>Table 4: 'Whether someone from employment program put NCP in touch with job opening': T=27.09%, C=15.20%, Impact=11.89pp***. This is the best binary measure of program participation. Overall T received 37 hrs services vs C 15 hrs (ES p.x).</t>
  </si>
  <si>
    <t>Table 6: GED class: T=6.19%, C=3.83%, Impact=2.36pp*. Training program hours: T=6.55, C=5.55, n.s. CSPED had very low training intensity; few received training or subsidized employment. Used GED as closest binary training measure.</t>
  </si>
  <si>
    <t>Primary: Year Up PTC is an intensive year-long occupational training program combining classroom instruction with college enrollment and corporate internships.</t>
  </si>
  <si>
    <t>RCT across 3 PTC sites. Lottery-based random assignment of eligible applicants to treatment or control.</t>
  </si>
  <si>
    <t>Report pp. 1-4 (design), Table 1 footnote (N=389 T, 163 C)</t>
  </si>
  <si>
    <t>Table 1 (annual earnings Years 1-3), Table 3 (quarterly earnings/employment)</t>
  </si>
  <si>
    <t>Year 1 = lock-in year (during intensive program). ST = Year 2 (1st post-program year, ~2 years post-RA). MT = Year 3 (~3 years post-RA).</t>
  </si>
  <si>
    <t>SE reported directly in Table 1 (819.6, 1453, 1771).</t>
  </si>
  <si>
    <t>PTC is a scaled-down version of Year Up's core program delivered at community colleges. Results differ dramatically from core program evaluation. Employment impacts not reported as clean annual rates; quarterly data in Table 3 shows mostly null post-program.</t>
  </si>
  <si>
    <t>Peck et al. 2021 dataset (Year Up-Combined): coded as 1</t>
  </si>
  <si>
    <t>Peck et al. 2021 dataset (Year Up-Combined): coded as 0</t>
  </si>
  <si>
    <t>mixed: Year Up generates operating revenue from employer internship fees (~50% of revenue), private philanthropy, and government grants (DOL, workforce development). No single source dominates. Changed from 'private' to 'mixed' upon review.</t>
  </si>
  <si>
    <t>private: Year Up is a national nonprofit that directly operates its Professional Training Corps (PTC) programs at 15 sites.</t>
  </si>
  <si>
    <t>Year Up PTC: similar to core Year Up model, approximately 12 months. Fein &amp; Maynard 2022.</t>
  </si>
  <si>
    <t>Fein &amp; Maynard 2022, p.4: 76% of treatment group enrolled in PTC (24% did not enroll). C excluded from participation, so C=0%.</t>
  </si>
  <si>
    <t>Not separately reported. PTC enrolls all participants in college during the program, so program_uptake ≈ any_training. College enrollment was higher for T in Year 1 by design (2.2 months more). No separate binary training receipt measure for T and C.</t>
  </si>
  <si>
    <t>Secondary: E&amp;T program with multiple components; classroom training is available but many participants assigned to job search or work experience instead.</t>
  </si>
  <si>
    <t>RCT, nationally representative sample from 53 local FS offices in 7 states. Random assignment at individual level at time of initial food stamp certification.</t>
  </si>
  <si>
    <t>Paper pp. 313-317 (design), Table 1 (demographics), ~13,000 total sample</t>
  </si>
  <si>
    <t>Table 2 (employment rates), Table 3 (days employed), Table 4 (wages), Table 5 (earnings)</t>
  </si>
  <si>
    <t>ST=1 year post-RA. No follow-up beyond Year 1.</t>
  </si>
  <si>
    <t>SE reported directly in parentheses: employment SE=0.033 (3.3pp), earnings SE=$160.51.</t>
  </si>
  <si>
    <t>Paper text: average cost $135 per participant (FY 1988 dollars)</t>
  </si>
  <si>
    <t>Sample sizes approximate (paper says ~13,000 total but analysis samples vary by outcome). N_treatment and N_control estimated as ~6,500 each.</t>
  </si>
  <si>
    <t>FSET: public mandatory E&amp;T program for food stamp recipients (admin=public). Job search, work experience, classroom training. No CBO, no employer engagement.</t>
  </si>
  <si>
    <t>public: Food Stamp Employment and Training is a federal program funded by USDA and state matching funds.</t>
  </si>
  <si>
    <t>public: Administered by state welfare/food stamp agencies through local offices.</t>
  </si>
  <si>
    <t>FSET: job search requirement (24 contacts in 8 weeks) plus optional short training. Most participation was job search lasting ~2 months. Puma &amp; Burstein 1994.</t>
  </si>
  <si>
    <t>Puma &amp; Burstein 1994, p.320: T received any employment/training services at 12pp above C (~40% T vs ~28% C). 53% of T never assigned to component; 34% no-showed. program_uptake_impact≈12pp, C_mean≈28%.</t>
  </si>
  <si>
    <t>Puma &amp; Burstein 1994, p.320-321: Group meetings/classes on job finding: T=15%, C=6%, Impact≈9pp. More intensive services (basic ed, GED, workfare) were rare. any_training_control_mean≈6%.</t>
  </si>
  <si>
    <t>Secondary: IMPACT includes education and training tracks but also job search; mandatory participation in one or more activities. Training is one component of comprehensive welfare reform.</t>
  </si>
  <si>
    <t>RCT: 95% of new TANF applicants randomly assigned to Welfare Reform group; 5% to Traditional Welfare control. Statewide implementation in Indiana.</t>
  </si>
  <si>
    <t>Report pp. 67-68 (design), Exhibit 4.4 (N=66,413: 63,197 WR + 3,216 TW)</t>
  </si>
  <si>
    <t>Exhibit 4.4 (5-year earnings and employment for single-parent families)</t>
  </si>
  <si>
    <t>ITT: difference in means, Welfare Reform vs Traditional Welfare</t>
  </si>
  <si>
    <t>ST=Year 1 (~1 yr post-RA). MT=Year 3 (~3 yr). LT=Year 5 (~5 yr). Impacts grow over time.</t>
  </si>
  <si>
    <t>SE derived from *** significance stars (p=0.01 threshold) for all impacts.</t>
  </si>
  <si>
    <t>Highly unequal randomization (95/5 split). Treatment is full welfare reform package, not training alone. Hispanic percentage not reported. Employment is last-quarter-of-year rate, not annual average.</t>
  </si>
  <si>
    <t>Indiana IMPACT: public welfare reform program (admin=public). Mandatory participation in job search, education, training. No CBO lead, no employer engagement.</t>
  </si>
  <si>
    <t>public: Indiana Manpower Placement and Comprehensive Training was a state welfare program funded by state and federal welfare appropriations.</t>
  </si>
  <si>
    <t>public: Administered by the Indiana Family and Social Services Administration.</t>
  </si>
  <si>
    <t>Indiana IMPACT: welfare-to-work with job club (1-2 weeks), job search, and optional education/training. Actual avg duration of training not reported. Beecroft et al. 2003. Duration ambiguous.</t>
  </si>
  <si>
    <t>Exhibit 3.2 (p.56): Any employment or training activity (admin): WR=73%, TW=66%, Impact=7pp. Includes unsubsidized employment, job search, education. program_uptake_control_mean=66%.</t>
  </si>
  <si>
    <t>Exhibit 3.4 (p.60): Survey-based: Any education/training activity: WR=54.1%, TW=49.6%, Impact=4.5pp**. Includes job search 17.8/14.1, basic ed 23.2/24.0, vocational 26.6/22.5, post-sec 5.2/5.1, OJT 13.4/9.8.</t>
  </si>
  <si>
    <t>Secondary: primarily a structured work experience/service program with education (GED prep, life skills) as a supplementary component.</t>
  </si>
  <si>
    <t>RCT in 4 of the larger/more mature corps sites. Applicants randomly assigned to treatment (enrolled) or control (excluded for 1 year).</t>
  </si>
  <si>
    <t>Report pp. 15-16 (design), p. 10 (N≈2,079 in experimental sites)</t>
  </si>
  <si>
    <t>Chapter 4 pp. 16-17 (overall impacts), subgroup results pp. 17-19</t>
  </si>
  <si>
    <t>ITT: treatment-control difference at 15-month follow-up survey</t>
  </si>
  <si>
    <t>ST=15 months post-RA (~1.25 years). Programs lasted ~6-12 months, so follow-up includes substantial during-program period.</t>
  </si>
  <si>
    <t>SE not reported for overall employment/earnings. Significance described narratively.</t>
  </si>
  <si>
    <t>Report mentions program costs per service hour but no clean per-participant total</t>
  </si>
  <si>
    <t>Major flag: employment/earnings impacts are NOT post-program effects. They include corps work during program. Regular (non-corps) earnings actually declined (-$114/month). N approximate. Race reported as '86% persons of color, 50% Black' without precise white/Hispanic breakdown.</t>
  </si>
  <si>
    <t>ACYSC: conservation and youth service corps (admin=mixed). Structured work experience on environmental projects. Not CBO-led, no employer engagement in curriculum.</t>
  </si>
  <si>
    <t>public: American Conservation and Youth Service Corps was funded by federal ACTION agency appropriations under the National and Community Service Act.</t>
  </si>
  <si>
    <t>mixed: ACYSC programs were operated by a mix of state agencies and nonprofit organizations, depending on the site.</t>
  </si>
  <si>
    <t>ACYSC: terms of service typically 6-12 months; completers averaged 1,130 hours over 14-month reporting period. Using 10 months as approximate avg. Jastrzab et al. 1996; Price et al. 2011.</t>
  </si>
  <si>
    <t>Jastrzab et al 1996, Ch.4 p.15: Treatment group 99% worked for pay (including corps work) vs 73% of controls. C excluded from corps for 1 year. program_uptake≈99%, C=0%.</t>
  </si>
  <si>
    <t>Jastrzab et al 1996, Ch.4 p.18: At follow-up 22% of T attending school vs 19% of C (n.s.). Technical cert: T=8%, C=13% (negative impact - corps substituted for other education). any_training_impact≈3pp, C_mean=19%.</t>
  </si>
  <si>
    <t>Primary: New Visions is an integrated community college education/training program combining basic skills, workplace preparation, and college courses.</t>
  </si>
  <si>
    <t>RCT at single site (Riverside County). GAIN participants who volunteered for New Visions randomly assigned to treatment (New Visions) or control (other GAIN E&amp;T services).</t>
  </si>
  <si>
    <t>Report pp. xii-xiii (design), Exhibit ES.1 (N=528 T, 515 C)</t>
  </si>
  <si>
    <t>Exhibit ES.1 (summary), Exhibit 3.6 (detailed by year)</t>
  </si>
  <si>
    <t>ST=Year 1 post-RA. MT=Year 2 post-RA. Earnings data cover 2.5 years total (through first half of Year 3). No LT data.</t>
  </si>
  <si>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</si>
  <si>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</si>
  <si>
    <t>New Visions at Riverside Community College (admin=public). Integrated basic education and workforce preparation at CC. Not CBO-led.</t>
  </si>
  <si>
    <t>public: New Visions was part of California GAIN, funded by state and federal welfare funds.</t>
  </si>
  <si>
    <t>public: Administered by Riverside Community College (a public institution) under contract with the county welfare department.</t>
  </si>
  <si>
    <t>New Visions: 1-week orientation + 24-week core program ≈ 6 months. Fein &amp; Beecroft 2006.</t>
  </si>
  <si>
    <t>Exhibit 3.1: New Visions participation: T=68.9%, C=0%, Impact=68.9***. Fein and Beecroft 2006.</t>
  </si>
  <si>
    <t>Exhibit 3.1: GAIN E&amp;T participation: T=78.8%, C=58.6%, Impact=20.2***. Fein and Beecroft 2006.</t>
  </si>
  <si>
    <t>SWIM's primary emphasis was on rapid job placement through job search and workfare. Education and training were a third-stage activity assigned only to those who did not find employment through earlier stages. Training was present but secondary to the job search/workfare mandate.</t>
  </si>
  <si>
    <t>RCT. Individuals randomly assigned to experimental (subject to SWIM mandate) or control (not eligible for SWIM, could access community programs).</t>
  </si>
  <si>
    <t>Table ES.1: sample sizes 1604 exp, 1606 ctrl. Table ES.3: demographic subgroup shares.</t>
  </si>
  <si>
    <t>Table ES.1 / Table B.1: earnings and employment by year. Year 1 earn +$352***, Year 2 +$644***, Year 3 +$555***, Year 4 +$378, Year 5 +$148.</t>
  </si>
  <si>
    <t>ITT experimental-control difference</t>
  </si>
  <si>
    <t>Year 1 (Quarters 2-5) = short-term ~1yr. Year 2 (Q6-9) = medium-term ~2yr. Year 5 (Q18-21) = long-term ~5yr. CKW scheme.</t>
  </si>
  <si>
    <t>SE derived from significance stars: *** → p=0.01, ** → p=0.05, * → p=0.10</t>
  </si>
  <si>
    <t>Report preface p. xxvi: net costs ~$900 per AFDC-FG experimental; Table ES.1 notes $920 net cost.</t>
  </si>
  <si>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</si>
  <si>
    <t>SWIM: public mandatory welfare-to-work (admin=public). Job search, workfare, then education/training. No CBO, no employer engagement in curriculum.</t>
  </si>
  <si>
    <t>public: Saturation Work Initiative Model was a San Diego County welfare-to-work program funded by state and federal welfare appropriations.</t>
  </si>
  <si>
    <t>public: Administered by the San Diego County Department of Social Services.</t>
  </si>
  <si>
    <t>SWIM San Diego AFDC-FG: job search then 3-month work experience, then education/training. Duration of full sequence ambiguous. Friedlander &amp; Hamilton 1993.</t>
  </si>
  <si>
    <t>Figure 3.1/Table 3.1: All activities: T=69%, C=30%, Impact=39pp. Friedlander and Hamilton 1993.</t>
  </si>
  <si>
    <t>Figure 3.1/Table 3.1: Education/training: T=39%, C=29%, Impact=10pp. Friedlander and Hamilton 1993.</t>
  </si>
  <si>
    <t>Same as AFDC-FG: primary emphasis on job search/workfare, training was third-stage for non-finders.</t>
  </si>
  <si>
    <t>RCT. Same design as AFDC-FG but for AFDC-U (two-parent) caseload. Separate random assignment stream.</t>
  </si>
  <si>
    <t>Table ES.2: sample sizes 686 exp, 654 ctrl. Table ES.4: subgroup demographics.</t>
  </si>
  <si>
    <t>Table ES.2 / Table C.1: Year 1 earn +$487*, Year 2 +$478 (ns), Year 3 +$350 (ns), Year 4 -$4 (ns), Year 5 -$251 (ns). Employment: Year 1 +5.6pp***, Year 2 +4.8pp**, Years 3-5 declining and not significant.</t>
  </si>
  <si>
    <t>Same CKW scheme as AFDC-FG: Year 1=ST, Year 2=MT, Year 5=LT.</t>
  </si>
  <si>
    <t>SE derived from significance stars where available.</t>
  </si>
  <si>
    <t>Report preface: net costs ~$800 per AFDC-U experimental; benefit-cost section reports $840.</t>
  </si>
  <si>
    <t>Same GAIN contamination issue as AFDC-FG. AFDC-U earnings impacts faded faster than AFDC-FG. Five-year cumulative impact not significant. Benefit-cost: AFDC-U experimentals had net loss of $593 over 5 years as earnings gains were offset by welfare reductions.</t>
  </si>
  <si>
    <t>SWIM San Diego AFDC-U: same design as AFDC-FG. Friedlander &amp; Hamilton 1993.</t>
  </si>
  <si>
    <t>Figure 3.1/Table 3.1: All activities: T=70%, C=23%, Impact=47pp. Friedlander and Hamilton 1993.</t>
  </si>
  <si>
    <t>Figure 3.1/Table 3.1: Education/training: T=34%, C=23%, Impact=11pp. Friedlander and Hamilton 1993.</t>
  </si>
  <si>
    <t>ATIM was an accelerated sector-based manufacturing training program. Classroom occupational skills training and work-based training (OJT, internships) were the core components. Training is clearly primary.</t>
  </si>
  <si>
    <t>RCT. Eligible applicants randomly assigned to treatment (ATIM enrollment) or control (access to WIA and community services, but not ATIM).</t>
  </si>
  <si>
    <t>Exhibit II-2: 514 treatment, 224 control across 5 regions. Exhibit II-3: baseline characteristics.</t>
  </si>
  <si>
    <t>Exhibit IV-2: Year 1 earn -$231 (ns), Year 2 earn +$5,476** (p&lt;.05). Year 2 quarters employed +0.3 (ns). Exhibit IV-5: subgroup analysis by education/timing.</t>
  </si>
  <si>
    <t>ITT regression-adjusted impact (weighted for unequal randomization odds)</t>
  </si>
  <si>
    <t>Year 1 after RA = short-term (~1yr). Year 2 after RA = medium-term (~2yr). No longer follow-up available.</t>
  </si>
  <si>
    <t>SE derived from ** significance star → p=0.05 for Year 2 earnings.</t>
  </si>
  <si>
    <t>Report p. viii and Chapter V: average per-participant cost $9,991.</t>
  </si>
  <si>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</si>
  <si>
    <t>Peck et al. 2021 dataset (ATIM): coded as 0</t>
  </si>
  <si>
    <t>Peck et al. 2021 dataset (ATIM): coded as 1</t>
  </si>
  <si>
    <t>public: Accelerated Training for Illinois Manufacturing was an Illinois state program funded by state workforce development funds.</t>
  </si>
  <si>
    <t>public: Administered through the Illinois workforce system and community colleges (public institutions).</t>
  </si>
  <si>
    <t>ATIM: median ~5 months to completion. Betesh et al. 2017.</t>
  </si>
  <si>
    <t>Exhibit III-5: Enrolled in training: T=95.6%; C group not offered ATIM → C≈0%. Impact=95.6pp. Betesh et al 2017.</t>
  </si>
  <si>
    <t>Exhibit III-5: Enrolled in training (any source): T=95.6%, C=23.7%, Impact=71.9***. Betesh et al 2017.</t>
  </si>
  <si>
    <t>ACE core model is integrated basic skills + vocational training via community college (I-BEST model). Training is clearly the primary component.</t>
  </si>
  <si>
    <t>RCT. Eligible applicants randomly assigned to treatment (ACE program enrollment) or control (business as usual). Multi-site across 9 sites in 4 states, but primary impact analysis limited to MD+TX due to data restrictions in GA and CT.</t>
  </si>
  <si>
    <t>Exhibit ES2: site demographics. Exhibit ES3: enrollment by site (940 treatment in MD/TX sites). Exhibit ES12: sample sizes for impact outcomes.</t>
  </si>
  <si>
    <t>Exhibit ES6/ES12: Year 1 (4Q post-program) earn +$1,295*** (n=1,513); 8Q post-program earn +$5,263*** (n=619). Exhibit ES5/ES12: Year 1 employment +12.9pp***, Year 2 employment +13.5pp***.</t>
  </si>
  <si>
    <t>ITT average treatment effect (regression-adjusted)</t>
  </si>
  <si>
    <t>Follow-up measured from program END, not RA. Training lasted ~3-6 months. 4 quarters post-program ≈ 1.5 yr post-RA (ST). 8 quarters post-program ≈ 2.5 yr post-RA (MT).</t>
  </si>
  <si>
    <t>SE derived from *** significance stars → p=0.01.</t>
  </si>
  <si>
    <t>Exhibit 6.9: grant expenditures per student by site. Weighted average across MD/TX sites ≈ $6,600.</t>
  </si>
  <si>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</si>
  <si>
    <t>WIB-community college partnership (admin=public).</t>
  </si>
  <si>
    <t>No staffing agency partnerships described (Modicamore et al.).</t>
  </si>
  <si>
    <t>'Early employer engagement helped sites assess labor market demand and tailor vocational and basic skills content to employer needs' (Modicamore et al.).</t>
  </si>
  <si>
    <t>Job readiness and placement services described (Modicamore et al. 2017).</t>
  </si>
  <si>
    <t>'Employers feedback was also an important component of curriculum planning' and sites customized programs to employer needs (Modicamore et al.).</t>
  </si>
  <si>
    <t>'Many sites regret not having employer commitments early on' — indicating lack of formal employer hiring commitments (Modicamore et al.).</t>
  </si>
  <si>
    <t>public: Accelerating Connections to Employment was funded by DOL as a federal demonstration under TAACCCT-related initiatives.</t>
  </si>
  <si>
    <t>public: Administered by state workforce agencies in Maryland and Texas.</t>
  </si>
  <si>
    <t>ACE: Maryland (6 sites) avg class length 14-22 weeks; Austin 8 weeks. Weighted approx 14 weeks ≈ 3.5 months. Modicamore et al., Exhibit 6.9.</t>
  </si>
  <si>
    <t>Modicamore et al, ES p.7: 77% of enrolled participants completed the ACE program. C excluded from ACE, so C=0%.</t>
  </si>
  <si>
    <t>Not directly reported as binary training receipt rate. Exhibit 4.11: At Year 1, enrolled in other training/education: T=11.5%, C=22.1% (C sought alternatives). Vocational cert: T=53.5%, C=35.4%. No comparable 'any training from any source' measure for both groups.</t>
  </si>
  <si>
    <t>WEJT's primary component was mandatory job search. Education and training (remedial, vocational, JTPA, OJT) were available but not the lead component. 27-31% participated in education activities. Training is secondary.</t>
  </si>
  <si>
    <t>RCT in Rock County only. Random assignment to WEJT or existing WIN/WEOP programs. Other counties used quasi-experimental designs.</t>
  </si>
  <si>
    <t>p. 113: N=538 WEJT, N=487 control in Rock County. p. viii: data from UI wage records and AFDC check files.</t>
  </si>
  <si>
    <t>p. 113: Q4 1990 quarterly earnings: WEJT $1,619, control $1,744 (diff not significant). % off AFDC with earn &gt;$2,500: WEJT 22.68%, control 26.08% (z=-1.27, not significant).</t>
  </si>
  <si>
    <t>ITT difference in means (z-test for proportions, t-test for earnings)</t>
  </si>
  <si>
    <t>Randomization in 1987-88, outcomes measured Q4 1990 ≈ 2-3 years post-RA. Classified as medium-term (~2.5 years).</t>
  </si>
  <si>
    <t>No SE reported; differences not statistically significant.</t>
  </si>
  <si>
    <t>p. 69: 1990 JOBS program costs per participant = $718 for WEJT counties.</t>
  </si>
  <si>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t>
  </si>
  <si>
    <t>WEJT: public mandatory welfare-to-work (admin=public). Job search, remedial education, vocational training. No CBO, no employer engagement.</t>
  </si>
  <si>
    <t>public: Wisconsin Welfare Employment Experiments were state welfare demonstrations funded by state and federal welfare appropriations under a federal waiver.</t>
  </si>
  <si>
    <t>public: Administered by the Rock County Department of Social Services.</t>
  </si>
  <si>
    <t>WEJT: comprehensive welfare employment program with job search, training, and CWEP. Actual avg duration not reported. Pawasaray &amp; Quinn 1993. Duration ambiguous.</t>
  </si>
  <si>
    <t>Not reported. Pawasarat &amp; Quinn 1993 does not provide clean T vs C participation rates for Rock County. WEJT participants had 27-31% in education activities, but comparable C rates not reported.</t>
  </si>
  <si>
    <t>Not reported. Control group received WIN/WEOP Job Service programs (active counterfactual). No survey data on education/training receipt for both groups.</t>
  </si>
  <si>
    <t>HPOG 2.0 is explicitly a healthcare occupational training program. 77% of treatment group started healthcare training. Training is the primary and defining component.</t>
  </si>
  <si>
    <t>RCT. Eligible applicants randomly assigned to treatment (access to HPOG 2.0) or control (no access to HPOG, but could access other community training). Large-scale multi-site evaluation.</t>
  </si>
  <si>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</si>
  <si>
    <t>Exhibit 4-1: Q12 earnings impact +$94, SE=$60, control mean $4,971 (quarterly). Exhibit 4-3: 36-month survey employment +3.0pp, SE=2.0, control 63.0%. Exhibit 4-2: Q4 earnings -$12.</t>
  </si>
  <si>
    <t>ITT impact (regression-adjusted, pooled across sites)</t>
  </si>
  <si>
    <t>Q4 post-entry ≈ 1 year (ST). Q12 post-entry ≈ 3 years (MT). Confirmatory outcome is Q12 quarterly earnings.</t>
  </si>
  <si>
    <t>SE reported directly: $60 for Q12 earnings, 2.0pp for employment.</t>
  </si>
  <si>
    <t>Not reported in this report.</t>
  </si>
  <si>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t>
  </si>
  <si>
    <t>Mixed admin — CBOs, community colleges, and tribal orgs. Not predominantly CBO-led in aggregate.</t>
  </si>
  <si>
    <t>No staffing agency partnerships described at pooled level (Klerman et al. 2023).</t>
  </si>
  <si>
    <t>Health profession training grants; no evidence of employer engagement in curricula at pooled level (Klerman et al. 2023).</t>
  </si>
  <si>
    <t>Job search and placement assistance described (Klerman et al. 2023).</t>
  </si>
  <si>
    <t>No evidence of employer role in curriculum design at pooled level (Klerman et al. 2023).</t>
  </si>
  <si>
    <t>No employer hiring commitments described at pooled level (Klerman et al. 2023).</t>
  </si>
  <si>
    <t>public: HPOG 2.0 was funded by DHHS/ACF grants.</t>
  </si>
  <si>
    <t>mixed: HPOG 2.0 grants went to a mix of institutions: some community colleges and workforce boards (public) and some nonprofit organizations (private). The 27 non-Tribal grantees included both types.</t>
  </si>
  <si>
    <t>HPOG 2.0: impact on months of training was 1.5 months (treatment vs. control). Total months in training for treatment group not clearly reported as a single average. Klerman et al. 2023.</t>
  </si>
  <si>
    <t>Exhibit 2-1: Healthcare training impact≈18pp (T≈77%, C≈59%). HPOG is training program so program_uptake = healthcare training enrollment. Klerman et al 2023.</t>
  </si>
  <si>
    <t>Exhibit 2-1: Started any training: T=81.4%, C=66.9%, Impact=+14.5**. Klerman et al 2023.</t>
  </si>
  <si>
    <t>HPOG 1.0 is explicitly a healthcare occupational training program operating through a career pathways framework. Training is the primary and defining component.</t>
  </si>
  <si>
    <t>RCT. Eligible applicants at 23 grantee sites randomly assigned to treatment (access to HPOG) or control (no access, but could seek other training). Random assignment began ~30 months after program start (March 2013).</t>
  </si>
  <si>
    <t>Exhibit 1 (p.3): N=6,872 treatment, N=5,044 control. Demographics from same exhibit. 23 grantees across multiple states. pct_no_hs_diploma left blank: Peck et al. 2022 Exhibit 1, p. 3, reports only combined "High school or less = 45%"; less-than-HS not separately reported.</t>
  </si>
  <si>
    <t>Exhibit 5 (p.8): Q23-24 earnings -$145 (ns), control $6,011. Exhibit 4 (p.7): healthcare employment +4.9pp**, control 32.0%. Text p.8: Q12-13 earnings ~$42 (ns, from Peck et al. 2018).</t>
  </si>
  <si>
    <t>ITT impact pooled across 23 grantee sites</t>
  </si>
  <si>
    <t>Q5 ≈ 1.25yr (ST). Q12-13 ≈ 3yr (MT). Q23-24 ≈ 6yr (LT).</t>
  </si>
  <si>
    <t>SE not separately reported in this summary; would need technical supplement. Significance noted by stars on exhibits.</t>
  </si>
  <si>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t>
  </si>
  <si>
    <t>Peck et al. 2021 dataset (HPOG 1.0): coded as 0</t>
  </si>
  <si>
    <t>Peck et al. 2021 dataset (HPOG 1.0): coded as 1</t>
  </si>
  <si>
    <t>public: HPOG 1.0 was funded by DHHS/ACF grants.</t>
  </si>
  <si>
    <t>mixed: Similar to HPOG 2.0, grantees included both public institutions and nonprofits.</t>
  </si>
  <si>
    <t>HPOG 1.0: avg training ~7.5 months. Peck et al. 2022.</t>
  </si>
  <si>
    <t>Not cleanly reported. HPOG 1.0 paper reports credential completion but not enrollment impact with T and C rates separately for program-specific training.</t>
  </si>
  <si>
    <t>Exhibit 3: Earned any credential (6-year): T=77.7%, C=70.2%, Impact=7.6***. 3-year training completion: T≈75%, C≈63%, Impact≈12pp. Peck, Litowk, and Walton 2022.</t>
  </si>
  <si>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</si>
  <si>
    <t>RCT within MFIP (Minnesota Family Investment Program). Random assignment of MFIP participants in Hennepin County to Tier 1 (standard MFIP services) or Tier 2 (enhanced services). Active-control design: Tier 1 is a real welfare-to-work program.</t>
  </si>
  <si>
    <t>Table 1: N=845 Tier 2, N=847 Tier 1 control. Text p.7: random assignment Jan 2002 – Apr 2003. Table 2: demographics. Long-term TANF recipients with barriers.</t>
  </si>
  <si>
    <t>Table 4: Q7 earnings $1,291 Tier 2 vs $1,394 Tier 1 (diff -$103, ns). Q7 employment 23.3% vs 23.6% (-0.3pp, ns). Year 1 earnings $3,764 vs $3,893 (-$129, ns). Year 1 employment 34.3% vs 34.2% (+0.1pp, ns).</t>
  </si>
  <si>
    <t>ITT impact from regression-adjusted differences. Standard ERA methodology.</t>
  </si>
  <si>
    <t>No LT data (follow-up ends at Q7 for full sample; early cohort extends to Q10 but not used as primary). RA period Jan 2002 – Apr 2003.</t>
  </si>
  <si>
    <t>SEs not separately reported. P-values reported for all impacts. No impacts statistically significant except Year 1 ever-employed (+3.7pp, p=0.092, one star at 10% level). SE not back-computed because most impacts are null.</t>
  </si>
  <si>
    <t>Text p.17: Tier 2 providers received $4,000 per program slot under contract with TEA (Transitional Employment Administration). This is the contracted cost per slot, not a comprehensive cost-per-participant figure.</t>
  </si>
  <si>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</si>
  <si>
    <t>ERA Minnesota Tier 2: public welfare case management (admin=public). Enhanced case management with supported employment. No CBO lead, no employer engagement in curriculum.</t>
  </si>
  <si>
    <t>public: Administered by Hennepin County Human Services Department.</t>
  </si>
  <si>
    <t>ERA Minnesota Tier 2: employment retention case management. Duration ambiguous. LeBlanc et al. 2007.</t>
  </si>
  <si>
    <t>Table 9: Subsidized employment: Tier2=9.5%, Tier1=3.7%, Impact=5.8pp***. ERA MN is enhanced case management, not primarily training. LeBlanc et al 2007.</t>
  </si>
  <si>
    <t>Table 9: Education/training: Tier2=37.8%, Tier1=42.1%, Impact=-4.3. LeBlanc et al 2007.</t>
  </si>
  <si>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</si>
  <si>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</si>
  <si>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</si>
  <si>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</si>
  <si>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</si>
  <si>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</si>
  <si>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</si>
  <si>
    <t>Part 1 (summary chapter), p.15: gross cost $491/claimant for Treatment 2, net cost $377/claimant (above existing ES services of ~$114). Cost includes JSA + training/relocation services.</t>
  </si>
  <si>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</si>
  <si>
    <t>NJ UI Reemployment: public reemployment demonstration (admin=public). Job search assistance plus training/relocation option. No CBO, no employer engagement in curriculum.</t>
  </si>
  <si>
    <t>public: New Jersey UI Reemployment Demonstration was funded by DOL as a federal demonstration within the unemployment insurance system.</t>
  </si>
  <si>
    <t>public: Administered by the New Jersey Department of Labor through the state employment service.</t>
  </si>
  <si>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</si>
  <si>
    <t>Table VI.1 &amp; text (p.107): 15% of assessed T2 members received training; 9.4% of ALL T2 members received training. C=2.3% received JTPA training. JSA was primary component delivered to all. program_uptake_impact=9.4-2.3=7.1pp.</t>
  </si>
  <si>
    <t>Corson et al 1989 p.107: 9.4% of T2 received some training vs 2.3% of C from JTPA. any_training is same as program_uptake here since training IS the program add-on. Impact=7.1pp, C_mean=2.3%.</t>
  </si>
  <si>
    <t>UI wage records (earnings); survey (employment)</t>
  </si>
  <si>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</si>
  <si>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</si>
  <si>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</si>
  <si>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</si>
  <si>
    <t>ITT regression-adjusted impact (OLS with demographic controls, site dummies, and lagged outcome variables). Model described in Table 7.1, p.132.</t>
  </si>
  <si>
    <t>Follow-up covers 4 quarters (1 year) after random assignment. Annual earnings sum of Q1-Q4; employment measured in 3rd and 4th survey quarters. 1 year → short-term per Card, Kluve, and Weber (2010) classification.</t>
  </si>
  <si>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</si>
  <si>
    <t>Table 8.2, p.166, Tier I/II costs under Assumption B (Tier II = 2× Tier I cost). TEC/HCC=$3,215, SEE=$1,099, SER/JOBS=$725. Weighted by Tier I/II men's N (368, 125, 156) → $2,209. Gross cost per participant; ~1984-85 dollars. Appendix 8.1 (pp.171-172) describes cost estimation methodology.</t>
  </si>
  <si>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</si>
  <si>
    <t>Texas Worker Adjustment: mixed admin reemployment program. Job search + classroom vocational training/OJT through various providers. No CBO lead in program design, no employer engagement in curriculum design.</t>
  </si>
  <si>
    <t>public: Texas Worker Adjustment Demonstration was funded by DOL.</t>
  </si>
  <si>
    <t>mixed: Services were delivered by a mix of the Texas Employment Commission (public) and private organizations (SER-Jobs for Progress, Houston Community College).</t>
  </si>
  <si>
    <t>Texas WAD, all men Tier I/II: mean weeks enrolled ~14 across sites (TEC/HCC=17, SEE=13, SER/JOBS=10-11). ~3.5 months. Bloom 1990, Table 5.9.</t>
  </si>
  <si>
    <t>Table 5.1 (p.90): Participation rates for men: TEC/HCC I/II=65%, SEE I/II=65%, SER/JOBS I/II=88%. Approximate pooled≈72%. C received no demo services, C=0%.</t>
  </si>
  <si>
    <t>Not reported for C group. Table 5.5 shows service mix for participants only (% getting classroom training vs OJT). No survey data on C group training receipt from other sources.</t>
  </si>
  <si>
    <t>Same as men's row: training is 'primary.' Tier II classroom/OJT is the core addition being tested. El Paso sites: SEE offered 50% classroom/50% OJT; SER/JOBS offered 13% classroom/87% OJT (Table 1.4, p.15).</t>
  </si>
  <si>
    <t>Same flags as men's row. Both El Paso sites offered classroom + OJT + JSA. See Table 1.2 (p.9) and Table 1.4 (p.15).</t>
  </si>
  <si>
    <t>Sample sizes: Table 4.1, p.66 and Table 4.2, pp.68-69. SEE I/II women=169, SER/JOBS I/II women=180; controls SEE=134, SER/JOBS=149. Demographics: Table 4.2, pp.68-69, weighted across 2 El Paso sites. Attrition: Table 6.1, p.108 (UI wage: 81% overall). Randomization: Table 1.1, p.7.</t>
  </si>
  <si>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</si>
  <si>
    <t>1 year follow-up → short-term. Same as men's row.</t>
  </si>
  <si>
    <t>No SEs in book. Book ** = one-tail p&lt;0.01 -&gt; two-tail p~0.02. Earnings SE = |987| / norm_ppf(0.99) = 987 / 2.326 = 424.1. Employment SE = |9| / norm_ppf(0.99) = 9 / 2.326 = 3.9. Two-tail p=0.02 is conservative: actual one-tail p may be well below 0.01.</t>
  </si>
  <si>
    <t>Table 8.2, p.166, Tier I/II costs under Assumption B. SEE=$1,099, SER/JOBS=$725. Weighted by women's N (169, 180) → $906. Gross cost per participant; ~1984-85 dollars.</t>
  </si>
  <si>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</si>
  <si>
    <t>Texas WAD, El Paso women Tier I/II (SEE + SER/JOBS): mean weeks enrolled ~14 (SEE=13-19, SER/JOBS=10-14). ~3.5 months. Bloom 1990, Table 5.9.</t>
  </si>
  <si>
    <t>Table 5.1 (p.90): Participation rates for women: SEE I/II=76%, SER/JOBS I/II=87%. Approximate pooled≈82%. C received no demo services, C=0%.</t>
  </si>
  <si>
    <t>Not reported for C group. No survey data on education/training receipt from other sources for control group members.</t>
  </si>
  <si>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</si>
  <si>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</si>
  <si>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</si>
  <si>
    <t>ST employment: Table 33, p.90 — 'Percent of Sample Who Worked Since Exit' by site. Chi-square tests reported for each site. ST earnings: Table 34, p.92 — 'Mean Weekly Earnings' by site (includes $0 for non-workers). Pooled treatment F-test: F(1,1372)=15.42, p=.0001 from footnote p.91.</t>
  </si>
  <si>
    <t>ITT; simple difference in proportions (employment) and means (earnings) between experimental and control groups</t>
  </si>
  <si>
    <t>Short-term. Follow-up covers 8 months after program exit. Exit occurs ~6 months after intake. Total post-randomization window ~14 months. Post-program observation period = 8 months ≈ 0.67 years. CKW short-term classification (~0-1 year).</t>
  </si>
  <si>
    <t>Employment SE: Computed from proportions: SE = sqrt(pE*(1-pE)/nE + pC*(1-pC)/nC). Verified against reported chi-square values (e.g., Alb chi²=3.469 vs computed z²=3.51). Earnings SE: Not available. Report provides only pooled ANOVA F-tests, not site-specific SEs or SDs.</t>
  </si>
  <si>
    <t>Not extracted. Total project budget was $6 million (p.ii) but per-treated cost not reported.</t>
  </si>
  <si>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t>
  </si>
  <si>
    <t>AYES: mixed admin youth employment program. Work experience, basic education, vocational training. Not clearly CBO-led. No employer engagement in curriculum documented in Sadd et al. 1983.</t>
  </si>
  <si>
    <t>public: Alternative Youth Employment Strategies was funded by DOL.</t>
  </si>
  <si>
    <t>mixed: AYES sites were operated by a mix of public and private organizations: OCETA in Albuquerque (public workforce agency), SFETC in Miami (public), and CEP in New York City (nonprofit).</t>
  </si>
  <si>
    <t>AYES Albuquerque: maximum 6 months (26 weeks). Sadd et al. 1983.</t>
  </si>
  <si>
    <t>Not clearly reported. Sadd et al 1983 has poor OCR quality. Program enrolled 295 experimentals in Albuquerque across 3 models. Exact show-up/participation rate not extractable from available text.</t>
  </si>
  <si>
    <t>Not reported. No comparable training receipt data for T and C groups in Albuquerque extractable from paper.</t>
  </si>
  <si>
    <t>AYES Miami: maximum 6 months (26 weeks). Sadd et al. 1983.</t>
  </si>
  <si>
    <t>Not clearly reported. Sadd et al 1983 has poor OCR quality. Program enrolled 376 experimentals in Miami across 3 models. Exact show-up/participation rate not extractable from available text.</t>
  </si>
  <si>
    <t>Not reported. No comparable training receipt data for T and C groups in Miami extractable from paper.</t>
  </si>
  <si>
    <t>AYES NYC: maximum 6 months (26 weeks). Sadd et al. 1983.</t>
  </si>
  <si>
    <t>Not clearly reported. Sadd et al 1983 has poor OCR quality. Program enrolled 411 experimentals in NYC across 3 models. Exact show-up/participation rate not extractable from available text.</t>
  </si>
  <si>
    <t>Not reported. No comparable training receipt data for T and C groups in NYC extractable from paper.</t>
  </si>
  <si>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</si>
  <si>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</si>
  <si>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</si>
  <si>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</si>
  <si>
    <t>ITT regression-adjusted impact. Table 5.1 notes (p. 109): 'These data are regression-adjusted using ordinary least squares, controlling for pre-random assignment characteristics of sample members.'</t>
  </si>
  <si>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</si>
  <si>
    <t>st_emp_se: Derived from stars. Impact=+5.0, significance=*** (1% level). SE = |5.0| / Phi^{-1}(1 - 0.01/2) = 5.0 / 2.576 = 1.9. st_earn_se: Not derivable — impact not statistically significant, no stars or p-value. mt_emp_se: Not derivable — impact not significant. mt_earn_se: Not extracted.</t>
  </si>
  <si>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</si>
  <si>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</si>
  <si>
    <t>Options operated by Office of Manpower Resources (OMR), a city government agency, not a community organization.</t>
  </si>
  <si>
    <t>No staffing agency partnership mentioned.</t>
  </si>
  <si>
    <t>No employer-engaged curricula described; work experience placements were in public/nonprofit sector.</t>
  </si>
  <si>
    <t>WIN had job developers who obtained openings, but Options itself focused on employability development rather than job development.</t>
  </si>
  <si>
    <t>Employers did not shape curriculum; training was through OMR subcontractors.</t>
  </si>
  <si>
    <t>No commitment to hire described.</t>
  </si>
  <si>
    <t>Funded by Maryland DHR contract (state/federal WIN Demonstration funds) and Ford Foundation grant (p. iv).</t>
  </si>
  <si>
    <t>Administered by Office of Manpower Resources (OMR), the local CETA prime sponsor in Baltimore — a public agency (p. xi).</t>
  </si>
  <si>
    <t>Maryland Employment Initiatives (Baltimore): 3-week job search + 13-week work experience = ~4 months. Friedlander et al. 1985.</t>
  </si>
  <si>
    <t>Table 4.1, p. 62: Experimental participation rate in any active component = 44.5%; Control participation rate = 3.4%. Impact = 44.5 - 3.4 = 41.1 pp. Note: These are AFDC+AFDC-U combined. AFDC-only from Table 4.3 (p. 70): 52.8% for experimental registrants, but Table 4.1 base includes non-registrants.</t>
  </si>
  <si>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</si>
  <si>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</si>
  <si>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</si>
  <si>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</si>
  <si>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</si>
  <si>
    <t>Simple difference in means (PSWP group vs. control group), no regression adjustment. Tables V-A through V-D report raw means and differences. Table IV reports pooled differences with p-values from t-tests. Our ST/MT values are N-weighted averages of the cohort-specific raw differences.</t>
  </si>
  <si>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</si>
  <si>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</si>
  <si>
    <t>Not reported in interim report. Final report (expected April 1989) was to include cost analysis.</t>
  </si>
  <si>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t>
  </si>
  <si>
    <t>Program operated by PA Department of Public Welfare (state agency), not a community organization.</t>
  </si>
  <si>
    <t>No staffing agency partnership mentioned in interim report.</t>
  </si>
  <si>
    <t>No employer-engaged curricula described; CWEP placements in public/nonprofit agencies.</t>
  </si>
  <si>
    <t>No specific job development activities described in interim report.</t>
  </si>
  <si>
    <t>Employers did not shape curriculum.</t>
  </si>
  <si>
    <t>No employer commitment to hire described.</t>
  </si>
  <si>
    <t>Funded by PA Department of Public Welfare using federal WIN Demonstration funds (Ch. I, p. 2).</t>
  </si>
  <si>
    <t>Administered by PA Department of Public Welfare (state agency) through the Philadelphia County Assistance Office (Ch. I, p. 3).</t>
  </si>
  <si>
    <t>PSWP Philadelphia: welfare-to-work with job search, CWEP, and training. Duration variable; 90-day independent job search for job-ready clients, then additional services. Hogarth et al. 1988. Duration ambiguous.</t>
  </si>
  <si>
    <t>Not available in interim report. Treatment vs. control service receipt comparison deferred to final report (p. 15: 'the comparison between the research and control groups on use of employment services and other measures will be presented in the final report').</t>
  </si>
  <si>
    <t>Not available in interim report. See program_uptake_cell_references.</t>
  </si>
  <si>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</si>
  <si>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</si>
  <si>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t>
  </si>
  <si>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t>
  </si>
  <si>
    <t>ITT, regression-adjusted. OLS for earnings and ADC outcomes; logistic regression for employment. Controls for client characteristics measured at sample entry. (Ch. 1, p. 12; footnote 13, p. 12)</t>
  </si>
  <si>
    <t>ST: Year 1 (first 12 months post-random assignment). st_followup_years=1.0. MT: Year 2 (months 13-24). mt_followup_years=2.0. LT: Year 3 (months 25-36). lt_followup_years=3.0. 1989 cohort has 3 full years of follow-up (through December 1992).</t>
  </si>
  <si>
    <t>All SEs derived from significance stars using conventional thresholds. ST emp: +3.7***, p=0.01 → SE = 3.7/2.576 = 1.4. MT emp: +2.9**, p=0.05 → SE = 2.9/1.960 = 1.5. LT emp: +3.3**, p=0.05 → SE = 3.3/1.960 = 1.7. ST/MT/LT earnings: Not significant, no stars → SEs not derivable.</t>
  </si>
  <si>
    <t>Not reported in this impacts report. Cost-benefit findings in forthcoming companion report (Hamilton 1991, 1992 for early estimates; final cost-benefit report planned). See p. ii footnote 2.</t>
  </si>
  <si>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t>
  </si>
  <si>
    <t>Administered by county Departments of Human Services (public agencies) under ODHS oversight.</t>
  </si>
  <si>
    <t>No staffing agency partnership described.</t>
  </si>
  <si>
    <t>No employer-engaged curricula described.</t>
  </si>
  <si>
    <t>No specific job development activities described beyond job club and job readiness.</t>
  </si>
  <si>
    <t>Employers did not shape curricula.</t>
  </si>
  <si>
    <t>Funded by federal JOBS/FSA funds channeled through Ohio Department of Human Services (Ch. 1, pp. 4-8).</t>
  </si>
  <si>
    <t>Administered by Ohio Department of Human Services (state) and county Departments of Human Services (Ch. 1, p. 6).</t>
  </si>
  <si>
    <t>Ohio JOBS: welfare-to-work emphasizing CWEP, job search, education. Avg training duration not reported. Fein et al. 1994.</t>
  </si>
  <si>
    <t>Exhibit 2.3, p. 33: 40.5% of 1989 cohort treatment group (7,860 members) ever assigned to any JOBS activity over 3 years (3,184 clients). Control group explicitly excluded from JOBS services (p. 12). program_uptake_impact = 40.5 - 0 = 40.5pp.</t>
  </si>
  <si>
    <t>Cannot determine unduplicated rate of education/training from any source. Exhibit 2.3 shows rates for individual JOBS activities (basic ed 12%, post-secondary 7.7%, job skills 1.6%) but these overlap and do not capture non-JOBS training.</t>
  </si>
  <si>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</si>
  <si>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</si>
  <si>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t>
  </si>
  <si>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t>
  </si>
  <si>
    <t>ITT, regression-adjusted. OLS for earnings; logistic regression for employment. Controls for client characteristics at sample entry. (Ch. 1, p. 12)</t>
  </si>
  <si>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</si>
  <si>
    <t>All SEs derived from significance stars. ST emp: +3.4**, p=0.05 → SE = 3.4/1.960 = 1.7. ST earn: +$109*, p=0.10 → SE = 109/1.645 = 66.3.</t>
  </si>
  <si>
    <t>Not reported in this impacts report. See companion cost-benefit report.</t>
  </si>
  <si>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t>
  </si>
  <si>
    <t>Operated by Montgomery County Department of Human Services (public agency).</t>
  </si>
  <si>
    <t>No specific job development described.</t>
  </si>
  <si>
    <t>Federal waiver demonstration funded through Ohio Department of Human Services.</t>
  </si>
  <si>
    <t>Administered by Montgomery County Department of Human Services under ODHS oversight.</t>
  </si>
  <si>
    <t>Ohio Work Choice: similar to JOBS. Avg duration not reported. Fein et al. 1994.</t>
  </si>
  <si>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</si>
  <si>
    <t>Exhibit 2.7, p. 44: Among early cohort treatment group, basic ed=4.8%, post-secondary=4.7%, job skills=2.5%. These overlap (some clients had multiple assignments). Control group training participation not reported.</t>
  </si>
  <si>
    <t>Primary: the core intervention is subsidized transitional employment with job development for unsubsidized placement.</t>
  </si>
  <si>
    <t>has_ojt=1: subsidized crew-based employment is on-the-job training. has_jsa=1: program included job development/placement services for transition to unsubsidized work. has_classroom=0: no classroom training component described. has_multiple_components=1: OJT + JSA + peer support.</t>
  </si>
  <si>
    <t>1974 report pp. 51-55 (sample design, randomization, N). 1976 report pp. 1-5 (sample sizes, follow-up).</t>
  </si>
  <si>
    <t>1976 report Table 1 (p. 5): Year 1 and Year 2 employment rates and earnings by group. 1974 report p. 67: t=11.52 for Year 1 earnings (277 df).</t>
  </si>
  <si>
    <t>ITT: impacts reported for all followed-up members of original random-assignment groups.</t>
  </si>
  <si>
    <t>Year 1 = short-term, Year 2 = medium-term. Follow-up measured from program entry.</t>
  </si>
  <si>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</si>
  <si>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</si>
  <si>
    <t>leadagn_communityorg=1: Vera Institute of Justice, a nonprofit community organization, designed and managed the program.</t>
  </si>
  <si>
    <t>partneragn_staffingagency=0: no staffing agency partner described.</t>
  </si>
  <si>
    <t>employengage_curricula=0: no curricula co-developed with employers; work crews did public service projects.</t>
  </si>
  <si>
    <t>jobdev_yes=1: program included job development and placement services for transition to unsubsidized employment (1974 report p. 51).</t>
  </si>
  <si>
    <t>employerol_curriculum=0: employers did not help design training curriculum.</t>
  </si>
  <si>
    <t>employerol_hire=1: job development component placed participants with private employers for unsubsidized employment.</t>
  </si>
  <si>
    <t>funding_public_private=public: federally funded (Vera Institute grant).</t>
  </si>
  <si>
    <t>admin_public_private=private: administered by Vera Institute of Justice (private nonprofit).</t>
  </si>
  <si>
    <t>Wildcat (Supported Work): program designed for 12-18 months of supported employment. Using 12 months as approximate avg. Vera Institute 1974; similar model to NSW.</t>
  </si>
  <si>
    <t>1974 report p. 55: 89% of experimentals entered Wildcat employment, 11% no-shows.</t>
  </si>
  <si>
    <t>Career Pathways (WIF)</t>
  </si>
  <si>
    <t>New Orleans, LA – Advanced Manufacturing</t>
  </si>
  <si>
    <t>Louisiana Workforce Commission (LWC) quarterly earnings records</t>
  </si>
  <si>
    <t>Primary: the core intervention is classroom-based occupational training in sector-specific skills. Training is the main service; no subsidized employment, no structured OJT, no formal JSA.</t>
  </si>
  <si>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</si>
  <si>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</si>
  <si>
    <t>Employment ITT: Baird et al. 2022, Table 8, row "Treat", AM column: -0.003 (SE=0.027), C mean=0.620. Earnings ITT: Table 8, AM column: $451.173** (SE=169.518), C mean=$2,788. N=955 quarterly observations.</t>
  </si>
  <si>
    <t>ITT regression-adjusted. OLS with cohort, time, and strata fixed effects plus baseline outcome. P-values from wild bootstrap (Roodman et al. 2018) with Benjamini-Hochberg multiple testing correction. Clusters: cohort×treatment for treated, individual for control.</t>
  </si>
  <si>
    <t>Average 4 quarters post-training (range 1-7 quarters depending on cohort). All post-training quarters pooled in a single regression. Classified as short-term (~1 year). No separate medium- or long-term follow-up periods reported.</t>
  </si>
  <si>
    <t>SEs reported directly in Baird et al. 2022, Table 8. Employment: SE=0.027 (fraction) → 2.7 (percentage points). Earnings: SE=$169.518 (quarterly). Robust SEs clustered by cohort×treatment.</t>
  </si>
  <si>
    <t>Baird et al. 2019, Table 5.2: total program cost = $2,200,173 (2018 dollars), cost per completer = $7,509. Cost not disaggregated by pathway.</t>
  </si>
  <si>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</si>
  <si>
    <t>Career Pathways administered by City of New Orleans Office of Workforce Development (OWD), a public government agency.</t>
  </si>
  <si>
    <t>No staffing agency partnerships. Screening done by ResCare (contracted by OWD) and JOB1 centers.</t>
  </si>
  <si>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</si>
  <si>
    <t>Yes: 'The end of the pipeline sought to direct the new trainees to potential employers' (Baird et al. 2019, p. 11).</t>
  </si>
  <si>
    <t>Yes: employers participated in curriculum development and trade advisory committees (Baird et al. 2019, p. 2).</t>
  </si>
  <si>
    <t>No: 'Trainees were not guaranteed employment after completing the program' (Baird et al. 2019, p. 11).</t>
  </si>
  <si>
    <t>Public: funded by U.S. Department of Labor Workforce Innovation Fund (WIF) grant.</t>
  </si>
  <si>
    <t>Public: administered by City of New Orleans Office of Workforce Development (OWD).</t>
  </si>
  <si>
    <t>Baird et al. 2022, Table 2: 162/197=82.2% attended training 1. Used 82% (rounded). Uptake not reported by pathway; pooled rate applied to each. C barred from WIF training by design, so C=0.</t>
  </si>
  <si>
    <t>Not reported. Control group could not enter WIF training cohorts. No data on control group training participation rate.</t>
  </si>
  <si>
    <t>New Orleans, LA – Health Care</t>
  </si>
  <si>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</si>
  <si>
    <t>Employment ITT: Baird et al. 2022, Table 8, row "Treat", HC column: 0.151*** (SE=0.013), C mean=0.681. Earnings ITT: Table 8, HC column: $1,739.929*** (SE=148.055), C mean=$3,409. N=371 quarterly observations.</t>
  </si>
  <si>
    <t>SEs reported directly in Baird et al. 2022, Table 8. Employment: SE=0.013 (fraction) → 1.3 (percentage points). Earnings: SE=$148.055 (quarterly). Robust SEs clustered by cohort×treatment.</t>
  </si>
  <si>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</si>
  <si>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</si>
  <si>
    <t>New Orleans, LA – Information Technology</t>
  </si>
  <si>
    <t>Sample sizes by pathway: Baird et al. 2022, Table 1: IT = 53 T, 59 C. 8 cohorts. Randomization: stratified block within gender×employment×income×age cells (Baird et al. 2019, Appendix B.1). Demographics: pooled only (Table 3), not reported by pathway.</t>
  </si>
  <si>
    <t>Employment ITT: Baird et al. 2022, Table 8, row "Treat", IT column: 0.019 (SE=0.049), C mean=0.642. Earnings ITT: Table 8, IT column: -$708.513 (SE=785.601), C mean=$4,773. N=575 quarterly observations.</t>
  </si>
  <si>
    <t>SEs reported directly in Baird et al. 2022, Table 8. Employment: SE=0.049 (fraction) → 4.9 (percentage points). Earnings: SE=$785.601 (quarterly). Robust SEs clustered by cohort×treatment.</t>
  </si>
  <si>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</si>
  <si>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</si>
  <si>
    <t>WASC Bridgeport: approximately 3 years of services available, but actual participation intensity unclear. Miller et al. 2012. Duration ambiguous.</t>
  </si>
  <si>
    <t>Sample sizes: Exhibit 3.3 footnote a, p. 56 (Year 1 N: 750 C, 5,239 T). Demographics: Exhibit 2.1, p. 29, 1990 column (CRIS-E sample N=4,674). Note: impact sample (5,989) and CRIS-E sample (4,674) differ slightly. Randomization period inferred as January-December 1990 from cohort label (text confirms cohorts are defined by year of demonstration entry; Ch. 2, p. 27).</t>
  </si>
  <si>
    <t>Year 1: Exhibit 3.3, p. 56, 1990 columns rows for Percent Ever Employed (47.5/-1.4/-3.1) and Average Total Earnings ($2,322/-$319**/-13.7). Year 2: same rows (49.1/-3.3*/-6.7 and $3,421/-$482**/-14.1).</t>
  </si>
  <si>
    <t>Regression-adjusted ITT (OLS for earnings, logistic for employment), assignment to JOBS or Work Choice treatment group.</t>
  </si>
  <si>
    <t>Year 1 = short-term (CKW). Year 2 = medium-term. No 3+ year follow-up for these cohorts.</t>
  </si>
  <si>
    <t>SEs not reported by source; only stars (* 10%, ** 5%, *** 1%).</t>
  </si>
  <si>
    <t>No cost data extracted; companion report not part of this PDF.</t>
  </si>
  <si>
    <t>Race only reported as White/Non-White, not separate Black/Hispanic. Years of education unavailable due to CRIS-E system conversion. Year 2 N decline due to outmigration noted in Exhibit 3.3 footnote a. Cohort composition (predominantly new/re-opened ADC cases) is the proposed explanation for negative impacts.</t>
  </si>
  <si>
    <t>Sample sizes: Exhibit 3.3 footnote b, p. 56 (2,197 C, 9,529 T). Demographics: Exhibit 2.1, p. 29, 1991 column (CRIS-E sample N=12,976). Randomization period inferred as January-December 1991 from cohort label; Franklin County's large ADC-R caseload entered the demonstration in January 1991 (Ch. 2, p. 27).</t>
  </si>
  <si>
    <t>Year 1 only: Exhibit 3.3, p. 56, 1991 columns rows for Percent Ever Employed (43.3/2.1**/4.8) and Average Total Earnings ($2,066/-$95/-4.6).</t>
  </si>
  <si>
    <t>Only 1 year of follow-up available. Race only reported as White/Non-White. Years of education unavailable due to CRIS-E. 1991 cohort demographics very different from 1989 (e.g., 81.1% female vs. 62.1%) due to Franklin County influx.</t>
  </si>
  <si>
    <t>Sample sizes: Exhibit 4.3 footnote a, p. 81 (451 C, 653 T). Demographics: Exhibit 2.5, p. 41, July 1989-March 1990 column (CRIS-E sample N=1,344). Note: the CRIS-E demographic sample is slightly larger than the impact sample (1,104). Randomization period July 1989-December 1989 from cohort label and report's Ch. 2 description.</t>
  </si>
  <si>
    <t>Year 1: Exhibit 4.3, p. 81 (Control 32.6, Impact +3.2 ns, relative +9.8; Control $992, Impact -$192*, relative -19.4).</t>
  </si>
  <si>
    <t>Last quarter of Year 1 follow-up is partially contaminated by April 1990 control-group access to extended benefits (Ch. 4 text, p. 80). No Year 2 impacts due to full contamination thereafter. Race only as White/Non-White.</t>
  </si>
  <si>
    <t>Column #</t>
  </si>
  <si>
    <t>Column Name</t>
  </si>
  <si>
    <t>Type</t>
  </si>
  <si>
    <t>Description</t>
  </si>
  <si>
    <t>Section</t>
  </si>
  <si>
    <t>A. Identifiers &amp; Description</t>
  </si>
  <si>
    <t>text</t>
  </si>
  <si>
    <t>Umbrella project name</t>
  </si>
  <si>
    <t>Pre-randomization experiment unit: site, target-group, or both</t>
  </si>
  <si>
    <t>Direct quote or close paraphrase from source describing treatment</t>
  </si>
  <si>
    <t>'primary' if training/classroom is core service; 'secondary' if ancillary</t>
  </si>
  <si>
    <t>B. Intervention Classification</t>
  </si>
  <si>
    <t>binary 0/1</t>
  </si>
  <si>
    <t>Formal classroom instruction: vocational, GED, basic ed, ESL, college</t>
  </si>
  <si>
    <t>On-the-job training, apprenticeships, structured work experience</t>
  </si>
  <si>
    <t>Job search assistance, job clubs, counseling, placement services</t>
  </si>
  <si>
    <t>1 if bundles more than one of above or includes other substantial components</t>
  </si>
  <si>
    <t>Free text describing major components not captured above</t>
  </si>
  <si>
    <t>C. Design &amp; Setting</t>
  </si>
  <si>
    <t>'mandatory' or 'voluntary'</t>
  </si>
  <si>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</si>
  <si>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</si>
  <si>
    <t>Start and end dates of randomization intake</t>
  </si>
  <si>
    <t>D. Sample Characteristics</t>
  </si>
  <si>
    <t>number</t>
  </si>
  <si>
    <t>Numeric midpoint of randomization period (e.g., 1977.67)</t>
  </si>
  <si>
    <t>Who the program targets</t>
  </si>
  <si>
    <t>Mean age at baseline</t>
  </si>
  <si>
    <t>Percent male (0-100)</t>
  </si>
  <si>
    <t>Percent white (0-100)</t>
  </si>
  <si>
    <t>Percent Black (0-100)</t>
  </si>
  <si>
    <t>Percent Hispanic (0-100)</t>
  </si>
  <si>
    <t>Percent without HS diploma or GED (0-100)</t>
  </si>
  <si>
    <t>22</t>
  </si>
  <si>
    <t>Mean years of schooling at baseline (estimated from education distributions when exact mean not reported)</t>
  </si>
  <si>
    <t>23</t>
  </si>
  <si>
    <t>Information about who among eligibles actually enrolls</t>
  </si>
  <si>
    <t>E. Data Quality &amp; Sample Size</t>
  </si>
  <si>
    <t>24</t>
  </si>
  <si>
    <t>Acceptance/enrollment rate among eligibles (0-1)</t>
  </si>
  <si>
    <t>25</t>
  </si>
  <si>
    <t>integer</t>
  </si>
  <si>
    <t>N randomized to treatment</t>
  </si>
  <si>
    <t>26</t>
  </si>
  <si>
    <t>N randomized to control</t>
  </si>
  <si>
    <t>Control group survey response rate at short-term follow-up (0-1)</t>
  </si>
  <si>
    <t>Treatment group survey response rate at short-term follow-up (0-1)</t>
  </si>
  <si>
    <t>Overall survey response rate at short-term follow-up (0-1)</t>
  </si>
  <si>
    <t>Control group survey response rate at medium-term follow-up (0-1)</t>
  </si>
  <si>
    <t>Treatment group survey response rate at medium-term follow-up (0-1)</t>
  </si>
  <si>
    <t>Overall survey response rate at medium-term follow-up (0-1)</t>
  </si>
  <si>
    <t>Control group survey response rate at long-term follow-up (0-1)</t>
  </si>
  <si>
    <t>Treatment group survey response rate at long-term follow-up (0-1)</t>
  </si>
  <si>
    <t>Overall survey response rate at long-term follow-up (0-1)</t>
  </si>
  <si>
    <t>F. Impacts — Short-term (~1 year)</t>
  </si>
  <si>
    <t>'self-report (survey)', 'UI wage records', 'SSA earnings records', 'NDNH', etc.</t>
  </si>
  <si>
    <t>Length of ST follow-up window in years</t>
  </si>
  <si>
    <t>Impact on employment (percentage-point change)</t>
  </si>
  <si>
    <t>SE of employment impact</t>
  </si>
  <si>
    <t>Significance: *, **, ***, or blank</t>
  </si>
  <si>
    <t>Control group employment rate (percent)</t>
  </si>
  <si>
    <t>Impact on earnings (dollars)</t>
  </si>
  <si>
    <t>SE of earnings impact</t>
  </si>
  <si>
    <t>Significance level</t>
  </si>
  <si>
    <t>Control group earnings (dollars)</t>
  </si>
  <si>
    <t>G. Impacts — Medium-term (~2 years)</t>
  </si>
  <si>
    <t>'weekly', 'monthly', 'quarterly', 'annual', 'cumulative over X quarters', etc.</t>
  </si>
  <si>
    <t>Length of MT follow-up window in years</t>
  </si>
  <si>
    <t>H. Impacts — Long-term (~3+ years)</t>
  </si>
  <si>
    <t>Cadence of earnings measure</t>
  </si>
  <si>
    <t>Length of LT follow-up window in years</t>
  </si>
  <si>
    <t>I. Cost &amp; Sources</t>
  </si>
  <si>
    <t>Cost per treated subject (note dollar-year in notes)</t>
  </si>
  <si>
    <t>Full citation(s) with specific table/page references</t>
  </si>
  <si>
    <t>Judgment calls, caveats, anything not captured above</t>
  </si>
  <si>
    <t>J. Classification Dummies (v8-v9)</t>
  </si>
  <si>
    <t>J. Classification Dummies</t>
  </si>
  <si>
    <t>1 if the primary source is a peer-reviewed academic journal article; 0 otherwise</t>
  </si>
  <si>
    <t>1 if the treatment is a sector program (sector-focused training by CBO with employer engagement, targeting specific industry); 0 otherwise</t>
  </si>
  <si>
    <t>1 if the lead agency is a community-based organization (private nonprofit). Following Peck et al. 2021 coding.</t>
  </si>
  <si>
    <t>1 if a staffing agency is a program partner. Following Peck et al. 2021 coding.</t>
  </si>
  <si>
    <t>1 if employers were engaged with program curricula (e.g., input on course content, alignment with employer needs). Following Peck et al. 2021 coding.</t>
  </si>
  <si>
    <t>1 if the program had dedicated job development or placement staff/services. Following Peck et al. 2021 coding.</t>
  </si>
  <si>
    <t>1 if employers had a formal role in curriculum design. Following Peck et al. 2021 coding.</t>
  </si>
  <si>
    <t>1 if employers made commitments to hire program completers. Following Peck et al. 2021 coding.</t>
  </si>
  <si>
    <t>Reasoning Table additions (v9)</t>
  </si>
  <si>
    <t>13</t>
  </si>
  <si>
    <t>Basis for CBO lead coding. For Peck et al. 2021 studies, cites Peck dataset. For others, based on primary source descriptions.</t>
  </si>
  <si>
    <t>14</t>
  </si>
  <si>
    <t>Basis for staffing agency partner coding.</t>
  </si>
  <si>
    <t>15</t>
  </si>
  <si>
    <t>Basis for employer curricula engagement coding.</t>
  </si>
  <si>
    <t>16</t>
  </si>
  <si>
    <t>Basis for job development coding.</t>
  </si>
  <si>
    <t>17</t>
  </si>
  <si>
    <t>Basis for employer curriculum role coding.</t>
  </si>
  <si>
    <t>18</t>
  </si>
  <si>
    <t>Basis for employer hire commitment coding.</t>
  </si>
  <si>
    <t>19</t>
  </si>
  <si>
    <t>Basis for funding coding: identifies primary funding sources for program administration.</t>
  </si>
  <si>
    <t>20</t>
  </si>
  <si>
    <t>Basis for admin coding: identifies who runs the program day-to-day at the site level.</t>
  </si>
  <si>
    <t>First-Stage Outcomes</t>
  </si>
  <si>
    <t>Impact on participation rate in the evaluated program (treatment rate minus control rate, in percentage points). E.g., if 96% of T and 3% of C enrolled in the program, the impact is +93 pp.</t>
  </si>
  <si>
    <t>Control group's participation rate in the evaluated program (percent, 0-100). Captures crossover/contamination.</t>
  </si>
  <si>
    <t>Impact on receipt of education or training services from any source (treatment rate minus control rate, in percentage points). Measures the net effect of assignment on total training receipt, capturing both program take-up and substitution from other providers.</t>
  </si>
  <si>
    <t>Control group's rate of receiving education or training from any source (percent, 0-100). Captures the counterfactual level of training the control group obtained on its 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</si>
</sst>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FFFF"/>
      <name val="Aptos Narrow"/>
      <family val="2"/>
    </font>
    <font>
      <sz val="11"/>
      <name val="Aptos Narrow"/>
      <family val="2"/>
    </font>
    <font>
      <b/>
      <sz val="11"/>
      <name val="Calibri"/>
      <family val="2"/>
    </font>
    <font>
      <b/>
      <sz val="12"/>
      <name val="Calibri"/>
      <family val="2"/>
    </font>
    <font>
      <b/>
      <sz val="11"/>
      <color rgb="FFFFFFFF"/>
      <name val="Calibri"/>
      <family val="2"/>
    </font>
    <font>
      <b/>
      <sz val="11"/>
      <name val="Calibri"/>
      <family val="2"/>
    </font>
    <font>
      <b/>
      <sz val="11"/>
      <name val="Calibri"/>
      <family val="2"/>
    </font>
    <font>
      <b/>
      <sz val="11"/>
      <color theme="1"/>
      <name val="Calibri"/>
      <family val="2"/>
      <scheme val="minor"/>
    </font>
    <font>
      <sz val="11"/>
      <color rgb="FFFFFFFF"/>
      <name val="Aptos Narrow"/>
      <family val="2"/>
    </font>
    <font>
      <sz val="11"/>
      <name val="Calibri"/>
      <family val="2"/>
    </font>
  </fonts>
  <fills count="5">
    <fill>
      <patternFill patternType="none"/>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vertical="top" wrapText="1"/>
    </xf>
    <xf numFmtId="0" fontId="2" fillId="0" borderId="1" xfId="0" applyFont="1" applyBorder="1" applyAlignment="1">
      <alignment vertical="top" wrapText="1"/>
    </xf>
    <xf numFmtId="0" fontId="3" fillId="0" borderId="0" xfId="0" applyFont="1" applyAlignment="1">
      <alignment vertical="top" wrapText="1"/>
    </xf>
    <xf numFmtId="0" fontId="0" fillId="0" borderId="2" xfId="0" applyBorder="1" applyAlignment="1">
      <alignment horizontal="center" vertical="top"/>
    </xf>
    <xf numFmtId="0" fontId="6" fillId="0" borderId="2" xfId="0" applyFont="1" applyBorder="1" applyAlignment="1">
      <alignment vertical="top" wrapText="1"/>
    </xf>
    <xf numFmtId="0" fontId="0" fillId="0" borderId="2" xfId="0" applyBorder="1" applyAlignment="1">
      <alignment vertical="top" wrapText="1"/>
    </xf>
    <xf numFmtId="0" fontId="5" fillId="3" borderId="0" xfId="0" applyFont="1" applyFill="1"/>
    <xf numFmtId="0" fontId="4" fillId="0" borderId="0" xfId="0" applyFont="1"/>
    <xf numFmtId="0" fontId="7" fillId="0" borderId="0" xfId="0" applyFont="1"/>
    <xf numFmtId="0" fontId="7" fillId="0" borderId="2" xfId="0" applyFont="1" applyBorder="1" applyAlignment="1">
      <alignment horizontal="center" vertical="top"/>
    </xf>
    <xf numFmtId="0" fontId="7" fillId="3" borderId="0" xfId="0" applyFont="1" applyFill="1"/>
    <xf numFmtId="0" fontId="8" fillId="4" borderId="0" xfId="0" applyFont="1" applyFill="1"/>
    <xf numFmtId="0" fontId="2" fillId="0" borderId="0" xfId="0" applyFont="1" applyAlignment="1">
      <alignment vertical="top" wrapText="1"/>
    </xf>
    <xf numFmtId="0" fontId="9" fillId="2" borderId="1" xfId="0" applyFont="1" applyFill="1" applyBorder="1" applyAlignment="1">
      <alignment vertical="top" wrapText="1"/>
    </xf>
    <xf numFmtId="0" fontId="0" fillId="0" borderId="0" xfId="0" applyAlignment="1">
      <alignment wrapText="1"/>
    </xf>
    <xf numFmtId="0" fontId="10" fillId="0" borderId="0" xfId="0" applyFont="1" applyAlignment="1">
      <alignment wrapText="1"/>
    </xf>
    <xf numFmtId="0" fontId="2" fillId="0" borderId="3"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48"/>
  <sheetViews>
    <sheetView tabSelected="1" zoomScaleNormal="100" workbookViewId="0">
      <pane xSplit="2" ySplit="1" topLeftCell="M23" activePane="bottomRight" state="frozen"/>
      <selection pane="topRight" activeCell="C1" sqref="C1"/>
      <selection pane="bottomLeft" activeCell="A2" sqref="A2"/>
      <selection pane="bottomRight" activeCell="R128" sqref="R128"/>
    </sheetView>
  </sheetViews>
  <sheetFormatPr defaultRowHeight="44.1" customHeight="1" x14ac:dyDescent="0.55000000000000004"/>
  <cols>
    <col min="1" max="3" width="25" customWidth="1"/>
    <col min="4" max="4" width="50" customWidth="1"/>
    <col min="5" max="6" width="12" customWidth="1"/>
    <col min="7" max="8" width="10" customWidth="1"/>
    <col min="9" max="9" width="18" customWidth="1"/>
    <col min="10" max="10" width="30" customWidth="1"/>
    <col min="11" max="13" width="18" customWidth="1"/>
    <col min="14" max="14" width="25" customWidth="1"/>
    <col min="15" max="15" width="10.9453125" customWidth="1"/>
    <col min="16" max="19" width="10" customWidth="1"/>
    <col min="20" max="20" width="12" customWidth="1"/>
    <col min="21" max="21" width="15" customWidth="1"/>
    <col min="22" max="22" width="15.15625" customWidth="1"/>
    <col min="23" max="23" width="14" customWidth="1"/>
    <col min="24" max="25" width="12" customWidth="1"/>
    <col min="26" max="26" width="18" customWidth="1"/>
    <col min="27" max="27" width="25" customWidth="1"/>
    <col min="28" max="28" width="14" customWidth="1"/>
    <col min="29" max="29" width="12" customWidth="1"/>
    <col min="30" max="31" width="10" customWidth="1"/>
    <col min="32" max="32" width="16" customWidth="1"/>
    <col min="33" max="33" width="12" customWidth="1"/>
    <col min="34" max="35" width="10" customWidth="1"/>
    <col min="36" max="36" width="16" customWidth="1"/>
    <col min="37" max="37" width="30" customWidth="1"/>
    <col min="38" max="38" width="14" customWidth="1"/>
    <col min="39" max="39" width="12" customWidth="1"/>
    <col min="40" max="41" width="10" customWidth="1"/>
    <col min="42" max="42" width="16" customWidth="1"/>
    <col min="43" max="43" width="12" customWidth="1"/>
    <col min="44" max="45" width="10" customWidth="1"/>
    <col min="46" max="46" width="16" customWidth="1"/>
    <col min="47" max="47" width="30" customWidth="1"/>
    <col min="48" max="48" width="14" customWidth="1"/>
    <col min="49" max="49" width="12" customWidth="1"/>
    <col min="50" max="51" width="10" customWidth="1"/>
    <col min="52" max="52" width="16" customWidth="1"/>
    <col min="53" max="53" width="12" customWidth="1"/>
    <col min="54" max="55" width="10" customWidth="1"/>
    <col min="56" max="56" width="16" customWidth="1"/>
    <col min="57" max="57" width="30" customWidth="1"/>
    <col min="58" max="58" width="14" customWidth="1"/>
    <col min="59" max="59" width="12.47265625" customWidth="1"/>
    <col min="60" max="60" width="9.47265625" customWidth="1"/>
  </cols>
  <sheetData>
    <row r="1" spans="1:87" s="15" customFormat="1" ht="28.5" customHeight="1" x14ac:dyDescent="0.55000000000000004">
      <c r="A1" s="14" t="s">
        <v>0</v>
      </c>
      <c r="B1" s="14" t="s">
        <v>1</v>
      </c>
      <c r="C1" s="14" t="s">
        <v>2</v>
      </c>
      <c r="D1" s="14" t="s">
        <v>3</v>
      </c>
      <c r="E1" s="14" t="s">
        <v>4</v>
      </c>
      <c r="F1" s="14" t="s">
        <v>5</v>
      </c>
      <c r="G1" s="14" t="s">
        <v>6</v>
      </c>
      <c r="H1" s="14" t="s">
        <v>7</v>
      </c>
      <c r="I1" s="14" t="s">
        <v>8</v>
      </c>
      <c r="J1" s="14" t="s">
        <v>9</v>
      </c>
      <c r="K1" s="14" t="s">
        <v>10</v>
      </c>
      <c r="L1" s="14" t="s">
        <v>11</v>
      </c>
      <c r="M1" s="14" t="s">
        <v>12</v>
      </c>
      <c r="N1" s="14" t="s">
        <v>13</v>
      </c>
      <c r="O1" s="15" t="s">
        <v>14</v>
      </c>
      <c r="P1" s="14" t="s">
        <v>15</v>
      </c>
      <c r="Q1" s="14" t="s">
        <v>16</v>
      </c>
      <c r="R1" s="14" t="s">
        <v>17</v>
      </c>
      <c r="S1" s="14" t="s">
        <v>18</v>
      </c>
      <c r="T1" s="14" t="s">
        <v>19</v>
      </c>
      <c r="U1" s="14" t="s">
        <v>20</v>
      </c>
      <c r="V1" s="14" t="s">
        <v>21</v>
      </c>
      <c r="W1" s="14" t="s">
        <v>22</v>
      </c>
      <c r="X1" s="14" t="s">
        <v>23</v>
      </c>
      <c r="Y1" s="14" t="s">
        <v>24</v>
      </c>
      <c r="Z1" s="14" t="s">
        <v>25</v>
      </c>
      <c r="AA1" s="14" t="s">
        <v>26</v>
      </c>
      <c r="AB1" s="14" t="s">
        <v>27</v>
      </c>
      <c r="AC1" s="14" t="s">
        <v>28</v>
      </c>
      <c r="AD1" s="14" t="s">
        <v>29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14"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5" t="s">
        <v>61</v>
      </c>
      <c r="BK1" s="15" t="s">
        <v>62</v>
      </c>
      <c r="BL1" s="16" t="s">
        <v>63</v>
      </c>
      <c r="BM1" s="16" t="s">
        <v>64</v>
      </c>
      <c r="BN1" s="16" t="s">
        <v>65</v>
      </c>
      <c r="BO1" s="16" t="s">
        <v>66</v>
      </c>
      <c r="BP1" s="16" t="s">
        <v>67</v>
      </c>
      <c r="BQ1" s="16" t="s">
        <v>68</v>
      </c>
      <c r="BR1" s="16" t="s">
        <v>69</v>
      </c>
      <c r="BS1" t="s">
        <v>70</v>
      </c>
      <c r="BT1" t="s">
        <v>71</v>
      </c>
      <c r="BU1" s="16" t="s">
        <v>72</v>
      </c>
      <c r="BV1" s="15" t="s">
        <v>73</v>
      </c>
      <c r="BW1" s="15" t="s">
        <v>74</v>
      </c>
      <c r="BX1" s="15" t="s">
        <v>75</v>
      </c>
      <c r="BY1" s="15" t="s">
        <v>76</v>
      </c>
      <c r="BZ1" s="15" t="s">
        <v>77</v>
      </c>
      <c r="CA1" t="s">
        <v>78</v>
      </c>
      <c r="CB1" t="s">
        <v>79</v>
      </c>
      <c r="CC1" t="s">
        <v>80</v>
      </c>
      <c r="CD1" t="s">
        <v>81</v>
      </c>
      <c r="CE1" t="s">
        <v>82</v>
      </c>
      <c r="CF1" t="s">
        <v>83</v>
      </c>
      <c r="CG1" t="s">
        <v>84</v>
      </c>
      <c r="CH1" t="s">
        <v>85</v>
      </c>
      <c r="CI1" t="s">
        <v>86</v>
      </c>
    </row>
    <row r="2" spans="1:87" ht="44.1" customHeight="1" x14ac:dyDescent="0.55000000000000004">
      <c r="A2" s="2" t="s">
        <v>87</v>
      </c>
      <c r="B2" s="2" t="s">
        <v>88</v>
      </c>
      <c r="C2" s="2" t="s">
        <v>89</v>
      </c>
      <c r="D2" s="2" t="s">
        <v>90</v>
      </c>
      <c r="E2" s="2" t="s">
        <v>91</v>
      </c>
      <c r="F2" s="2">
        <v>0</v>
      </c>
      <c r="G2" s="2">
        <v>1</v>
      </c>
      <c r="H2" s="2">
        <v>1</v>
      </c>
      <c r="I2" s="2">
        <v>1</v>
      </c>
      <c r="J2" s="2" t="s">
        <v>92</v>
      </c>
      <c r="K2" s="2" t="s">
        <v>93</v>
      </c>
      <c r="L2" s="2" t="s">
        <v>94</v>
      </c>
      <c r="M2" s="2" t="s">
        <v>95</v>
      </c>
      <c r="N2" s="2" t="s">
        <v>96</v>
      </c>
      <c r="O2">
        <v>1977.6669999999999</v>
      </c>
      <c r="P2" s="2" t="s">
        <v>97</v>
      </c>
      <c r="Q2" s="2">
        <v>33.6</v>
      </c>
      <c r="R2" s="2">
        <v>0</v>
      </c>
      <c r="S2" s="2">
        <v>4.5999999999999996</v>
      </c>
      <c r="T2" s="2">
        <v>83</v>
      </c>
      <c r="U2" s="2">
        <v>12.1</v>
      </c>
      <c r="V2" s="2">
        <v>69.599999999999994</v>
      </c>
      <c r="W2" s="2">
        <v>10.3</v>
      </c>
      <c r="X2" s="2" t="s">
        <v>98</v>
      </c>
      <c r="Y2" s="2"/>
      <c r="Z2" s="2">
        <v>804</v>
      </c>
      <c r="AA2" s="2">
        <v>816</v>
      </c>
      <c r="AB2" s="2"/>
      <c r="AC2" s="2"/>
      <c r="AD2" s="2">
        <v>0.84099999999999997</v>
      </c>
      <c r="AE2" s="2"/>
      <c r="AF2" s="2"/>
      <c r="AG2" s="2">
        <f>(0.81+0.77)/2</f>
        <v>0.79</v>
      </c>
      <c r="AH2" s="2"/>
      <c r="AI2" s="2"/>
      <c r="AJ2" s="2"/>
      <c r="AK2" s="2" t="s">
        <v>99</v>
      </c>
      <c r="AL2" s="2">
        <v>1.25</v>
      </c>
      <c r="AM2" s="2">
        <v>37.1</v>
      </c>
      <c r="AN2" s="2"/>
      <c r="AO2" s="2" t="s">
        <v>100</v>
      </c>
      <c r="AP2" s="2">
        <v>39.4</v>
      </c>
      <c r="AQ2" s="2">
        <v>142.97999999999999</v>
      </c>
      <c r="AR2" s="2"/>
      <c r="AS2" s="2" t="s">
        <v>100</v>
      </c>
      <c r="AT2" s="2">
        <v>131.08000000000001</v>
      </c>
      <c r="AU2" s="2" t="s">
        <v>101</v>
      </c>
      <c r="AV2" s="2">
        <v>1.9</v>
      </c>
      <c r="AW2" s="2">
        <v>8.5</v>
      </c>
      <c r="AX2" s="2"/>
      <c r="AY2" s="2" t="s">
        <v>100</v>
      </c>
      <c r="AZ2" s="2">
        <v>40.6</v>
      </c>
      <c r="BA2" s="2">
        <v>77.010000000000005</v>
      </c>
      <c r="BB2" s="2"/>
      <c r="BC2" s="2" t="s">
        <v>100</v>
      </c>
      <c r="BD2" s="2">
        <v>165.88</v>
      </c>
      <c r="BE2" s="2" t="s">
        <v>102</v>
      </c>
      <c r="BF2" s="2"/>
      <c r="BG2" s="2"/>
      <c r="BH2" s="2"/>
      <c r="BI2" s="2"/>
      <c r="BP2" t="s">
        <v>103</v>
      </c>
      <c r="BQ2" t="s">
        <v>104</v>
      </c>
      <c r="BR2">
        <v>8139</v>
      </c>
      <c r="BS2">
        <v>15132</v>
      </c>
      <c r="BT2" t="s">
        <v>105</v>
      </c>
      <c r="BU2" t="s">
        <v>106</v>
      </c>
      <c r="BV2" t="s">
        <v>107</v>
      </c>
      <c r="BW2">
        <v>0</v>
      </c>
      <c r="BX2">
        <v>0</v>
      </c>
      <c r="BY2">
        <v>0</v>
      </c>
      <c r="BZ2">
        <v>0</v>
      </c>
      <c r="CA2">
        <v>0</v>
      </c>
      <c r="CB2">
        <v>0</v>
      </c>
      <c r="CC2">
        <v>0</v>
      </c>
      <c r="CD2">
        <v>0</v>
      </c>
      <c r="CE2">
        <v>89.8</v>
      </c>
      <c r="CF2">
        <v>0</v>
      </c>
      <c r="CI2">
        <v>9.5</v>
      </c>
    </row>
    <row r="3" spans="1:87" ht="44.1" customHeight="1" x14ac:dyDescent="0.55000000000000004">
      <c r="A3" s="2" t="s">
        <v>87</v>
      </c>
      <c r="B3" s="2" t="s">
        <v>108</v>
      </c>
      <c r="C3" s="2" t="s">
        <v>109</v>
      </c>
      <c r="D3" s="2" t="s">
        <v>90</v>
      </c>
      <c r="E3" s="2" t="s">
        <v>91</v>
      </c>
      <c r="F3" s="2">
        <v>0</v>
      </c>
      <c r="G3" s="2">
        <v>1</v>
      </c>
      <c r="H3" s="2">
        <v>1</v>
      </c>
      <c r="I3" s="2">
        <v>1</v>
      </c>
      <c r="J3" s="2" t="s">
        <v>92</v>
      </c>
      <c r="K3" s="2" t="s">
        <v>93</v>
      </c>
      <c r="L3" s="2" t="s">
        <v>94</v>
      </c>
      <c r="M3" s="2" t="s">
        <v>95</v>
      </c>
      <c r="N3" s="2" t="s">
        <v>96</v>
      </c>
      <c r="O3">
        <v>1977.6669999999999</v>
      </c>
      <c r="P3" s="2" t="s">
        <v>110</v>
      </c>
      <c r="Q3" s="2">
        <v>27.8</v>
      </c>
      <c r="R3" s="2">
        <v>80.099999999999994</v>
      </c>
      <c r="S3" s="2">
        <v>13.8</v>
      </c>
      <c r="T3" s="2">
        <v>77.7</v>
      </c>
      <c r="U3" s="2">
        <v>8.1999999999999993</v>
      </c>
      <c r="V3" s="2">
        <v>71.5</v>
      </c>
      <c r="W3" s="2">
        <v>10.6</v>
      </c>
      <c r="X3" s="2" t="s">
        <v>111</v>
      </c>
      <c r="Y3" s="2"/>
      <c r="Z3" s="2">
        <v>726</v>
      </c>
      <c r="AA3" s="2">
        <v>707</v>
      </c>
      <c r="AB3" s="2"/>
      <c r="AC3" s="2"/>
      <c r="AD3" s="2">
        <v>0.68899999999999995</v>
      </c>
      <c r="AE3" s="2"/>
      <c r="AF3" s="2"/>
      <c r="AG3" s="2">
        <v>0.72499999999999998</v>
      </c>
      <c r="AH3" s="2"/>
      <c r="AI3" s="2"/>
      <c r="AJ3" s="2">
        <f>(0.7+0.75)/2</f>
        <v>0.72499999999999998</v>
      </c>
      <c r="AK3" s="2" t="s">
        <v>99</v>
      </c>
      <c r="AL3" s="2">
        <v>1.25</v>
      </c>
      <c r="AM3" s="2">
        <v>10.8</v>
      </c>
      <c r="AN3" s="2"/>
      <c r="AO3" s="2" t="s">
        <v>100</v>
      </c>
      <c r="AP3" s="2">
        <v>53.1</v>
      </c>
      <c r="AQ3" s="2">
        <v>39.200000000000003</v>
      </c>
      <c r="AR3" s="2"/>
      <c r="AS3" s="2" t="s">
        <v>112</v>
      </c>
      <c r="AT3" s="2">
        <v>220.42</v>
      </c>
      <c r="AU3" s="2" t="s">
        <v>101</v>
      </c>
      <c r="AV3" s="2">
        <v>1.9</v>
      </c>
      <c r="AW3" s="2">
        <v>3.5</v>
      </c>
      <c r="AX3" s="2"/>
      <c r="AY3" s="2"/>
      <c r="AZ3" s="2">
        <v>53</v>
      </c>
      <c r="BA3" s="2">
        <v>16.420000000000002</v>
      </c>
      <c r="BB3" s="2"/>
      <c r="BC3" s="2"/>
      <c r="BD3" s="2">
        <v>261.33</v>
      </c>
      <c r="BE3" s="2" t="s">
        <v>102</v>
      </c>
      <c r="BF3" s="2">
        <v>2.7</v>
      </c>
      <c r="BG3" s="2">
        <v>10.1</v>
      </c>
      <c r="BH3" s="2"/>
      <c r="BI3" s="2" t="s">
        <v>112</v>
      </c>
      <c r="BJ3">
        <v>53.9</v>
      </c>
      <c r="BK3">
        <v>101.73</v>
      </c>
      <c r="BM3" t="s">
        <v>100</v>
      </c>
      <c r="BN3">
        <v>224.36</v>
      </c>
      <c r="BO3" t="s">
        <v>113</v>
      </c>
      <c r="BP3" t="s">
        <v>114</v>
      </c>
      <c r="BQ3" t="s">
        <v>115</v>
      </c>
      <c r="BR3">
        <v>5740</v>
      </c>
      <c r="BS3">
        <v>9563</v>
      </c>
      <c r="BT3" t="s">
        <v>116</v>
      </c>
      <c r="BU3" t="s">
        <v>106</v>
      </c>
      <c r="BV3" t="s">
        <v>107</v>
      </c>
      <c r="BW3">
        <v>0</v>
      </c>
      <c r="BX3">
        <v>0</v>
      </c>
      <c r="BY3">
        <v>0</v>
      </c>
      <c r="BZ3">
        <v>0</v>
      </c>
      <c r="CA3">
        <v>0</v>
      </c>
      <c r="CB3">
        <v>0</v>
      </c>
      <c r="CC3">
        <v>0</v>
      </c>
      <c r="CD3">
        <v>0</v>
      </c>
      <c r="CE3">
        <v>83.9</v>
      </c>
      <c r="CF3">
        <v>0</v>
      </c>
      <c r="CI3">
        <v>6.8</v>
      </c>
    </row>
    <row r="4" spans="1:87" ht="44.1" customHeight="1" x14ac:dyDescent="0.55000000000000004">
      <c r="A4" s="2" t="s">
        <v>87</v>
      </c>
      <c r="B4" s="2" t="s">
        <v>117</v>
      </c>
      <c r="C4" s="2" t="s">
        <v>118</v>
      </c>
      <c r="D4" s="2" t="s">
        <v>90</v>
      </c>
      <c r="E4" s="2" t="s">
        <v>91</v>
      </c>
      <c r="F4" s="2">
        <v>0</v>
      </c>
      <c r="G4" s="2">
        <v>1</v>
      </c>
      <c r="H4" s="2">
        <v>1</v>
      </c>
      <c r="I4" s="2">
        <v>1</v>
      </c>
      <c r="J4" s="2" t="s">
        <v>92</v>
      </c>
      <c r="K4" s="2" t="s">
        <v>93</v>
      </c>
      <c r="L4" s="2" t="s">
        <v>94</v>
      </c>
      <c r="M4" s="2" t="s">
        <v>95</v>
      </c>
      <c r="N4" s="2" t="s">
        <v>96</v>
      </c>
      <c r="O4">
        <v>1977.6669999999999</v>
      </c>
      <c r="P4" s="2" t="s">
        <v>119</v>
      </c>
      <c r="Q4" s="2">
        <v>25.3</v>
      </c>
      <c r="R4" s="2">
        <v>94.3</v>
      </c>
      <c r="S4" s="2">
        <v>7.4</v>
      </c>
      <c r="T4" s="2">
        <v>83.6</v>
      </c>
      <c r="U4" s="2">
        <v>8.8000000000000007</v>
      </c>
      <c r="V4" s="2">
        <v>73.3</v>
      </c>
      <c r="W4" s="2">
        <v>10.4</v>
      </c>
      <c r="X4" s="2" t="s">
        <v>120</v>
      </c>
      <c r="Y4" s="2"/>
      <c r="Z4" s="2">
        <v>1117</v>
      </c>
      <c r="AA4" s="2">
        <v>1194</v>
      </c>
      <c r="AB4" s="2"/>
      <c r="AC4" s="2"/>
      <c r="AD4" s="2">
        <v>0.66600000000000004</v>
      </c>
      <c r="AE4" s="2"/>
      <c r="AF4" s="2"/>
      <c r="AG4" s="2">
        <v>0.629</v>
      </c>
      <c r="AH4" s="2"/>
      <c r="AI4" s="2"/>
      <c r="AJ4" s="2">
        <f>(0.64+0.62)/2</f>
        <v>0.63</v>
      </c>
      <c r="AK4" s="2" t="s">
        <v>99</v>
      </c>
      <c r="AL4" s="2">
        <v>1.25</v>
      </c>
      <c r="AM4" s="2">
        <v>6.8</v>
      </c>
      <c r="AN4" s="2"/>
      <c r="AO4" s="2" t="s">
        <v>100</v>
      </c>
      <c r="AP4" s="2">
        <v>59.2</v>
      </c>
      <c r="AQ4" s="2">
        <v>25.16</v>
      </c>
      <c r="AR4" s="2"/>
      <c r="AS4" s="2"/>
      <c r="AT4" s="2">
        <v>260.83</v>
      </c>
      <c r="AU4" s="2" t="s">
        <v>101</v>
      </c>
      <c r="AV4" s="2">
        <v>1.9</v>
      </c>
      <c r="AW4" s="2">
        <v>3.2</v>
      </c>
      <c r="AX4" s="2"/>
      <c r="AY4" s="2"/>
      <c r="AZ4" s="2">
        <v>53.3</v>
      </c>
      <c r="BA4" s="2">
        <v>14.99</v>
      </c>
      <c r="BB4" s="2"/>
      <c r="BC4" s="2"/>
      <c r="BD4" s="2">
        <v>254.15</v>
      </c>
      <c r="BE4" s="2" t="s">
        <v>102</v>
      </c>
      <c r="BF4" s="2">
        <v>2.7</v>
      </c>
      <c r="BG4" s="2">
        <v>1.2</v>
      </c>
      <c r="BH4" s="2"/>
      <c r="BI4" s="2"/>
      <c r="BJ4">
        <v>57.8</v>
      </c>
      <c r="BK4">
        <v>62.6</v>
      </c>
      <c r="BN4">
        <v>304.2</v>
      </c>
      <c r="BO4" t="s">
        <v>113</v>
      </c>
      <c r="BP4" t="s">
        <v>121</v>
      </c>
      <c r="BQ4" t="s">
        <v>122</v>
      </c>
      <c r="BR4">
        <v>4455</v>
      </c>
      <c r="BT4" t="s">
        <v>123</v>
      </c>
      <c r="BU4" t="s">
        <v>106</v>
      </c>
      <c r="BV4" t="s">
        <v>107</v>
      </c>
      <c r="BW4">
        <v>0</v>
      </c>
      <c r="BX4">
        <v>0</v>
      </c>
      <c r="BY4">
        <v>0</v>
      </c>
      <c r="BZ4">
        <v>0</v>
      </c>
      <c r="CA4">
        <v>0</v>
      </c>
      <c r="CB4">
        <v>0</v>
      </c>
      <c r="CC4">
        <v>0</v>
      </c>
      <c r="CD4">
        <v>0</v>
      </c>
      <c r="CE4">
        <v>80.3</v>
      </c>
      <c r="CF4">
        <v>0</v>
      </c>
      <c r="CI4">
        <v>5.2</v>
      </c>
    </row>
    <row r="5" spans="1:87" ht="44.1" customHeight="1" x14ac:dyDescent="0.55000000000000004">
      <c r="A5" s="2" t="s">
        <v>87</v>
      </c>
      <c r="B5" s="2" t="s">
        <v>124</v>
      </c>
      <c r="C5" s="2" t="s">
        <v>125</v>
      </c>
      <c r="D5" s="2" t="s">
        <v>90</v>
      </c>
      <c r="E5" s="2" t="s">
        <v>91</v>
      </c>
      <c r="F5" s="2">
        <v>0</v>
      </c>
      <c r="G5" s="2">
        <v>1</v>
      </c>
      <c r="H5" s="2">
        <v>1</v>
      </c>
      <c r="I5" s="2">
        <v>1</v>
      </c>
      <c r="J5" s="2" t="s">
        <v>92</v>
      </c>
      <c r="K5" s="2" t="s">
        <v>93</v>
      </c>
      <c r="L5" s="2" t="s">
        <v>94</v>
      </c>
      <c r="M5" s="2" t="s">
        <v>95</v>
      </c>
      <c r="N5" s="2" t="s">
        <v>96</v>
      </c>
      <c r="O5">
        <v>1977.6669999999999</v>
      </c>
      <c r="P5" s="2" t="s">
        <v>126</v>
      </c>
      <c r="Q5" s="2">
        <v>18.3</v>
      </c>
      <c r="R5" s="2">
        <v>86.4</v>
      </c>
      <c r="S5" s="2">
        <v>5.9</v>
      </c>
      <c r="T5" s="2">
        <v>78.2</v>
      </c>
      <c r="U5" s="2">
        <v>15.6</v>
      </c>
      <c r="V5" s="2">
        <v>99.3</v>
      </c>
      <c r="W5" s="2">
        <v>9.6999999999999993</v>
      </c>
      <c r="X5" s="2" t="s">
        <v>127</v>
      </c>
      <c r="Y5" s="2"/>
      <c r="Z5" s="2">
        <v>567</v>
      </c>
      <c r="AA5" s="2">
        <v>685</v>
      </c>
      <c r="AB5" s="2"/>
      <c r="AC5" s="2"/>
      <c r="AD5" s="2">
        <v>0.73799999999999999</v>
      </c>
      <c r="AE5" s="2"/>
      <c r="AF5" s="2"/>
      <c r="AG5" s="2">
        <v>0.70399999999999996</v>
      </c>
      <c r="AH5" s="2"/>
      <c r="AI5" s="2"/>
      <c r="AJ5" s="2">
        <f>(0.73+0.68)/2</f>
        <v>0.70500000000000007</v>
      </c>
      <c r="AK5" s="2" t="s">
        <v>99</v>
      </c>
      <c r="AL5" s="2">
        <v>1.25</v>
      </c>
      <c r="AM5" s="2">
        <v>6.2</v>
      </c>
      <c r="AN5" s="2"/>
      <c r="AO5" s="2" t="s">
        <v>112</v>
      </c>
      <c r="AP5" s="2">
        <v>62.7</v>
      </c>
      <c r="AQ5" s="2">
        <v>30.71</v>
      </c>
      <c r="AR5" s="2"/>
      <c r="AS5" s="2"/>
      <c r="AT5" s="2">
        <v>205.25</v>
      </c>
      <c r="AU5" s="2" t="s">
        <v>101</v>
      </c>
      <c r="AV5" s="2">
        <v>1.9</v>
      </c>
      <c r="AW5" s="2">
        <v>0</v>
      </c>
      <c r="AX5" s="2"/>
      <c r="AY5" s="2"/>
      <c r="AZ5" s="2">
        <v>62.6</v>
      </c>
      <c r="BA5" s="2">
        <v>19.3</v>
      </c>
      <c r="BB5" s="2"/>
      <c r="BC5" s="2"/>
      <c r="BD5" s="2">
        <v>248.98</v>
      </c>
      <c r="BE5" s="2" t="s">
        <v>102</v>
      </c>
      <c r="BF5" s="2">
        <v>2.7</v>
      </c>
      <c r="BG5" s="2">
        <v>8.6999999999999993</v>
      </c>
      <c r="BH5" s="2"/>
      <c r="BI5" s="2"/>
      <c r="BJ5">
        <v>66.2</v>
      </c>
      <c r="BK5">
        <v>-41.53</v>
      </c>
      <c r="BN5">
        <v>342.58</v>
      </c>
      <c r="BO5" t="s">
        <v>113</v>
      </c>
      <c r="BP5" t="s">
        <v>128</v>
      </c>
      <c r="BQ5" t="s">
        <v>129</v>
      </c>
      <c r="BR5">
        <v>5740</v>
      </c>
      <c r="BS5">
        <v>3546</v>
      </c>
      <c r="BT5" t="s">
        <v>130</v>
      </c>
      <c r="BU5" t="s">
        <v>106</v>
      </c>
      <c r="BV5" t="s">
        <v>107</v>
      </c>
      <c r="BW5">
        <v>0</v>
      </c>
      <c r="BX5">
        <v>0</v>
      </c>
      <c r="BY5">
        <v>0</v>
      </c>
      <c r="BZ5">
        <v>0</v>
      </c>
      <c r="CA5">
        <v>0</v>
      </c>
      <c r="CB5">
        <v>0</v>
      </c>
      <c r="CC5">
        <v>0</v>
      </c>
      <c r="CD5">
        <v>0</v>
      </c>
      <c r="CE5">
        <v>75.8</v>
      </c>
      <c r="CF5">
        <v>0</v>
      </c>
      <c r="CI5">
        <v>6.8</v>
      </c>
    </row>
    <row r="6" spans="1:87" ht="44.1" customHeight="1" x14ac:dyDescent="0.55000000000000004">
      <c r="A6" s="2" t="s">
        <v>131</v>
      </c>
      <c r="B6" s="2" t="s">
        <v>132</v>
      </c>
      <c r="C6" s="2" t="s">
        <v>133</v>
      </c>
      <c r="D6" s="2" t="s">
        <v>134</v>
      </c>
      <c r="E6" s="2" t="s">
        <v>91</v>
      </c>
      <c r="F6" s="2">
        <v>1</v>
      </c>
      <c r="G6" s="2">
        <v>1</v>
      </c>
      <c r="H6" s="2">
        <v>1</v>
      </c>
      <c r="I6" s="2">
        <v>1</v>
      </c>
      <c r="J6" s="2" t="s">
        <v>135</v>
      </c>
      <c r="K6" s="2" t="s">
        <v>93</v>
      </c>
      <c r="L6" s="2" t="s">
        <v>94</v>
      </c>
      <c r="M6" s="2" t="s">
        <v>136</v>
      </c>
      <c r="N6" s="2" t="s">
        <v>137</v>
      </c>
      <c r="O6">
        <v>1988.7919999999999</v>
      </c>
      <c r="P6" s="2" t="s">
        <v>138</v>
      </c>
      <c r="Q6" s="2">
        <v>33.299999999999997</v>
      </c>
      <c r="R6" s="2">
        <v>0</v>
      </c>
      <c r="S6" s="2">
        <v>59.6</v>
      </c>
      <c r="T6" s="2">
        <v>26.4</v>
      </c>
      <c r="U6" s="2">
        <v>11.9</v>
      </c>
      <c r="V6" s="2">
        <v>27.9</v>
      </c>
      <c r="W6" s="2"/>
      <c r="X6" s="2" t="s">
        <v>139</v>
      </c>
      <c r="Y6" s="2">
        <v>0.64</v>
      </c>
      <c r="Z6" s="2">
        <v>3631</v>
      </c>
      <c r="AA6" s="2">
        <v>1723</v>
      </c>
      <c r="AB6" s="2"/>
      <c r="AC6" s="2"/>
      <c r="AD6" s="2"/>
      <c r="AE6" s="2"/>
      <c r="AF6" s="2"/>
      <c r="AG6" s="2"/>
      <c r="AH6" s="2"/>
      <c r="AI6" s="2"/>
      <c r="AJ6" s="2">
        <v>0.78</v>
      </c>
      <c r="AK6" s="2" t="s">
        <v>140</v>
      </c>
      <c r="AL6" s="2">
        <v>1</v>
      </c>
      <c r="AM6" s="2">
        <v>2.9</v>
      </c>
      <c r="AN6" s="2">
        <v>1.2</v>
      </c>
      <c r="AO6" s="2" t="s">
        <v>100</v>
      </c>
      <c r="AP6" s="2">
        <v>77.400000000000006</v>
      </c>
      <c r="AQ6" s="2">
        <v>379</v>
      </c>
      <c r="AR6" s="2">
        <v>145</v>
      </c>
      <c r="AS6" s="2" t="s">
        <v>141</v>
      </c>
      <c r="AT6" s="2">
        <v>4323</v>
      </c>
      <c r="AU6" s="2" t="s">
        <v>142</v>
      </c>
      <c r="AV6" s="2">
        <v>3</v>
      </c>
      <c r="AW6" s="2">
        <v>3.1</v>
      </c>
      <c r="AX6" s="2">
        <v>1.35</v>
      </c>
      <c r="AY6" s="2" t="s">
        <v>100</v>
      </c>
      <c r="AZ6" s="2">
        <v>68.099999999999994</v>
      </c>
      <c r="BA6" s="2">
        <v>583</v>
      </c>
      <c r="BB6" s="2">
        <v>196</v>
      </c>
      <c r="BC6" s="2" t="s">
        <v>141</v>
      </c>
      <c r="BD6" s="2">
        <v>5319</v>
      </c>
      <c r="BE6" s="2" t="s">
        <v>142</v>
      </c>
      <c r="BF6" s="2">
        <v>5</v>
      </c>
      <c r="BG6" s="2">
        <f>(71.2-68.1+69.7-67.7+68.7-67.4)/3</f>
        <v>2.1333333333333351</v>
      </c>
      <c r="BH6" s="2"/>
      <c r="BI6" s="2"/>
      <c r="BJ6">
        <v>67.400000000000006</v>
      </c>
      <c r="BK6">
        <v>402</v>
      </c>
      <c r="BL6">
        <v>225</v>
      </c>
      <c r="BM6" t="s">
        <v>112</v>
      </c>
      <c r="BN6">
        <v>6154</v>
      </c>
      <c r="BO6" t="s">
        <v>142</v>
      </c>
      <c r="BP6" t="s">
        <v>143</v>
      </c>
      <c r="BQ6" t="s">
        <v>144</v>
      </c>
      <c r="BR6">
        <v>1171</v>
      </c>
      <c r="BS6">
        <v>1683</v>
      </c>
      <c r="BT6" t="s">
        <v>145</v>
      </c>
      <c r="BU6" t="s">
        <v>106</v>
      </c>
      <c r="BV6" t="s">
        <v>107</v>
      </c>
      <c r="BW6">
        <v>0</v>
      </c>
      <c r="BX6">
        <v>0</v>
      </c>
      <c r="BY6">
        <v>0</v>
      </c>
      <c r="BZ6">
        <v>0</v>
      </c>
      <c r="CA6">
        <v>0</v>
      </c>
      <c r="CB6">
        <v>0</v>
      </c>
      <c r="CC6">
        <v>0</v>
      </c>
      <c r="CD6">
        <v>0</v>
      </c>
      <c r="CE6">
        <v>65.7</v>
      </c>
      <c r="CG6">
        <v>26.4</v>
      </c>
      <c r="CH6">
        <v>33.1</v>
      </c>
      <c r="CI6">
        <v>3.8</v>
      </c>
    </row>
    <row r="7" spans="1:87" ht="44.1" customHeight="1" x14ac:dyDescent="0.55000000000000004">
      <c r="A7" s="2" t="s">
        <v>131</v>
      </c>
      <c r="B7" s="2" t="s">
        <v>146</v>
      </c>
      <c r="C7" s="2" t="s">
        <v>147</v>
      </c>
      <c r="D7" s="2" t="s">
        <v>134</v>
      </c>
      <c r="E7" s="2" t="s">
        <v>91</v>
      </c>
      <c r="F7" s="2">
        <v>1</v>
      </c>
      <c r="G7" s="2">
        <v>1</v>
      </c>
      <c r="H7" s="2">
        <v>1</v>
      </c>
      <c r="I7" s="2">
        <v>1</v>
      </c>
      <c r="J7" s="2" t="s">
        <v>135</v>
      </c>
      <c r="K7" s="2" t="s">
        <v>93</v>
      </c>
      <c r="L7" s="2" t="s">
        <v>94</v>
      </c>
      <c r="M7" s="2" t="s">
        <v>136</v>
      </c>
      <c r="N7" s="2" t="s">
        <v>137</v>
      </c>
      <c r="O7">
        <v>1988.7919999999999</v>
      </c>
      <c r="P7" s="2" t="s">
        <v>148</v>
      </c>
      <c r="Q7" s="2">
        <v>33.1</v>
      </c>
      <c r="R7" s="2">
        <v>100</v>
      </c>
      <c r="S7" s="2">
        <v>61.6</v>
      </c>
      <c r="T7" s="2">
        <v>25.4</v>
      </c>
      <c r="U7" s="2">
        <v>9.6999999999999993</v>
      </c>
      <c r="V7" s="2">
        <v>30.7</v>
      </c>
      <c r="W7" s="2"/>
      <c r="X7" s="2" t="s">
        <v>149</v>
      </c>
      <c r="Y7" s="2">
        <v>0.64</v>
      </c>
      <c r="Z7" s="2">
        <v>2874</v>
      </c>
      <c r="AA7" s="2">
        <v>1435</v>
      </c>
      <c r="AB7" s="2"/>
      <c r="AC7" s="2"/>
      <c r="AD7" s="2"/>
      <c r="AE7" s="2"/>
      <c r="AF7" s="2"/>
      <c r="AG7" s="2"/>
      <c r="AH7" s="2"/>
      <c r="AI7" s="2"/>
      <c r="AJ7" s="2">
        <v>0.78</v>
      </c>
      <c r="AK7" s="2" t="s">
        <v>140</v>
      </c>
      <c r="AL7" s="2">
        <v>1</v>
      </c>
      <c r="AM7" s="2">
        <v>0.3</v>
      </c>
      <c r="AN7" s="2">
        <v>1.1000000000000001</v>
      </c>
      <c r="AO7" s="2"/>
      <c r="AP7" s="2">
        <v>86.4</v>
      </c>
      <c r="AQ7" s="2">
        <v>491</v>
      </c>
      <c r="AR7" s="2">
        <v>216</v>
      </c>
      <c r="AS7" s="2" t="s">
        <v>100</v>
      </c>
      <c r="AT7" s="2">
        <v>6410</v>
      </c>
      <c r="AU7" s="2" t="s">
        <v>142</v>
      </c>
      <c r="AV7" s="2">
        <v>3</v>
      </c>
      <c r="AW7" s="2">
        <v>2.4</v>
      </c>
      <c r="AX7" s="2">
        <v>1.4</v>
      </c>
      <c r="AY7" s="2" t="s">
        <v>112</v>
      </c>
      <c r="AZ7" s="2">
        <v>73.900000000000006</v>
      </c>
      <c r="BA7" s="2">
        <v>573</v>
      </c>
      <c r="BB7" s="2">
        <v>279</v>
      </c>
      <c r="BC7" s="2" t="s">
        <v>100</v>
      </c>
      <c r="BD7" s="2">
        <v>7363</v>
      </c>
      <c r="BE7" s="2" t="s">
        <v>142</v>
      </c>
      <c r="BF7" s="2">
        <v>5</v>
      </c>
      <c r="BG7" s="2">
        <f>(76.3-73.9+73.7-70+72.3-71.1)/3</f>
        <v>2.4333333333333322</v>
      </c>
      <c r="BH7" s="2"/>
      <c r="BI7" s="2"/>
      <c r="BJ7">
        <v>71.099999999999994</v>
      </c>
      <c r="BK7">
        <v>325</v>
      </c>
      <c r="BL7">
        <v>322</v>
      </c>
      <c r="BN7">
        <v>8326</v>
      </c>
      <c r="BO7" t="s">
        <v>142</v>
      </c>
      <c r="BP7" t="s">
        <v>143</v>
      </c>
      <c r="BQ7" t="s">
        <v>150</v>
      </c>
      <c r="BR7">
        <v>831</v>
      </c>
      <c r="BS7">
        <v>1355</v>
      </c>
      <c r="BT7" t="s">
        <v>151</v>
      </c>
      <c r="BU7" t="s">
        <v>106</v>
      </c>
      <c r="BV7" t="s">
        <v>107</v>
      </c>
      <c r="BW7">
        <v>0</v>
      </c>
      <c r="BX7">
        <v>0</v>
      </c>
      <c r="BY7">
        <v>0</v>
      </c>
      <c r="BZ7">
        <v>0</v>
      </c>
      <c r="CA7">
        <v>0</v>
      </c>
      <c r="CB7">
        <v>0</v>
      </c>
      <c r="CC7">
        <v>0</v>
      </c>
      <c r="CD7">
        <v>0</v>
      </c>
      <c r="CE7">
        <v>62.3</v>
      </c>
      <c r="CG7">
        <v>26.2</v>
      </c>
      <c r="CH7">
        <v>23.4</v>
      </c>
      <c r="CI7">
        <v>2.8</v>
      </c>
    </row>
    <row r="8" spans="1:87" ht="44.1" customHeight="1" x14ac:dyDescent="0.55000000000000004">
      <c r="A8" s="2" t="s">
        <v>131</v>
      </c>
      <c r="B8" s="2" t="s">
        <v>152</v>
      </c>
      <c r="C8" s="2" t="s">
        <v>153</v>
      </c>
      <c r="D8" s="2" t="s">
        <v>134</v>
      </c>
      <c r="E8" s="2" t="s">
        <v>91</v>
      </c>
      <c r="F8" s="2">
        <v>1</v>
      </c>
      <c r="G8" s="2">
        <v>1</v>
      </c>
      <c r="H8" s="2">
        <v>1</v>
      </c>
      <c r="I8" s="2">
        <v>1</v>
      </c>
      <c r="J8" s="2" t="s">
        <v>135</v>
      </c>
      <c r="K8" s="2" t="s">
        <v>93</v>
      </c>
      <c r="L8" s="2" t="s">
        <v>94</v>
      </c>
      <c r="M8" s="2" t="s">
        <v>136</v>
      </c>
      <c r="N8" s="2" t="s">
        <v>137</v>
      </c>
      <c r="O8">
        <v>1988.7919999999999</v>
      </c>
      <c r="P8" s="2" t="s">
        <v>154</v>
      </c>
      <c r="Q8" s="2">
        <v>19</v>
      </c>
      <c r="R8" s="2">
        <v>0</v>
      </c>
      <c r="S8" s="2">
        <v>51.5</v>
      </c>
      <c r="T8" s="2">
        <v>31.2</v>
      </c>
      <c r="U8" s="2">
        <v>15.7</v>
      </c>
      <c r="V8" s="2">
        <v>48.4</v>
      </c>
      <c r="W8" s="2"/>
      <c r="X8" s="2" t="s">
        <v>155</v>
      </c>
      <c r="Y8" s="2">
        <v>0.64</v>
      </c>
      <c r="Z8" s="2">
        <v>1593</v>
      </c>
      <c r="AA8" s="2">
        <v>707</v>
      </c>
      <c r="AB8" s="2"/>
      <c r="AC8" s="2"/>
      <c r="AD8" s="2"/>
      <c r="AE8" s="2"/>
      <c r="AF8" s="2"/>
      <c r="AG8" s="2"/>
      <c r="AH8" s="2"/>
      <c r="AI8" s="2"/>
      <c r="AJ8" s="2">
        <v>0.78</v>
      </c>
      <c r="AK8" s="2" t="s">
        <v>140</v>
      </c>
      <c r="AL8" s="2">
        <v>1</v>
      </c>
      <c r="AM8" s="2">
        <v>2.4</v>
      </c>
      <c r="AN8" s="2">
        <v>1.8</v>
      </c>
      <c r="AO8" s="2"/>
      <c r="AP8" s="2">
        <v>79.599999999999994</v>
      </c>
      <c r="AQ8" s="2">
        <v>-50</v>
      </c>
      <c r="AR8" s="2">
        <v>172</v>
      </c>
      <c r="AS8" s="2"/>
      <c r="AT8" s="2">
        <v>3389</v>
      </c>
      <c r="AU8" s="2" t="s">
        <v>142</v>
      </c>
      <c r="AV8" s="2">
        <v>3</v>
      </c>
      <c r="AW8" s="2">
        <v>-1.3</v>
      </c>
      <c r="AX8" s="2">
        <v>1.96</v>
      </c>
      <c r="AY8" s="2"/>
      <c r="AZ8" s="2">
        <v>75.099999999999994</v>
      </c>
      <c r="BA8" s="2">
        <v>10</v>
      </c>
      <c r="BB8" s="2">
        <v>240</v>
      </c>
      <c r="BC8" s="2"/>
      <c r="BD8" s="2">
        <v>4383</v>
      </c>
      <c r="BE8" s="2" t="s">
        <v>142</v>
      </c>
      <c r="BF8" s="2">
        <v>5</v>
      </c>
      <c r="BG8" s="2">
        <f>(73.8-75.1+71.7-70.7+73.9-73)/3</f>
        <v>0.20000000000000284</v>
      </c>
      <c r="BH8" s="2"/>
      <c r="BI8" s="2"/>
      <c r="BJ8">
        <v>73</v>
      </c>
      <c r="BK8">
        <v>224</v>
      </c>
      <c r="BL8">
        <v>291</v>
      </c>
      <c r="BN8">
        <v>5209</v>
      </c>
      <c r="BO8" t="s">
        <v>142</v>
      </c>
      <c r="BP8" t="s">
        <v>143</v>
      </c>
      <c r="BQ8" t="s">
        <v>156</v>
      </c>
      <c r="BR8">
        <v>1316</v>
      </c>
      <c r="BS8">
        <v>136</v>
      </c>
      <c r="BT8" t="s">
        <v>157</v>
      </c>
      <c r="BU8" t="s">
        <v>106</v>
      </c>
      <c r="BV8" t="s">
        <v>107</v>
      </c>
      <c r="BW8">
        <v>0</v>
      </c>
      <c r="BX8">
        <v>0</v>
      </c>
      <c r="BY8">
        <v>0</v>
      </c>
      <c r="BZ8">
        <v>0</v>
      </c>
      <c r="CA8">
        <v>0</v>
      </c>
      <c r="CB8">
        <v>0</v>
      </c>
      <c r="CC8">
        <v>0</v>
      </c>
      <c r="CD8">
        <v>0</v>
      </c>
      <c r="CE8">
        <v>66.599999999999994</v>
      </c>
      <c r="CG8">
        <v>21.8</v>
      </c>
      <c r="CH8">
        <v>44.3</v>
      </c>
      <c r="CI8">
        <v>4.3</v>
      </c>
    </row>
    <row r="9" spans="1:87" ht="44.1" customHeight="1" x14ac:dyDescent="0.55000000000000004">
      <c r="A9" s="2" t="s">
        <v>131</v>
      </c>
      <c r="B9" s="2" t="s">
        <v>158</v>
      </c>
      <c r="C9" s="2" t="s">
        <v>159</v>
      </c>
      <c r="D9" s="2" t="s">
        <v>134</v>
      </c>
      <c r="E9" s="2" t="s">
        <v>91</v>
      </c>
      <c r="F9" s="2">
        <v>1</v>
      </c>
      <c r="G9" s="2">
        <v>1</v>
      </c>
      <c r="H9" s="2">
        <v>1</v>
      </c>
      <c r="I9" s="2">
        <v>1</v>
      </c>
      <c r="J9" s="2" t="s">
        <v>135</v>
      </c>
      <c r="K9" s="2" t="s">
        <v>93</v>
      </c>
      <c r="L9" s="2" t="s">
        <v>94</v>
      </c>
      <c r="M9" s="2" t="s">
        <v>136</v>
      </c>
      <c r="N9" s="2" t="s">
        <v>137</v>
      </c>
      <c r="O9">
        <v>1988.7919999999999</v>
      </c>
      <c r="P9" s="2" t="s">
        <v>160</v>
      </c>
      <c r="Q9" s="2">
        <v>18.899999999999999</v>
      </c>
      <c r="R9" s="2">
        <v>100</v>
      </c>
      <c r="S9" s="2">
        <v>55.8</v>
      </c>
      <c r="T9" s="2">
        <v>27.9</v>
      </c>
      <c r="U9" s="2">
        <v>14.1</v>
      </c>
      <c r="V9" s="2">
        <v>58.3</v>
      </c>
      <c r="W9" s="2"/>
      <c r="X9" s="2" t="s">
        <v>161</v>
      </c>
      <c r="Y9" s="2">
        <v>0.64</v>
      </c>
      <c r="Z9" s="2">
        <v>1177</v>
      </c>
      <c r="AA9" s="2">
        <v>559</v>
      </c>
      <c r="AB9" s="2"/>
      <c r="AC9" s="2"/>
      <c r="AD9" s="2"/>
      <c r="AE9" s="2"/>
      <c r="AF9" s="2"/>
      <c r="AG9" s="2"/>
      <c r="AH9" s="2"/>
      <c r="AI9" s="2"/>
      <c r="AJ9" s="2">
        <v>0.78</v>
      </c>
      <c r="AK9" s="2" t="s">
        <v>140</v>
      </c>
      <c r="AL9" s="2">
        <v>1</v>
      </c>
      <c r="AM9" s="2">
        <v>-1.6</v>
      </c>
      <c r="AN9" s="2">
        <v>1.43</v>
      </c>
      <c r="AO9" s="2"/>
      <c r="AP9" s="2">
        <v>92.1</v>
      </c>
      <c r="AQ9" s="2">
        <v>-180</v>
      </c>
      <c r="AR9" s="2">
        <v>243</v>
      </c>
      <c r="AS9" s="2"/>
      <c r="AT9" s="2">
        <v>4792</v>
      </c>
      <c r="AU9" s="2" t="s">
        <v>142</v>
      </c>
      <c r="AV9" s="2">
        <v>3</v>
      </c>
      <c r="AW9" s="2">
        <v>-0.4</v>
      </c>
      <c r="AX9" s="2">
        <v>1.95</v>
      </c>
      <c r="AY9" s="2"/>
      <c r="AZ9" s="2">
        <v>82.6</v>
      </c>
      <c r="BA9" s="2">
        <v>-367</v>
      </c>
      <c r="BB9" s="2">
        <v>338</v>
      </c>
      <c r="BC9" s="2"/>
      <c r="BD9" s="2">
        <v>6497</v>
      </c>
      <c r="BE9" s="2" t="s">
        <v>142</v>
      </c>
      <c r="BF9" s="2">
        <v>5</v>
      </c>
      <c r="BG9" s="2">
        <f>(82.2-82.6+80.4-79.4+81.1-77.5)/3</f>
        <v>1.400000000000001</v>
      </c>
      <c r="BH9" s="2"/>
      <c r="BI9" s="2"/>
      <c r="BJ9">
        <v>77.5</v>
      </c>
      <c r="BK9">
        <v>776</v>
      </c>
      <c r="BL9">
        <v>413</v>
      </c>
      <c r="BM9" t="s">
        <v>112</v>
      </c>
      <c r="BN9">
        <v>6778</v>
      </c>
      <c r="BO9" t="s">
        <v>142</v>
      </c>
      <c r="BP9" t="s">
        <v>143</v>
      </c>
      <c r="BQ9" t="s">
        <v>162</v>
      </c>
      <c r="BR9">
        <v>1955</v>
      </c>
      <c r="BS9">
        <v>-968</v>
      </c>
      <c r="BT9" t="s">
        <v>163</v>
      </c>
      <c r="BU9" t="s">
        <v>106</v>
      </c>
      <c r="BV9" t="s">
        <v>107</v>
      </c>
      <c r="BW9">
        <v>0</v>
      </c>
      <c r="BX9">
        <v>0</v>
      </c>
      <c r="BY9">
        <v>0</v>
      </c>
      <c r="BZ9">
        <v>0</v>
      </c>
      <c r="CA9">
        <v>0</v>
      </c>
      <c r="CB9">
        <v>0</v>
      </c>
      <c r="CC9">
        <v>0</v>
      </c>
      <c r="CD9">
        <v>0</v>
      </c>
      <c r="CE9">
        <v>69.5</v>
      </c>
      <c r="CG9">
        <v>28.1</v>
      </c>
      <c r="CH9">
        <v>34.6</v>
      </c>
      <c r="CI9">
        <v>3.2</v>
      </c>
    </row>
    <row r="10" spans="1:87" ht="44.1" customHeight="1" x14ac:dyDescent="0.55000000000000004">
      <c r="A10" s="2" t="s">
        <v>164</v>
      </c>
      <c r="B10" s="2" t="s">
        <v>165</v>
      </c>
      <c r="C10" s="2" t="s">
        <v>165</v>
      </c>
      <c r="D10" s="2" t="s">
        <v>166</v>
      </c>
      <c r="E10" s="2" t="s">
        <v>91</v>
      </c>
      <c r="F10" s="2">
        <v>1</v>
      </c>
      <c r="G10" s="2">
        <v>0</v>
      </c>
      <c r="H10" s="2">
        <v>1</v>
      </c>
      <c r="I10" s="2">
        <v>1</v>
      </c>
      <c r="J10" s="2" t="s">
        <v>167</v>
      </c>
      <c r="K10" s="2" t="s">
        <v>93</v>
      </c>
      <c r="L10" s="2" t="s">
        <v>136</v>
      </c>
      <c r="M10" s="2" t="s">
        <v>94</v>
      </c>
      <c r="N10" s="2" t="s">
        <v>168</v>
      </c>
      <c r="O10">
        <v>1986.75</v>
      </c>
      <c r="P10" s="2" t="s">
        <v>169</v>
      </c>
      <c r="Q10" s="2">
        <v>18.399999999999999</v>
      </c>
      <c r="R10" s="2">
        <v>40.6</v>
      </c>
      <c r="S10" s="2">
        <v>2.9</v>
      </c>
      <c r="T10" s="2">
        <v>97.1</v>
      </c>
      <c r="U10" s="2">
        <v>0</v>
      </c>
      <c r="V10" s="2">
        <v>100</v>
      </c>
      <c r="W10" s="2"/>
      <c r="X10" s="2" t="s">
        <v>170</v>
      </c>
      <c r="Y10" s="2"/>
      <c r="Z10" s="2">
        <v>33</v>
      </c>
      <c r="AA10" s="2">
        <v>36</v>
      </c>
      <c r="AB10" s="2"/>
      <c r="AC10" s="2"/>
      <c r="AD10" s="2"/>
      <c r="AE10" s="2">
        <v>0.83</v>
      </c>
      <c r="AF10" s="2">
        <v>0.85</v>
      </c>
      <c r="AG10" s="2">
        <v>0.84</v>
      </c>
      <c r="AH10" s="2">
        <v>0.83</v>
      </c>
      <c r="AI10" s="2">
        <v>0.85</v>
      </c>
      <c r="AJ10" s="2">
        <v>0.84</v>
      </c>
      <c r="AK10" s="2" t="s">
        <v>99</v>
      </c>
      <c r="AL10" s="2"/>
      <c r="AM10" s="2"/>
      <c r="AN10" s="2"/>
      <c r="AO10" s="2"/>
      <c r="AP10" s="2"/>
      <c r="AQ10" s="2"/>
      <c r="AR10" s="2"/>
      <c r="AS10" s="2"/>
      <c r="AT10" s="2"/>
      <c r="AU10" s="2"/>
      <c r="AV10" s="2">
        <v>1</v>
      </c>
      <c r="AW10" s="2"/>
      <c r="AX10" s="2"/>
      <c r="AY10" s="2"/>
      <c r="AZ10" s="2"/>
      <c r="BA10" s="2">
        <v>-3626</v>
      </c>
      <c r="BB10" s="2"/>
      <c r="BC10" s="2"/>
      <c r="BD10" s="2">
        <v>8257</v>
      </c>
      <c r="BE10" s="2" t="s">
        <v>171</v>
      </c>
      <c r="BF10" s="2">
        <v>3.5</v>
      </c>
      <c r="BG10" s="2"/>
      <c r="BH10" s="2"/>
      <c r="BI10" s="2"/>
      <c r="BK10">
        <v>2251</v>
      </c>
      <c r="BN10">
        <v>8241</v>
      </c>
      <c r="BO10" t="s">
        <v>172</v>
      </c>
      <c r="BP10" t="s">
        <v>173</v>
      </c>
      <c r="BQ10" t="s">
        <v>174</v>
      </c>
      <c r="BR10">
        <v>4863</v>
      </c>
      <c r="BT10" t="s">
        <v>175</v>
      </c>
      <c r="BU10" t="s">
        <v>176</v>
      </c>
      <c r="BV10" t="s">
        <v>107</v>
      </c>
      <c r="BW10">
        <v>0</v>
      </c>
      <c r="BX10">
        <v>0</v>
      </c>
      <c r="BY10">
        <v>0</v>
      </c>
      <c r="BZ10">
        <v>0</v>
      </c>
      <c r="CA10">
        <v>0</v>
      </c>
      <c r="CB10">
        <v>0</v>
      </c>
      <c r="CC10">
        <v>0</v>
      </c>
      <c r="CD10">
        <v>0</v>
      </c>
      <c r="CE10">
        <v>84.8</v>
      </c>
      <c r="CF10">
        <v>0</v>
      </c>
      <c r="CI10">
        <v>6.8</v>
      </c>
    </row>
    <row r="11" spans="1:87" ht="44.1" customHeight="1" x14ac:dyDescent="0.55000000000000004">
      <c r="A11" s="2" t="s">
        <v>164</v>
      </c>
      <c r="B11" s="2" t="s">
        <v>177</v>
      </c>
      <c r="C11" s="2" t="s">
        <v>178</v>
      </c>
      <c r="D11" s="2" t="s">
        <v>179</v>
      </c>
      <c r="E11" s="2" t="s">
        <v>91</v>
      </c>
      <c r="F11" s="2">
        <v>1</v>
      </c>
      <c r="G11" s="2">
        <v>0</v>
      </c>
      <c r="H11" s="2">
        <v>1</v>
      </c>
      <c r="I11" s="2">
        <v>1</v>
      </c>
      <c r="J11" s="2" t="s">
        <v>167</v>
      </c>
      <c r="K11" s="2" t="s">
        <v>93</v>
      </c>
      <c r="L11" s="2" t="s">
        <v>136</v>
      </c>
      <c r="M11" s="2" t="s">
        <v>95</v>
      </c>
      <c r="N11" s="2" t="s">
        <v>168</v>
      </c>
      <c r="O11">
        <v>1986.75</v>
      </c>
      <c r="P11" s="2" t="s">
        <v>169</v>
      </c>
      <c r="Q11" s="2">
        <v>18.399999999999999</v>
      </c>
      <c r="R11" s="2">
        <v>50.3</v>
      </c>
      <c r="S11" s="2">
        <v>15</v>
      </c>
      <c r="T11" s="2">
        <v>6</v>
      </c>
      <c r="U11" s="2">
        <v>70.099999999999994</v>
      </c>
      <c r="V11" s="2">
        <v>100</v>
      </c>
      <c r="W11" s="2"/>
      <c r="X11" s="2" t="s">
        <v>170</v>
      </c>
      <c r="Y11" s="2"/>
      <c r="Z11" s="2">
        <v>84</v>
      </c>
      <c r="AA11" s="2">
        <v>83</v>
      </c>
      <c r="AB11" s="2"/>
      <c r="AC11" s="2"/>
      <c r="AD11" s="2"/>
      <c r="AE11" s="2">
        <v>0.83</v>
      </c>
      <c r="AF11" s="2">
        <v>0.85</v>
      </c>
      <c r="AG11" s="2">
        <v>0.84</v>
      </c>
      <c r="AH11" s="2">
        <v>0.83</v>
      </c>
      <c r="AI11" s="2">
        <v>0.85</v>
      </c>
      <c r="AJ11" s="2">
        <v>0.84</v>
      </c>
      <c r="AK11" s="2" t="s">
        <v>99</v>
      </c>
      <c r="AL11" s="2"/>
      <c r="AM11" s="2"/>
      <c r="AN11" s="2"/>
      <c r="AO11" s="2"/>
      <c r="AP11" s="2"/>
      <c r="AQ11" s="2"/>
      <c r="AR11" s="2"/>
      <c r="AS11" s="2"/>
      <c r="AT11" s="2"/>
      <c r="AU11" s="2"/>
      <c r="AV11" s="2">
        <v>1</v>
      </c>
      <c r="AW11" s="2"/>
      <c r="AX11" s="2"/>
      <c r="AY11" s="2"/>
      <c r="AZ11" s="2"/>
      <c r="BA11" s="2">
        <v>628</v>
      </c>
      <c r="BB11" s="2"/>
      <c r="BC11" s="2"/>
      <c r="BD11" s="2">
        <v>11523</v>
      </c>
      <c r="BE11" s="2" t="s">
        <v>171</v>
      </c>
      <c r="BF11" s="2">
        <v>3.5</v>
      </c>
      <c r="BG11" s="2"/>
      <c r="BH11" s="2"/>
      <c r="BI11" s="2"/>
      <c r="BK11">
        <v>6087</v>
      </c>
      <c r="BL11">
        <v>2362.6999999999998</v>
      </c>
      <c r="BM11" t="s">
        <v>141</v>
      </c>
      <c r="BN11">
        <v>14721</v>
      </c>
      <c r="BO11" t="s">
        <v>172</v>
      </c>
      <c r="BP11" t="s">
        <v>173</v>
      </c>
      <c r="BQ11" t="s">
        <v>180</v>
      </c>
      <c r="BR11">
        <v>2034</v>
      </c>
      <c r="BT11" t="s">
        <v>175</v>
      </c>
      <c r="BU11" t="s">
        <v>181</v>
      </c>
      <c r="BV11" t="s">
        <v>107</v>
      </c>
      <c r="BW11">
        <v>0</v>
      </c>
      <c r="BX11">
        <v>1</v>
      </c>
      <c r="BY11">
        <v>1</v>
      </c>
      <c r="BZ11">
        <v>0</v>
      </c>
      <c r="CA11">
        <v>1</v>
      </c>
      <c r="CB11">
        <v>1</v>
      </c>
      <c r="CC11">
        <v>1</v>
      </c>
      <c r="CD11">
        <v>0</v>
      </c>
      <c r="CE11">
        <v>64.3</v>
      </c>
      <c r="CF11">
        <v>0</v>
      </c>
      <c r="CI11">
        <v>6.8</v>
      </c>
    </row>
    <row r="12" spans="1:87" ht="44.1" customHeight="1" x14ac:dyDescent="0.55000000000000004">
      <c r="A12" s="2" t="s">
        <v>164</v>
      </c>
      <c r="B12" s="2" t="s">
        <v>182</v>
      </c>
      <c r="C12" s="2" t="s">
        <v>182</v>
      </c>
      <c r="D12" s="2" t="s">
        <v>183</v>
      </c>
      <c r="E12" s="2" t="s">
        <v>91</v>
      </c>
      <c r="F12" s="2">
        <v>1</v>
      </c>
      <c r="G12" s="2">
        <v>0</v>
      </c>
      <c r="H12" s="2">
        <v>1</v>
      </c>
      <c r="I12" s="2">
        <v>1</v>
      </c>
      <c r="J12" s="2" t="s">
        <v>167</v>
      </c>
      <c r="K12" s="2" t="s">
        <v>93</v>
      </c>
      <c r="L12" s="2" t="s">
        <v>136</v>
      </c>
      <c r="M12" s="2" t="s">
        <v>95</v>
      </c>
      <c r="N12" s="2" t="s">
        <v>168</v>
      </c>
      <c r="O12">
        <v>1986.75</v>
      </c>
      <c r="P12" s="2" t="s">
        <v>169</v>
      </c>
      <c r="Q12" s="2">
        <v>19.3</v>
      </c>
      <c r="R12" s="2">
        <v>58.7</v>
      </c>
      <c r="S12" s="2">
        <v>6.7</v>
      </c>
      <c r="T12" s="2">
        <v>74.7</v>
      </c>
      <c r="U12" s="2">
        <v>18.7</v>
      </c>
      <c r="V12" s="2">
        <v>100</v>
      </c>
      <c r="W12" s="2"/>
      <c r="X12" s="2" t="s">
        <v>170</v>
      </c>
      <c r="Y12" s="2"/>
      <c r="Z12" s="2">
        <v>40</v>
      </c>
      <c r="AA12" s="2">
        <v>35</v>
      </c>
      <c r="AB12" s="2"/>
      <c r="AC12" s="2"/>
      <c r="AD12" s="2"/>
      <c r="AE12" s="2">
        <v>0.83</v>
      </c>
      <c r="AF12" s="2">
        <v>0.85</v>
      </c>
      <c r="AG12" s="2">
        <v>0.84</v>
      </c>
      <c r="AH12" s="2">
        <v>0.83</v>
      </c>
      <c r="AI12" s="2">
        <v>0.85</v>
      </c>
      <c r="AJ12" s="2">
        <v>0.84</v>
      </c>
      <c r="AK12" s="2" t="s">
        <v>99</v>
      </c>
      <c r="AL12" s="2"/>
      <c r="AM12" s="2"/>
      <c r="AN12" s="2"/>
      <c r="AO12" s="2"/>
      <c r="AP12" s="2"/>
      <c r="AQ12" s="2"/>
      <c r="AR12" s="2"/>
      <c r="AS12" s="2"/>
      <c r="AT12" s="2"/>
      <c r="AU12" s="2"/>
      <c r="AV12" s="2">
        <v>1</v>
      </c>
      <c r="AW12" s="2"/>
      <c r="AX12" s="2"/>
      <c r="AY12" s="2"/>
      <c r="AZ12" s="2"/>
      <c r="BA12" s="2">
        <v>630</v>
      </c>
      <c r="BB12" s="2"/>
      <c r="BC12" s="2"/>
      <c r="BD12" s="2">
        <v>6701</v>
      </c>
      <c r="BE12" s="2" t="s">
        <v>171</v>
      </c>
      <c r="BF12" s="2">
        <v>3.5</v>
      </c>
      <c r="BG12" s="2"/>
      <c r="BH12" s="2"/>
      <c r="BI12" s="2"/>
      <c r="BK12">
        <v>-3456</v>
      </c>
      <c r="BN12">
        <v>12471</v>
      </c>
      <c r="BO12" t="s">
        <v>172</v>
      </c>
      <c r="BP12" t="s">
        <v>173</v>
      </c>
      <c r="BQ12" t="s">
        <v>184</v>
      </c>
      <c r="BR12">
        <v>6477</v>
      </c>
      <c r="BT12" t="s">
        <v>175</v>
      </c>
      <c r="BU12" t="s">
        <v>185</v>
      </c>
      <c r="BV12" t="s">
        <v>107</v>
      </c>
      <c r="BW12">
        <v>0</v>
      </c>
      <c r="BX12">
        <v>0</v>
      </c>
      <c r="BY12">
        <v>1</v>
      </c>
      <c r="BZ12">
        <v>0</v>
      </c>
      <c r="CA12">
        <v>1</v>
      </c>
      <c r="CB12">
        <v>1</v>
      </c>
      <c r="CC12">
        <v>0</v>
      </c>
      <c r="CD12">
        <v>0</v>
      </c>
      <c r="CE12">
        <v>92.5</v>
      </c>
      <c r="CF12">
        <v>0</v>
      </c>
      <c r="CI12">
        <v>6.8</v>
      </c>
    </row>
    <row r="13" spans="1:87" ht="44.1" customHeight="1" x14ac:dyDescent="0.55000000000000004">
      <c r="A13" s="2" t="s">
        <v>164</v>
      </c>
      <c r="B13" s="2" t="s">
        <v>186</v>
      </c>
      <c r="C13" s="2" t="s">
        <v>186</v>
      </c>
      <c r="D13" s="2" t="s">
        <v>187</v>
      </c>
      <c r="E13" s="2" t="s">
        <v>91</v>
      </c>
      <c r="F13" s="2">
        <v>1</v>
      </c>
      <c r="G13" s="2">
        <v>0</v>
      </c>
      <c r="H13" s="2">
        <v>1</v>
      </c>
      <c r="I13" s="2">
        <v>1</v>
      </c>
      <c r="J13" s="2" t="s">
        <v>167</v>
      </c>
      <c r="K13" s="2" t="s">
        <v>93</v>
      </c>
      <c r="L13" s="2" t="s">
        <v>136</v>
      </c>
      <c r="M13" s="2" t="s">
        <v>94</v>
      </c>
      <c r="N13" s="2" t="s">
        <v>168</v>
      </c>
      <c r="O13">
        <v>1986.75</v>
      </c>
      <c r="P13" s="2" t="s">
        <v>169</v>
      </c>
      <c r="Q13" s="2">
        <v>19</v>
      </c>
      <c r="R13" s="2">
        <v>45.7</v>
      </c>
      <c r="S13" s="2">
        <v>8.6999999999999993</v>
      </c>
      <c r="T13" s="2">
        <v>91.3</v>
      </c>
      <c r="U13" s="2">
        <v>0</v>
      </c>
      <c r="V13" s="2">
        <v>100</v>
      </c>
      <c r="W13" s="2"/>
      <c r="X13" s="2" t="s">
        <v>170</v>
      </c>
      <c r="Y13" s="2"/>
      <c r="Z13" s="2">
        <v>91</v>
      </c>
      <c r="AA13" s="2">
        <v>93</v>
      </c>
      <c r="AB13" s="2"/>
      <c r="AC13" s="2"/>
      <c r="AD13" s="2"/>
      <c r="AE13" s="2">
        <v>0.83</v>
      </c>
      <c r="AF13" s="2">
        <v>0.85</v>
      </c>
      <c r="AG13" s="2">
        <v>0.84</v>
      </c>
      <c r="AH13" s="2">
        <v>0.83</v>
      </c>
      <c r="AI13" s="2">
        <v>0.85</v>
      </c>
      <c r="AJ13" s="2">
        <v>0.84</v>
      </c>
      <c r="AK13" s="2" t="s">
        <v>99</v>
      </c>
      <c r="AL13" s="2"/>
      <c r="AM13" s="2"/>
      <c r="AN13" s="2"/>
      <c r="AO13" s="2"/>
      <c r="AP13" s="2"/>
      <c r="AQ13" s="2"/>
      <c r="AR13" s="2"/>
      <c r="AS13" s="2"/>
      <c r="AT13" s="2"/>
      <c r="AU13" s="2"/>
      <c r="AV13" s="2">
        <v>1</v>
      </c>
      <c r="AW13" s="2"/>
      <c r="AX13" s="2"/>
      <c r="AY13" s="2"/>
      <c r="AZ13" s="2"/>
      <c r="BA13" s="2">
        <v>-118</v>
      </c>
      <c r="BB13" s="2"/>
      <c r="BC13" s="2"/>
      <c r="BD13" s="2">
        <v>2977</v>
      </c>
      <c r="BE13" s="2" t="s">
        <v>171</v>
      </c>
      <c r="BF13" s="2">
        <v>3.5</v>
      </c>
      <c r="BG13" s="2"/>
      <c r="BH13" s="2"/>
      <c r="BI13" s="2"/>
      <c r="BK13">
        <v>1040</v>
      </c>
      <c r="BN13">
        <v>5148</v>
      </c>
      <c r="BO13" t="s">
        <v>172</v>
      </c>
      <c r="BP13" t="s">
        <v>173</v>
      </c>
      <c r="BQ13" t="s">
        <v>188</v>
      </c>
      <c r="BR13">
        <v>5185</v>
      </c>
      <c r="BT13" t="s">
        <v>175</v>
      </c>
      <c r="BU13" t="s">
        <v>189</v>
      </c>
      <c r="BV13" t="s">
        <v>107</v>
      </c>
      <c r="BW13">
        <v>0</v>
      </c>
      <c r="BX13">
        <v>0</v>
      </c>
      <c r="BY13">
        <v>0</v>
      </c>
      <c r="BZ13">
        <v>0</v>
      </c>
      <c r="CA13">
        <v>0</v>
      </c>
      <c r="CB13">
        <v>0</v>
      </c>
      <c r="CC13">
        <v>0</v>
      </c>
      <c r="CD13">
        <v>0</v>
      </c>
      <c r="CE13">
        <v>98.9</v>
      </c>
      <c r="CF13">
        <v>0</v>
      </c>
      <c r="CI13">
        <v>6.8</v>
      </c>
    </row>
    <row r="14" spans="1:87" ht="44.1" customHeight="1" x14ac:dyDescent="0.55000000000000004">
      <c r="A14" s="2" t="s">
        <v>164</v>
      </c>
      <c r="B14" s="2" t="s">
        <v>190</v>
      </c>
      <c r="C14" s="2" t="s">
        <v>190</v>
      </c>
      <c r="D14" s="2" t="s">
        <v>191</v>
      </c>
      <c r="E14" s="2" t="s">
        <v>91</v>
      </c>
      <c r="F14" s="2">
        <v>1</v>
      </c>
      <c r="G14" s="2">
        <v>0</v>
      </c>
      <c r="H14" s="2">
        <v>1</v>
      </c>
      <c r="I14" s="2">
        <v>1</v>
      </c>
      <c r="J14" s="2" t="s">
        <v>167</v>
      </c>
      <c r="K14" s="2" t="s">
        <v>93</v>
      </c>
      <c r="L14" s="2" t="s">
        <v>136</v>
      </c>
      <c r="M14" s="2" t="s">
        <v>94</v>
      </c>
      <c r="N14" s="2" t="s">
        <v>168</v>
      </c>
      <c r="O14">
        <v>1986.75</v>
      </c>
      <c r="P14" s="2" t="s">
        <v>169</v>
      </c>
      <c r="Q14" s="2">
        <v>18.3</v>
      </c>
      <c r="R14" s="2">
        <v>57.5</v>
      </c>
      <c r="S14" s="2">
        <v>0.9</v>
      </c>
      <c r="T14" s="2">
        <v>0</v>
      </c>
      <c r="U14" s="2">
        <v>95.3</v>
      </c>
      <c r="V14" s="2">
        <v>100</v>
      </c>
      <c r="W14" s="2"/>
      <c r="X14" s="2" t="s">
        <v>170</v>
      </c>
      <c r="Y14" s="2"/>
      <c r="Z14" s="2">
        <v>50</v>
      </c>
      <c r="AA14" s="2">
        <v>56</v>
      </c>
      <c r="AB14" s="2"/>
      <c r="AC14" s="2"/>
      <c r="AD14" s="2"/>
      <c r="AE14" s="2">
        <v>0.83</v>
      </c>
      <c r="AF14" s="2">
        <v>0.85</v>
      </c>
      <c r="AG14" s="2">
        <v>0.84</v>
      </c>
      <c r="AH14" s="2">
        <v>0.83</v>
      </c>
      <c r="AI14" s="2">
        <v>0.85</v>
      </c>
      <c r="AJ14" s="2">
        <v>0.84</v>
      </c>
      <c r="AK14" s="2" t="s">
        <v>99</v>
      </c>
      <c r="AL14" s="2"/>
      <c r="AM14" s="2"/>
      <c r="AN14" s="2"/>
      <c r="AO14" s="2"/>
      <c r="AP14" s="2"/>
      <c r="AQ14" s="2"/>
      <c r="AR14" s="2"/>
      <c r="AS14" s="2"/>
      <c r="AT14" s="2"/>
      <c r="AU14" s="2"/>
      <c r="AV14" s="2">
        <v>1</v>
      </c>
      <c r="AW14" s="2"/>
      <c r="AX14" s="2"/>
      <c r="AY14" s="2"/>
      <c r="AZ14" s="2"/>
      <c r="BA14" s="2">
        <v>-1196</v>
      </c>
      <c r="BB14" s="2"/>
      <c r="BC14" s="2"/>
      <c r="BD14" s="2">
        <v>9044</v>
      </c>
      <c r="BE14" s="2" t="s">
        <v>171</v>
      </c>
      <c r="BF14" s="2">
        <v>3.5</v>
      </c>
      <c r="BG14" s="2"/>
      <c r="BH14" s="2"/>
      <c r="BI14" s="2"/>
      <c r="BK14">
        <v>1315</v>
      </c>
      <c r="BN14">
        <v>14542</v>
      </c>
      <c r="BO14" t="s">
        <v>172</v>
      </c>
      <c r="BP14" t="s">
        <v>173</v>
      </c>
      <c r="BQ14" t="s">
        <v>192</v>
      </c>
      <c r="BR14">
        <v>4887</v>
      </c>
      <c r="BT14" t="s">
        <v>175</v>
      </c>
      <c r="BU14" t="s">
        <v>181</v>
      </c>
      <c r="BV14" t="s">
        <v>107</v>
      </c>
      <c r="BW14">
        <v>0</v>
      </c>
      <c r="BX14">
        <v>0</v>
      </c>
      <c r="BY14">
        <v>0</v>
      </c>
      <c r="BZ14">
        <v>0</v>
      </c>
      <c r="CA14">
        <v>0</v>
      </c>
      <c r="CB14">
        <v>0</v>
      </c>
      <c r="CC14">
        <v>0</v>
      </c>
      <c r="CD14">
        <v>0</v>
      </c>
      <c r="CE14">
        <v>88</v>
      </c>
      <c r="CF14">
        <v>0</v>
      </c>
      <c r="CI14">
        <v>6.8</v>
      </c>
    </row>
    <row r="15" spans="1:87" ht="44.1" customHeight="1" x14ac:dyDescent="0.55000000000000004">
      <c r="A15" s="2" t="s">
        <v>164</v>
      </c>
      <c r="B15" s="2" t="s">
        <v>193</v>
      </c>
      <c r="C15" s="2" t="s">
        <v>193</v>
      </c>
      <c r="D15" s="2" t="s">
        <v>194</v>
      </c>
      <c r="E15" s="2" t="s">
        <v>91</v>
      </c>
      <c r="F15" s="2">
        <v>1</v>
      </c>
      <c r="G15" s="2">
        <v>0</v>
      </c>
      <c r="H15" s="2">
        <v>1</v>
      </c>
      <c r="I15" s="2">
        <v>1</v>
      </c>
      <c r="J15" s="2" t="s">
        <v>167</v>
      </c>
      <c r="K15" s="2" t="s">
        <v>93</v>
      </c>
      <c r="L15" s="2" t="s">
        <v>136</v>
      </c>
      <c r="M15" s="2" t="s">
        <v>94</v>
      </c>
      <c r="N15" s="2" t="s">
        <v>168</v>
      </c>
      <c r="O15">
        <v>1986.75</v>
      </c>
      <c r="P15" s="2" t="s">
        <v>169</v>
      </c>
      <c r="Q15" s="2">
        <v>18.399999999999999</v>
      </c>
      <c r="R15" s="2">
        <v>33.299999999999997</v>
      </c>
      <c r="S15" s="2">
        <v>11.1</v>
      </c>
      <c r="T15" s="2">
        <v>28.3</v>
      </c>
      <c r="U15" s="2">
        <v>58.1</v>
      </c>
      <c r="V15" s="2">
        <v>100</v>
      </c>
      <c r="W15" s="2"/>
      <c r="X15" s="2" t="s">
        <v>170</v>
      </c>
      <c r="Y15" s="2"/>
      <c r="Z15" s="2">
        <v>103</v>
      </c>
      <c r="AA15" s="2">
        <v>95</v>
      </c>
      <c r="AB15" s="2"/>
      <c r="AC15" s="2"/>
      <c r="AD15" s="2"/>
      <c r="AE15" s="2">
        <v>0.83</v>
      </c>
      <c r="AF15" s="2">
        <v>0.85</v>
      </c>
      <c r="AG15" s="2">
        <v>0.84</v>
      </c>
      <c r="AH15" s="2">
        <v>0.83</v>
      </c>
      <c r="AI15" s="2">
        <v>0.85</v>
      </c>
      <c r="AJ15" s="2">
        <v>0.84</v>
      </c>
      <c r="AK15" s="2" t="s">
        <v>99</v>
      </c>
      <c r="AL15" s="2"/>
      <c r="AM15" s="2"/>
      <c r="AN15" s="2"/>
      <c r="AO15" s="2"/>
      <c r="AP15" s="2"/>
      <c r="AQ15" s="2"/>
      <c r="AR15" s="2"/>
      <c r="AS15" s="2"/>
      <c r="AT15" s="2"/>
      <c r="AU15" s="2"/>
      <c r="AV15" s="2">
        <v>1</v>
      </c>
      <c r="AW15" s="2"/>
      <c r="AX15" s="2"/>
      <c r="AY15" s="2"/>
      <c r="AZ15" s="2"/>
      <c r="BA15" s="2">
        <v>-1421</v>
      </c>
      <c r="BB15" s="2"/>
      <c r="BC15" s="2"/>
      <c r="BD15" s="2">
        <v>6387</v>
      </c>
      <c r="BE15" s="2" t="s">
        <v>171</v>
      </c>
      <c r="BF15" s="2">
        <v>3.5</v>
      </c>
      <c r="BG15" s="2"/>
      <c r="BH15" s="2"/>
      <c r="BI15" s="2"/>
      <c r="BK15">
        <v>-1026</v>
      </c>
      <c r="BN15">
        <v>11441</v>
      </c>
      <c r="BO15" t="s">
        <v>172</v>
      </c>
      <c r="BP15" t="s">
        <v>173</v>
      </c>
      <c r="BQ15" t="s">
        <v>195</v>
      </c>
      <c r="BR15">
        <v>2100</v>
      </c>
      <c r="BT15" t="s">
        <v>175</v>
      </c>
      <c r="BU15" t="s">
        <v>196</v>
      </c>
      <c r="BV15" t="s">
        <v>107</v>
      </c>
      <c r="BW15">
        <v>0</v>
      </c>
      <c r="BX15">
        <v>0</v>
      </c>
      <c r="BY15">
        <v>0</v>
      </c>
      <c r="BZ15">
        <v>0</v>
      </c>
      <c r="CA15">
        <v>0</v>
      </c>
      <c r="CB15">
        <v>0</v>
      </c>
      <c r="CC15">
        <v>0</v>
      </c>
      <c r="CD15">
        <v>0</v>
      </c>
      <c r="CE15">
        <v>94.2</v>
      </c>
      <c r="CF15">
        <v>0</v>
      </c>
      <c r="CI15">
        <v>6.8</v>
      </c>
    </row>
    <row r="16" spans="1:87" ht="44.1" customHeight="1" x14ac:dyDescent="0.55000000000000004">
      <c r="A16" s="2" t="s">
        <v>164</v>
      </c>
      <c r="B16" s="2" t="s">
        <v>197</v>
      </c>
      <c r="C16" s="2" t="s">
        <v>197</v>
      </c>
      <c r="D16" s="2" t="s">
        <v>198</v>
      </c>
      <c r="E16" s="2" t="s">
        <v>91</v>
      </c>
      <c r="F16" s="2">
        <v>1</v>
      </c>
      <c r="G16" s="2">
        <v>0</v>
      </c>
      <c r="H16" s="2">
        <v>1</v>
      </c>
      <c r="I16" s="2">
        <v>1</v>
      </c>
      <c r="J16" s="2" t="s">
        <v>167</v>
      </c>
      <c r="K16" s="2" t="s">
        <v>93</v>
      </c>
      <c r="L16" s="2" t="s">
        <v>136</v>
      </c>
      <c r="M16" s="2" t="s">
        <v>94</v>
      </c>
      <c r="N16" s="2" t="s">
        <v>168</v>
      </c>
      <c r="O16">
        <v>1986.75</v>
      </c>
      <c r="P16" s="2" t="s">
        <v>169</v>
      </c>
      <c r="Q16" s="2">
        <v>18.100000000000001</v>
      </c>
      <c r="R16" s="2">
        <v>44.8</v>
      </c>
      <c r="S16" s="2">
        <v>23.9</v>
      </c>
      <c r="T16" s="2">
        <v>17.2</v>
      </c>
      <c r="U16" s="2">
        <v>53.7</v>
      </c>
      <c r="V16" s="2">
        <v>100</v>
      </c>
      <c r="W16" s="2"/>
      <c r="X16" s="2" t="s">
        <v>170</v>
      </c>
      <c r="Y16" s="2"/>
      <c r="Z16" s="2">
        <v>70</v>
      </c>
      <c r="AA16" s="2">
        <v>64</v>
      </c>
      <c r="AB16" s="2"/>
      <c r="AC16" s="2"/>
      <c r="AD16" s="2"/>
      <c r="AE16" s="2">
        <v>0.83</v>
      </c>
      <c r="AF16" s="2">
        <v>0.85</v>
      </c>
      <c r="AG16" s="2">
        <v>0.84</v>
      </c>
      <c r="AH16" s="2">
        <v>0.83</v>
      </c>
      <c r="AI16" s="2">
        <v>0.85</v>
      </c>
      <c r="AJ16" s="2">
        <v>0.84</v>
      </c>
      <c r="AK16" s="2" t="s">
        <v>99</v>
      </c>
      <c r="AL16" s="2"/>
      <c r="AM16" s="2"/>
      <c r="AN16" s="2"/>
      <c r="AO16" s="2"/>
      <c r="AP16" s="2"/>
      <c r="AQ16" s="2"/>
      <c r="AR16" s="2"/>
      <c r="AS16" s="2"/>
      <c r="AT16" s="2"/>
      <c r="AU16" s="2"/>
      <c r="AV16" s="2">
        <v>1</v>
      </c>
      <c r="AW16" s="2"/>
      <c r="AX16" s="2"/>
      <c r="AY16" s="2"/>
      <c r="AZ16" s="2"/>
      <c r="BA16" s="2">
        <v>-3486</v>
      </c>
      <c r="BB16" s="2"/>
      <c r="BC16" s="2"/>
      <c r="BD16" s="2">
        <v>8044</v>
      </c>
      <c r="BE16" s="2" t="s">
        <v>171</v>
      </c>
      <c r="BF16" s="2">
        <v>3.5</v>
      </c>
      <c r="BG16" s="2"/>
      <c r="BH16" s="2"/>
      <c r="BI16" s="2"/>
      <c r="BK16">
        <v>-2850</v>
      </c>
      <c r="BN16">
        <v>9685</v>
      </c>
      <c r="BO16" t="s">
        <v>172</v>
      </c>
      <c r="BP16" t="s">
        <v>173</v>
      </c>
      <c r="BQ16" t="s">
        <v>199</v>
      </c>
      <c r="BR16">
        <v>5313</v>
      </c>
      <c r="BT16" t="s">
        <v>175</v>
      </c>
      <c r="BU16" t="s">
        <v>200</v>
      </c>
      <c r="BV16" t="s">
        <v>107</v>
      </c>
      <c r="BW16">
        <v>0</v>
      </c>
      <c r="BX16">
        <v>0</v>
      </c>
      <c r="BY16">
        <v>0</v>
      </c>
      <c r="BZ16">
        <v>0</v>
      </c>
      <c r="CA16">
        <v>1</v>
      </c>
      <c r="CB16">
        <v>0</v>
      </c>
      <c r="CC16">
        <v>0</v>
      </c>
      <c r="CD16">
        <v>0</v>
      </c>
      <c r="CE16">
        <v>82.9</v>
      </c>
      <c r="CF16">
        <v>0</v>
      </c>
      <c r="CI16">
        <v>6.8</v>
      </c>
    </row>
    <row r="17" spans="1:87" ht="44.1" customHeight="1" x14ac:dyDescent="0.55000000000000004">
      <c r="A17" s="2" t="s">
        <v>164</v>
      </c>
      <c r="B17" s="2" t="s">
        <v>201</v>
      </c>
      <c r="C17" s="2" t="s">
        <v>201</v>
      </c>
      <c r="D17" s="2" t="s">
        <v>202</v>
      </c>
      <c r="E17" s="2" t="s">
        <v>91</v>
      </c>
      <c r="F17" s="2">
        <v>1</v>
      </c>
      <c r="G17" s="2">
        <v>0</v>
      </c>
      <c r="H17" s="2">
        <v>1</v>
      </c>
      <c r="I17" s="2">
        <v>1</v>
      </c>
      <c r="J17" s="2" t="s">
        <v>167</v>
      </c>
      <c r="K17" s="2" t="s">
        <v>93</v>
      </c>
      <c r="L17" s="2" t="s">
        <v>136</v>
      </c>
      <c r="M17" s="2" t="s">
        <v>95</v>
      </c>
      <c r="N17" s="2" t="s">
        <v>168</v>
      </c>
      <c r="O17">
        <v>1986.75</v>
      </c>
      <c r="P17" s="2" t="s">
        <v>169</v>
      </c>
      <c r="Q17" s="2">
        <v>18.600000000000001</v>
      </c>
      <c r="R17" s="2">
        <v>57.5</v>
      </c>
      <c r="S17" s="2">
        <v>8.9</v>
      </c>
      <c r="T17" s="2">
        <v>4.9000000000000004</v>
      </c>
      <c r="U17" s="2">
        <v>86.2</v>
      </c>
      <c r="V17" s="2">
        <v>100</v>
      </c>
      <c r="W17" s="2"/>
      <c r="X17" s="2" t="s">
        <v>170</v>
      </c>
      <c r="Y17" s="2"/>
      <c r="Z17" s="2">
        <v>125</v>
      </c>
      <c r="AA17" s="2">
        <v>122</v>
      </c>
      <c r="AB17" s="2"/>
      <c r="AC17" s="2"/>
      <c r="AD17" s="2"/>
      <c r="AE17" s="2">
        <v>0.83</v>
      </c>
      <c r="AF17" s="2">
        <v>0.85</v>
      </c>
      <c r="AG17" s="2">
        <v>0.84</v>
      </c>
      <c r="AH17" s="2">
        <v>0.83</v>
      </c>
      <c r="AI17" s="2">
        <v>0.85</v>
      </c>
      <c r="AJ17" s="2">
        <v>0.84</v>
      </c>
      <c r="AK17" s="2" t="s">
        <v>99</v>
      </c>
      <c r="AL17" s="2"/>
      <c r="AM17" s="2"/>
      <c r="AN17" s="2"/>
      <c r="AO17" s="2"/>
      <c r="AP17" s="2"/>
      <c r="AQ17" s="2"/>
      <c r="AR17" s="2"/>
      <c r="AS17" s="2"/>
      <c r="AT17" s="2"/>
      <c r="AU17" s="2"/>
      <c r="AV17" s="2">
        <v>1</v>
      </c>
      <c r="AW17" s="2"/>
      <c r="AX17" s="2"/>
      <c r="AY17" s="2"/>
      <c r="AZ17" s="2"/>
      <c r="BA17" s="2">
        <v>-1853</v>
      </c>
      <c r="BB17" s="2"/>
      <c r="BC17" s="2"/>
      <c r="BD17" s="2">
        <v>6843</v>
      </c>
      <c r="BE17" s="2" t="s">
        <v>171</v>
      </c>
      <c r="BF17" s="2">
        <v>3.5</v>
      </c>
      <c r="BG17" s="2"/>
      <c r="BH17" s="2"/>
      <c r="BI17" s="2"/>
      <c r="BK17">
        <v>684</v>
      </c>
      <c r="BN17">
        <v>10401</v>
      </c>
      <c r="BO17" t="s">
        <v>172</v>
      </c>
      <c r="BP17" t="s">
        <v>173</v>
      </c>
      <c r="BQ17" t="s">
        <v>203</v>
      </c>
      <c r="BR17">
        <v>2098</v>
      </c>
      <c r="BT17" t="s">
        <v>175</v>
      </c>
      <c r="BU17" t="s">
        <v>204</v>
      </c>
      <c r="BV17" t="s">
        <v>107</v>
      </c>
      <c r="BW17">
        <v>0</v>
      </c>
      <c r="BX17">
        <v>0</v>
      </c>
      <c r="BY17">
        <v>1</v>
      </c>
      <c r="BZ17">
        <v>0</v>
      </c>
      <c r="CA17">
        <v>0</v>
      </c>
      <c r="CB17">
        <v>0</v>
      </c>
      <c r="CC17">
        <v>0</v>
      </c>
      <c r="CD17">
        <v>0</v>
      </c>
      <c r="CE17">
        <v>96</v>
      </c>
      <c r="CF17">
        <v>0</v>
      </c>
      <c r="CI17">
        <v>6.8</v>
      </c>
    </row>
    <row r="18" spans="1:87" ht="44.1" customHeight="1" x14ac:dyDescent="0.55000000000000004">
      <c r="A18" s="2" t="s">
        <v>164</v>
      </c>
      <c r="B18" s="2" t="s">
        <v>205</v>
      </c>
      <c r="C18" s="2" t="s">
        <v>205</v>
      </c>
      <c r="D18" s="2" t="s">
        <v>206</v>
      </c>
      <c r="E18" s="2" t="s">
        <v>91</v>
      </c>
      <c r="F18" s="2">
        <v>1</v>
      </c>
      <c r="G18" s="2">
        <v>0</v>
      </c>
      <c r="H18" s="2">
        <v>1</v>
      </c>
      <c r="I18" s="2">
        <v>1</v>
      </c>
      <c r="J18" s="2" t="s">
        <v>167</v>
      </c>
      <c r="K18" s="2" t="s">
        <v>93</v>
      </c>
      <c r="L18" s="2" t="s">
        <v>136</v>
      </c>
      <c r="M18" s="2" t="s">
        <v>94</v>
      </c>
      <c r="N18" s="2" t="s">
        <v>168</v>
      </c>
      <c r="O18">
        <v>1986.75</v>
      </c>
      <c r="P18" s="2" t="s">
        <v>169</v>
      </c>
      <c r="Q18" s="2">
        <v>18.3</v>
      </c>
      <c r="R18" s="2">
        <v>46.9</v>
      </c>
      <c r="S18" s="2">
        <v>6.7</v>
      </c>
      <c r="T18" s="2">
        <v>48.1</v>
      </c>
      <c r="U18" s="2">
        <v>36.799999999999997</v>
      </c>
      <c r="V18" s="2">
        <v>100</v>
      </c>
      <c r="W18" s="2"/>
      <c r="X18" s="2" t="s">
        <v>170</v>
      </c>
      <c r="Y18" s="2"/>
      <c r="Z18" s="2">
        <v>93</v>
      </c>
      <c r="AA18" s="2">
        <v>86</v>
      </c>
      <c r="AB18" s="2"/>
      <c r="AC18" s="2"/>
      <c r="AD18" s="2"/>
      <c r="AE18" s="2">
        <v>0.83</v>
      </c>
      <c r="AF18" s="2">
        <v>0.85</v>
      </c>
      <c r="AG18" s="2">
        <v>0.84</v>
      </c>
      <c r="AH18" s="2">
        <v>0.83</v>
      </c>
      <c r="AI18" s="2">
        <v>0.85</v>
      </c>
      <c r="AJ18" s="2">
        <v>0.84</v>
      </c>
      <c r="AK18" s="2" t="s">
        <v>99</v>
      </c>
      <c r="AL18" s="2"/>
      <c r="AM18" s="2"/>
      <c r="AN18" s="2"/>
      <c r="AO18" s="2"/>
      <c r="AP18" s="2"/>
      <c r="AQ18" s="2"/>
      <c r="AR18" s="2"/>
      <c r="AS18" s="2"/>
      <c r="AT18" s="2"/>
      <c r="AU18" s="2"/>
      <c r="AV18" s="2">
        <v>1</v>
      </c>
      <c r="AW18" s="2"/>
      <c r="AX18" s="2"/>
      <c r="AY18" s="2"/>
      <c r="AZ18" s="2"/>
      <c r="BA18" s="2">
        <v>1509</v>
      </c>
      <c r="BB18" s="2"/>
      <c r="BC18" s="2"/>
      <c r="BD18" s="2">
        <v>4041</v>
      </c>
      <c r="BE18" s="2" t="s">
        <v>171</v>
      </c>
      <c r="BF18" s="2">
        <v>3.5</v>
      </c>
      <c r="BG18" s="2"/>
      <c r="BH18" s="2"/>
      <c r="BI18" s="2"/>
      <c r="BK18">
        <v>1029</v>
      </c>
      <c r="BN18">
        <v>9989</v>
      </c>
      <c r="BO18" t="s">
        <v>172</v>
      </c>
      <c r="BP18" t="s">
        <v>173</v>
      </c>
      <c r="BQ18" t="s">
        <v>207</v>
      </c>
      <c r="BR18">
        <v>5306</v>
      </c>
      <c r="BT18" t="s">
        <v>175</v>
      </c>
      <c r="BU18" t="s">
        <v>204</v>
      </c>
      <c r="BV18" t="s">
        <v>107</v>
      </c>
      <c r="BW18">
        <v>0</v>
      </c>
      <c r="BX18">
        <v>0</v>
      </c>
      <c r="BY18">
        <v>0</v>
      </c>
      <c r="BZ18">
        <v>0</v>
      </c>
      <c r="CA18">
        <v>0</v>
      </c>
      <c r="CB18">
        <v>0</v>
      </c>
      <c r="CC18">
        <v>0</v>
      </c>
      <c r="CD18">
        <v>0</v>
      </c>
      <c r="CE18">
        <v>98.9</v>
      </c>
      <c r="CF18">
        <v>0</v>
      </c>
      <c r="CI18">
        <v>6.8</v>
      </c>
    </row>
    <row r="19" spans="1:87" ht="44.1" customHeight="1" x14ac:dyDescent="0.55000000000000004">
      <c r="A19" s="2" t="s">
        <v>164</v>
      </c>
      <c r="B19" s="2" t="s">
        <v>208</v>
      </c>
      <c r="C19" s="2" t="s">
        <v>208</v>
      </c>
      <c r="D19" s="2" t="s">
        <v>209</v>
      </c>
      <c r="E19" s="2" t="s">
        <v>91</v>
      </c>
      <c r="F19" s="2">
        <v>1</v>
      </c>
      <c r="G19" s="2">
        <v>0</v>
      </c>
      <c r="H19" s="2">
        <v>1</v>
      </c>
      <c r="I19" s="2">
        <v>1</v>
      </c>
      <c r="J19" s="2" t="s">
        <v>167</v>
      </c>
      <c r="K19" s="2" t="s">
        <v>93</v>
      </c>
      <c r="L19" s="2" t="s">
        <v>136</v>
      </c>
      <c r="M19" s="2" t="s">
        <v>94</v>
      </c>
      <c r="N19" s="2" t="s">
        <v>168</v>
      </c>
      <c r="O19">
        <v>1986.75</v>
      </c>
      <c r="P19" s="2" t="s">
        <v>169</v>
      </c>
      <c r="Q19" s="2">
        <v>18.3</v>
      </c>
      <c r="R19" s="2">
        <v>41.1</v>
      </c>
      <c r="S19" s="2">
        <v>3.5</v>
      </c>
      <c r="T19" s="2">
        <v>77.8</v>
      </c>
      <c r="U19" s="2">
        <v>7.4</v>
      </c>
      <c r="V19" s="2">
        <v>100</v>
      </c>
      <c r="W19" s="2"/>
      <c r="X19" s="2" t="s">
        <v>170</v>
      </c>
      <c r="Y19" s="2"/>
      <c r="Z19" s="2">
        <v>116</v>
      </c>
      <c r="AA19" s="2">
        <v>115</v>
      </c>
      <c r="AB19" s="2"/>
      <c r="AC19" s="2"/>
      <c r="AD19" s="2"/>
      <c r="AE19" s="2">
        <v>0.83</v>
      </c>
      <c r="AF19" s="2">
        <v>0.85</v>
      </c>
      <c r="AG19" s="2">
        <v>0.84</v>
      </c>
      <c r="AH19" s="2">
        <v>0.83</v>
      </c>
      <c r="AI19" s="2">
        <v>0.85</v>
      </c>
      <c r="AJ19" s="2">
        <v>0.84</v>
      </c>
      <c r="AK19" s="2" t="s">
        <v>99</v>
      </c>
      <c r="AL19" s="2"/>
      <c r="AM19" s="2"/>
      <c r="AN19" s="2"/>
      <c r="AO19" s="2"/>
      <c r="AP19" s="2"/>
      <c r="AQ19" s="2"/>
      <c r="AR19" s="2"/>
      <c r="AS19" s="2"/>
      <c r="AT19" s="2"/>
      <c r="AU19" s="2"/>
      <c r="AV19" s="2">
        <v>1</v>
      </c>
      <c r="AW19" s="2"/>
      <c r="AX19" s="2"/>
      <c r="AY19" s="2"/>
      <c r="AZ19" s="2"/>
      <c r="BA19" s="2">
        <v>-1138</v>
      </c>
      <c r="BB19" s="2"/>
      <c r="BC19" s="2"/>
      <c r="BD19" s="2">
        <v>7186</v>
      </c>
      <c r="BE19" s="2" t="s">
        <v>171</v>
      </c>
      <c r="BF19" s="2">
        <v>3.5</v>
      </c>
      <c r="BG19" s="2"/>
      <c r="BH19" s="2"/>
      <c r="BI19" s="2"/>
      <c r="BK19">
        <v>27</v>
      </c>
      <c r="BN19">
        <v>11683</v>
      </c>
      <c r="BO19" t="s">
        <v>172</v>
      </c>
      <c r="BP19" t="s">
        <v>173</v>
      </c>
      <c r="BQ19" t="s">
        <v>210</v>
      </c>
      <c r="BR19">
        <v>6114</v>
      </c>
      <c r="BT19" t="s">
        <v>175</v>
      </c>
      <c r="BU19" t="s">
        <v>181</v>
      </c>
      <c r="BV19" t="s">
        <v>107</v>
      </c>
      <c r="BW19">
        <v>0</v>
      </c>
      <c r="BX19">
        <v>0</v>
      </c>
      <c r="BY19">
        <v>0</v>
      </c>
      <c r="BZ19">
        <v>0</v>
      </c>
      <c r="CA19">
        <v>0</v>
      </c>
      <c r="CB19">
        <v>0</v>
      </c>
      <c r="CC19">
        <v>0</v>
      </c>
      <c r="CD19">
        <v>0</v>
      </c>
      <c r="CE19">
        <v>81</v>
      </c>
      <c r="CF19">
        <v>0</v>
      </c>
      <c r="CI19">
        <v>6.8</v>
      </c>
    </row>
    <row r="20" spans="1:87" ht="44.1" customHeight="1" x14ac:dyDescent="0.55000000000000004">
      <c r="A20" s="2" t="s">
        <v>164</v>
      </c>
      <c r="B20" s="2" t="s">
        <v>211</v>
      </c>
      <c r="C20" s="2" t="s">
        <v>211</v>
      </c>
      <c r="D20" s="2" t="s">
        <v>212</v>
      </c>
      <c r="E20" s="2" t="s">
        <v>91</v>
      </c>
      <c r="F20" s="2">
        <v>1</v>
      </c>
      <c r="G20" s="2">
        <v>0</v>
      </c>
      <c r="H20" s="2">
        <v>1</v>
      </c>
      <c r="I20" s="2">
        <v>1</v>
      </c>
      <c r="J20" s="2" t="s">
        <v>167</v>
      </c>
      <c r="K20" s="2" t="s">
        <v>93</v>
      </c>
      <c r="L20" s="2" t="s">
        <v>136</v>
      </c>
      <c r="M20" s="2" t="s">
        <v>95</v>
      </c>
      <c r="N20" s="2" t="s">
        <v>168</v>
      </c>
      <c r="O20">
        <v>1986.75</v>
      </c>
      <c r="P20" s="2" t="s">
        <v>169</v>
      </c>
      <c r="Q20" s="2">
        <v>18.399999999999999</v>
      </c>
      <c r="R20" s="2">
        <v>41.5</v>
      </c>
      <c r="S20" s="2">
        <v>14.1</v>
      </c>
      <c r="T20" s="2">
        <v>64.099999999999994</v>
      </c>
      <c r="U20" s="2">
        <v>22.3</v>
      </c>
      <c r="V20" s="2">
        <v>100</v>
      </c>
      <c r="W20" s="2"/>
      <c r="X20" s="2" t="s">
        <v>170</v>
      </c>
      <c r="Y20" s="2"/>
      <c r="Z20" s="2">
        <v>71</v>
      </c>
      <c r="AA20" s="2">
        <v>64</v>
      </c>
      <c r="AB20" s="2"/>
      <c r="AC20" s="2"/>
      <c r="AD20" s="2"/>
      <c r="AE20" s="2">
        <v>0.83</v>
      </c>
      <c r="AF20" s="2">
        <v>0.85</v>
      </c>
      <c r="AG20" s="2">
        <v>0.84</v>
      </c>
      <c r="AH20" s="2">
        <v>0.83</v>
      </c>
      <c r="AI20" s="2">
        <v>0.85</v>
      </c>
      <c r="AJ20" s="2">
        <v>0.84</v>
      </c>
      <c r="AK20" s="2" t="s">
        <v>99</v>
      </c>
      <c r="AL20" s="2"/>
      <c r="AM20" s="2"/>
      <c r="AN20" s="2"/>
      <c r="AO20" s="2"/>
      <c r="AP20" s="2"/>
      <c r="AQ20" s="2"/>
      <c r="AR20" s="2"/>
      <c r="AS20" s="2"/>
      <c r="AT20" s="2"/>
      <c r="AU20" s="2"/>
      <c r="AV20" s="2">
        <v>1</v>
      </c>
      <c r="AW20" s="2"/>
      <c r="AX20" s="2"/>
      <c r="AY20" s="2"/>
      <c r="AZ20" s="2"/>
      <c r="BA20" s="2">
        <v>634</v>
      </c>
      <c r="BB20" s="2"/>
      <c r="BC20" s="2"/>
      <c r="BD20" s="2">
        <v>3148</v>
      </c>
      <c r="BE20" s="2" t="s">
        <v>171</v>
      </c>
      <c r="BF20" s="2">
        <v>3.5</v>
      </c>
      <c r="BG20" s="2"/>
      <c r="BH20" s="2"/>
      <c r="BI20" s="2"/>
      <c r="BK20">
        <v>475</v>
      </c>
      <c r="BN20">
        <v>5081</v>
      </c>
      <c r="BO20" t="s">
        <v>172</v>
      </c>
      <c r="BP20" t="s">
        <v>173</v>
      </c>
      <c r="BQ20" t="s">
        <v>213</v>
      </c>
      <c r="BR20">
        <v>5862</v>
      </c>
      <c r="BT20" t="s">
        <v>175</v>
      </c>
      <c r="BU20" t="s">
        <v>189</v>
      </c>
      <c r="BV20" t="s">
        <v>107</v>
      </c>
      <c r="BW20">
        <v>0</v>
      </c>
      <c r="BX20">
        <v>0</v>
      </c>
      <c r="BY20">
        <v>1</v>
      </c>
      <c r="BZ20">
        <v>0</v>
      </c>
      <c r="CA20">
        <v>0</v>
      </c>
      <c r="CB20">
        <v>0</v>
      </c>
      <c r="CC20">
        <v>0</v>
      </c>
      <c r="CD20">
        <v>0</v>
      </c>
      <c r="CE20">
        <v>100</v>
      </c>
      <c r="CF20">
        <v>0</v>
      </c>
      <c r="CI20">
        <v>6.8</v>
      </c>
    </row>
    <row r="21" spans="1:87" ht="44.1" customHeight="1" x14ac:dyDescent="0.55000000000000004">
      <c r="A21" s="2" t="s">
        <v>164</v>
      </c>
      <c r="B21" s="2" t="s">
        <v>214</v>
      </c>
      <c r="C21" s="2" t="s">
        <v>214</v>
      </c>
      <c r="D21" s="2" t="s">
        <v>215</v>
      </c>
      <c r="E21" s="2" t="s">
        <v>91</v>
      </c>
      <c r="F21" s="2">
        <v>1</v>
      </c>
      <c r="G21" s="2">
        <v>0</v>
      </c>
      <c r="H21" s="2">
        <v>1</v>
      </c>
      <c r="I21" s="2">
        <v>1</v>
      </c>
      <c r="J21" s="2" t="s">
        <v>167</v>
      </c>
      <c r="K21" s="2" t="s">
        <v>93</v>
      </c>
      <c r="L21" s="2" t="s">
        <v>136</v>
      </c>
      <c r="M21" s="2" t="s">
        <v>95</v>
      </c>
      <c r="N21" s="2" t="s">
        <v>168</v>
      </c>
      <c r="O21">
        <v>1986.75</v>
      </c>
      <c r="P21" s="2" t="s">
        <v>169</v>
      </c>
      <c r="Q21" s="2">
        <v>18.5</v>
      </c>
      <c r="R21" s="2">
        <v>52.1</v>
      </c>
      <c r="S21" s="2">
        <v>3.4</v>
      </c>
      <c r="T21" s="2">
        <v>52.5</v>
      </c>
      <c r="U21" s="2">
        <v>31.6</v>
      </c>
      <c r="V21" s="2">
        <v>100</v>
      </c>
      <c r="W21" s="2"/>
      <c r="X21" s="2" t="s">
        <v>170</v>
      </c>
      <c r="Y21" s="2"/>
      <c r="Z21" s="2">
        <v>60</v>
      </c>
      <c r="AA21" s="2">
        <v>57</v>
      </c>
      <c r="AB21" s="2"/>
      <c r="AC21" s="2"/>
      <c r="AD21" s="2"/>
      <c r="AE21" s="2">
        <v>0.83</v>
      </c>
      <c r="AF21" s="2">
        <v>0.85</v>
      </c>
      <c r="AG21" s="2">
        <v>0.84</v>
      </c>
      <c r="AH21" s="2">
        <v>0.83</v>
      </c>
      <c r="AI21" s="2">
        <v>0.85</v>
      </c>
      <c r="AJ21" s="2">
        <v>0.84</v>
      </c>
      <c r="AK21" s="2" t="s">
        <v>99</v>
      </c>
      <c r="AL21" s="2"/>
      <c r="AM21" s="2"/>
      <c r="AN21" s="2"/>
      <c r="AO21" s="2"/>
      <c r="AP21" s="2"/>
      <c r="AQ21" s="2"/>
      <c r="AR21" s="2"/>
      <c r="AS21" s="2"/>
      <c r="AT21" s="2"/>
      <c r="AU21" s="2"/>
      <c r="AV21" s="2">
        <v>1</v>
      </c>
      <c r="AW21" s="2"/>
      <c r="AX21" s="2"/>
      <c r="AY21" s="2"/>
      <c r="AZ21" s="2"/>
      <c r="BA21" s="2">
        <v>-5166</v>
      </c>
      <c r="BB21" s="2"/>
      <c r="BC21" s="2"/>
      <c r="BD21" s="2">
        <v>10860</v>
      </c>
      <c r="BE21" s="2" t="s">
        <v>171</v>
      </c>
      <c r="BF21" s="2">
        <v>3.5</v>
      </c>
      <c r="BG21" s="2"/>
      <c r="BH21" s="2"/>
      <c r="BI21" s="2"/>
      <c r="BK21">
        <v>-1011</v>
      </c>
      <c r="BN21">
        <v>10782</v>
      </c>
      <c r="BO21" t="s">
        <v>172</v>
      </c>
      <c r="BP21" t="s">
        <v>173</v>
      </c>
      <c r="BQ21" t="s">
        <v>216</v>
      </c>
      <c r="BR21">
        <v>7484</v>
      </c>
      <c r="BT21" t="s">
        <v>175</v>
      </c>
      <c r="BU21" t="s">
        <v>217</v>
      </c>
      <c r="BV21" t="s">
        <v>107</v>
      </c>
      <c r="BW21">
        <v>0</v>
      </c>
      <c r="BX21">
        <v>0</v>
      </c>
      <c r="BY21">
        <v>1</v>
      </c>
      <c r="BZ21">
        <v>0</v>
      </c>
      <c r="CA21">
        <v>0</v>
      </c>
      <c r="CB21">
        <v>0</v>
      </c>
      <c r="CC21">
        <v>0</v>
      </c>
      <c r="CD21">
        <v>0</v>
      </c>
      <c r="CE21">
        <v>75</v>
      </c>
      <c r="CF21">
        <v>0</v>
      </c>
      <c r="CI21">
        <v>6.8</v>
      </c>
    </row>
    <row r="22" spans="1:87" ht="44.1" customHeight="1" x14ac:dyDescent="0.55000000000000004">
      <c r="A22" s="2" t="s">
        <v>164</v>
      </c>
      <c r="B22" s="2" t="s">
        <v>218</v>
      </c>
      <c r="C22" s="2" t="s">
        <v>218</v>
      </c>
      <c r="D22" s="2" t="s">
        <v>219</v>
      </c>
      <c r="E22" s="2" t="s">
        <v>91</v>
      </c>
      <c r="F22" s="2">
        <v>1</v>
      </c>
      <c r="G22" s="2">
        <v>0</v>
      </c>
      <c r="H22" s="2">
        <v>1</v>
      </c>
      <c r="I22" s="2">
        <v>1</v>
      </c>
      <c r="J22" s="2" t="s">
        <v>167</v>
      </c>
      <c r="K22" s="2" t="s">
        <v>93</v>
      </c>
      <c r="L22" s="2" t="s">
        <v>136</v>
      </c>
      <c r="M22" s="2" t="s">
        <v>95</v>
      </c>
      <c r="N22" s="2" t="s">
        <v>168</v>
      </c>
      <c r="O22">
        <v>1986.75</v>
      </c>
      <c r="P22" s="2" t="s">
        <v>169</v>
      </c>
      <c r="Q22" s="2">
        <v>18.3</v>
      </c>
      <c r="R22" s="2">
        <v>35.4</v>
      </c>
      <c r="S22" s="2">
        <v>4</v>
      </c>
      <c r="T22" s="2">
        <v>52.5</v>
      </c>
      <c r="U22" s="2">
        <v>43.4</v>
      </c>
      <c r="V22" s="2">
        <v>100</v>
      </c>
      <c r="W22" s="2"/>
      <c r="X22" s="2" t="s">
        <v>170</v>
      </c>
      <c r="Y22" s="2"/>
      <c r="Z22" s="2">
        <v>52</v>
      </c>
      <c r="AA22" s="2">
        <v>47</v>
      </c>
      <c r="AB22" s="2"/>
      <c r="AC22" s="2"/>
      <c r="AD22" s="2"/>
      <c r="AE22" s="2">
        <v>0.83</v>
      </c>
      <c r="AF22" s="2">
        <v>0.85</v>
      </c>
      <c r="AG22" s="2">
        <v>0.84</v>
      </c>
      <c r="AH22" s="2">
        <v>0.83</v>
      </c>
      <c r="AI22" s="2">
        <v>0.85</v>
      </c>
      <c r="AJ22" s="2">
        <v>0.84</v>
      </c>
      <c r="AK22" s="2" t="s">
        <v>99</v>
      </c>
      <c r="AL22" s="2"/>
      <c r="AM22" s="2"/>
      <c r="AN22" s="2"/>
      <c r="AO22" s="2"/>
      <c r="AP22" s="2"/>
      <c r="AQ22" s="2"/>
      <c r="AR22" s="2"/>
      <c r="AS22" s="2"/>
      <c r="AT22" s="2"/>
      <c r="AU22" s="2"/>
      <c r="AV22" s="2">
        <v>1</v>
      </c>
      <c r="AW22" s="2"/>
      <c r="AX22" s="2"/>
      <c r="AY22" s="2"/>
      <c r="AZ22" s="2"/>
      <c r="BA22" s="2">
        <v>1038</v>
      </c>
      <c r="BB22" s="2"/>
      <c r="BC22" s="2"/>
      <c r="BD22" s="2">
        <v>7371</v>
      </c>
      <c r="BE22" s="2" t="s">
        <v>171</v>
      </c>
      <c r="BF22" s="2">
        <v>3.5</v>
      </c>
      <c r="BG22" s="2"/>
      <c r="BH22" s="2"/>
      <c r="BI22" s="2"/>
      <c r="BK22">
        <v>-1004</v>
      </c>
      <c r="BN22">
        <v>9897</v>
      </c>
      <c r="BO22" t="s">
        <v>172</v>
      </c>
      <c r="BP22" t="s">
        <v>173</v>
      </c>
      <c r="BQ22" t="s">
        <v>220</v>
      </c>
      <c r="BR22">
        <v>5166</v>
      </c>
      <c r="BT22" t="s">
        <v>175</v>
      </c>
      <c r="BU22" t="s">
        <v>221</v>
      </c>
      <c r="BV22" t="s">
        <v>107</v>
      </c>
      <c r="BW22">
        <v>0</v>
      </c>
      <c r="BX22">
        <v>0</v>
      </c>
      <c r="BY22">
        <v>0</v>
      </c>
      <c r="BZ22">
        <v>0</v>
      </c>
      <c r="CA22">
        <v>0</v>
      </c>
      <c r="CB22">
        <v>0</v>
      </c>
      <c r="CC22">
        <v>0</v>
      </c>
      <c r="CD22">
        <v>0</v>
      </c>
      <c r="CE22">
        <v>86.5</v>
      </c>
      <c r="CF22">
        <v>0</v>
      </c>
      <c r="CI22">
        <v>6.8</v>
      </c>
    </row>
    <row r="23" spans="1:87" ht="44.1" customHeight="1" x14ac:dyDescent="0.55000000000000004">
      <c r="A23" s="2" t="s">
        <v>222</v>
      </c>
      <c r="B23" s="2" t="s">
        <v>223</v>
      </c>
      <c r="C23" s="2" t="s">
        <v>224</v>
      </c>
      <c r="D23" s="2" t="s">
        <v>225</v>
      </c>
      <c r="E23" s="2" t="s">
        <v>226</v>
      </c>
      <c r="F23" s="2">
        <v>1</v>
      </c>
      <c r="G23" s="2">
        <v>0</v>
      </c>
      <c r="H23" s="2">
        <v>1</v>
      </c>
      <c r="I23" s="2">
        <v>1</v>
      </c>
      <c r="J23" s="2" t="s">
        <v>227</v>
      </c>
      <c r="K23" s="2" t="s">
        <v>228</v>
      </c>
      <c r="L23" s="2" t="s">
        <v>94</v>
      </c>
      <c r="M23" s="2" t="s">
        <v>94</v>
      </c>
      <c r="N23" s="2" t="s">
        <v>229</v>
      </c>
      <c r="O23">
        <v>1989.9580000000001</v>
      </c>
      <c r="P23" s="2" t="s">
        <v>230</v>
      </c>
      <c r="Q23" s="2">
        <v>34.700000000000003</v>
      </c>
      <c r="R23" s="2">
        <v>1</v>
      </c>
      <c r="S23" s="2">
        <v>17.899999999999999</v>
      </c>
      <c r="T23" s="2">
        <v>68.599999999999994</v>
      </c>
      <c r="U23" s="2">
        <v>7.5</v>
      </c>
      <c r="V23" s="2"/>
      <c r="W23" s="2"/>
      <c r="X23" s="2" t="s">
        <v>231</v>
      </c>
      <c r="Y23" s="2"/>
      <c r="Z23" s="2">
        <v>602</v>
      </c>
      <c r="AA23" s="2">
        <v>603</v>
      </c>
      <c r="AB23" s="2"/>
      <c r="AC23" s="2"/>
      <c r="AD23" s="2"/>
      <c r="AE23" s="2"/>
      <c r="AF23" s="2"/>
      <c r="AG23" s="2"/>
      <c r="AH23" s="2"/>
      <c r="AI23" s="2"/>
      <c r="AJ23" s="2"/>
      <c r="AK23" s="2" t="s">
        <v>232</v>
      </c>
      <c r="AL23" s="2">
        <v>1</v>
      </c>
      <c r="AM23" s="2">
        <v>2.8</v>
      </c>
      <c r="AN23" s="2"/>
      <c r="AO23" s="2"/>
      <c r="AP23" s="2">
        <v>27.3</v>
      </c>
      <c r="AQ23" s="2">
        <v>209</v>
      </c>
      <c r="AR23" s="2"/>
      <c r="AS23" s="2"/>
      <c r="AT23" s="2">
        <v>1212</v>
      </c>
      <c r="AU23" s="2" t="s">
        <v>233</v>
      </c>
      <c r="AV23" s="2">
        <v>2</v>
      </c>
      <c r="AW23" s="2">
        <v>6.5</v>
      </c>
      <c r="AX23" s="2">
        <v>2.52</v>
      </c>
      <c r="AY23" s="2" t="s">
        <v>141</v>
      </c>
      <c r="AZ23" s="2">
        <v>26.3</v>
      </c>
      <c r="BA23" s="2">
        <v>508</v>
      </c>
      <c r="BB23" s="2">
        <v>308.77</v>
      </c>
      <c r="BC23" s="2" t="s">
        <v>112</v>
      </c>
      <c r="BD23" s="2">
        <v>1624</v>
      </c>
      <c r="BE23" s="2" t="s">
        <v>234</v>
      </c>
      <c r="BF23" s="2">
        <v>5</v>
      </c>
      <c r="BG23" s="2">
        <v>1.5</v>
      </c>
      <c r="BH23" s="2"/>
      <c r="BI23" s="2"/>
      <c r="BJ23">
        <v>35.5</v>
      </c>
      <c r="BK23">
        <v>527</v>
      </c>
      <c r="BN23">
        <v>3236</v>
      </c>
      <c r="BO23" t="s">
        <v>235</v>
      </c>
      <c r="BP23" t="s">
        <v>236</v>
      </c>
      <c r="BQ23" t="s">
        <v>237</v>
      </c>
      <c r="BR23">
        <v>5597</v>
      </c>
      <c r="BT23" t="s">
        <v>238</v>
      </c>
      <c r="BU23" t="s">
        <v>181</v>
      </c>
      <c r="BV23" t="s">
        <v>107</v>
      </c>
      <c r="BW23">
        <v>0</v>
      </c>
      <c r="BX23">
        <v>0</v>
      </c>
      <c r="BY23">
        <v>0</v>
      </c>
      <c r="BZ23">
        <v>0</v>
      </c>
      <c r="CA23">
        <v>0</v>
      </c>
      <c r="CB23">
        <v>0</v>
      </c>
      <c r="CC23">
        <v>0</v>
      </c>
      <c r="CD23">
        <v>0</v>
      </c>
    </row>
    <row r="24" spans="1:87" ht="44.1" customHeight="1" x14ac:dyDescent="0.55000000000000004">
      <c r="A24" s="2" t="s">
        <v>222</v>
      </c>
      <c r="B24" s="2" t="s">
        <v>239</v>
      </c>
      <c r="C24" s="2" t="s">
        <v>240</v>
      </c>
      <c r="D24" s="2" t="s">
        <v>225</v>
      </c>
      <c r="E24" s="2" t="s">
        <v>226</v>
      </c>
      <c r="F24" s="2">
        <v>1</v>
      </c>
      <c r="G24" s="2">
        <v>0</v>
      </c>
      <c r="H24" s="2">
        <v>1</v>
      </c>
      <c r="I24" s="2">
        <v>1</v>
      </c>
      <c r="J24" s="2" t="s">
        <v>227</v>
      </c>
      <c r="K24" s="2" t="s">
        <v>228</v>
      </c>
      <c r="L24" s="2" t="s">
        <v>94</v>
      </c>
      <c r="M24" s="2" t="s">
        <v>94</v>
      </c>
      <c r="N24" s="2" t="s">
        <v>241</v>
      </c>
      <c r="O24">
        <v>1989.2080000000001</v>
      </c>
      <c r="P24" s="2" t="s">
        <v>230</v>
      </c>
      <c r="Q24" s="2">
        <v>33.6</v>
      </c>
      <c r="R24" s="2">
        <v>1</v>
      </c>
      <c r="S24" s="2">
        <v>85.7</v>
      </c>
      <c r="T24" s="2">
        <v>3.5</v>
      </c>
      <c r="U24" s="2">
        <v>5.6</v>
      </c>
      <c r="V24" s="2"/>
      <c r="W24" s="2"/>
      <c r="X24" s="2" t="s">
        <v>242</v>
      </c>
      <c r="Y24" s="2"/>
      <c r="Z24" s="2">
        <v>986</v>
      </c>
      <c r="AA24" s="2">
        <v>243</v>
      </c>
      <c r="AB24" s="2"/>
      <c r="AC24" s="2"/>
      <c r="AD24" s="2"/>
      <c r="AE24" s="2"/>
      <c r="AF24" s="2"/>
      <c r="AG24" s="2"/>
      <c r="AH24" s="2"/>
      <c r="AI24" s="2"/>
      <c r="AJ24" s="2"/>
      <c r="AK24" s="2" t="s">
        <v>232</v>
      </c>
      <c r="AL24" s="2">
        <v>1</v>
      </c>
      <c r="AM24" s="2">
        <v>-3.3</v>
      </c>
      <c r="AN24" s="2"/>
      <c r="AO24" s="2"/>
      <c r="AP24" s="2">
        <v>45.6</v>
      </c>
      <c r="AQ24" s="2">
        <v>272</v>
      </c>
      <c r="AR24" s="2"/>
      <c r="AS24" s="2"/>
      <c r="AT24" s="2">
        <v>1729</v>
      </c>
      <c r="AU24" s="2" t="s">
        <v>233</v>
      </c>
      <c r="AV24" s="2">
        <v>2</v>
      </c>
      <c r="AW24" s="2">
        <v>4</v>
      </c>
      <c r="AX24" s="2"/>
      <c r="AY24" s="2"/>
      <c r="AZ24" s="2">
        <v>42.2</v>
      </c>
      <c r="BA24" s="2">
        <v>556</v>
      </c>
      <c r="BB24" s="2"/>
      <c r="BC24" s="2"/>
      <c r="BD24" s="2">
        <v>2442</v>
      </c>
      <c r="BE24" s="2" t="s">
        <v>234</v>
      </c>
      <c r="BF24" s="2">
        <v>5</v>
      </c>
      <c r="BG24" s="2">
        <v>-1.5</v>
      </c>
      <c r="BH24" s="2"/>
      <c r="BI24" s="2"/>
      <c r="BJ24">
        <v>45.5</v>
      </c>
      <c r="BK24">
        <v>1339</v>
      </c>
      <c r="BL24">
        <v>683.03</v>
      </c>
      <c r="BM24" t="s">
        <v>100</v>
      </c>
      <c r="BN24">
        <v>3281</v>
      </c>
      <c r="BO24" t="s">
        <v>235</v>
      </c>
      <c r="BP24" t="s">
        <v>243</v>
      </c>
      <c r="BQ24" t="s">
        <v>244</v>
      </c>
      <c r="BR24">
        <v>2904</v>
      </c>
      <c r="BT24" t="s">
        <v>245</v>
      </c>
      <c r="BU24" t="s">
        <v>181</v>
      </c>
      <c r="BV24" t="s">
        <v>246</v>
      </c>
      <c r="BW24">
        <v>0</v>
      </c>
      <c r="BX24">
        <v>0</v>
      </c>
      <c r="BY24">
        <v>0</v>
      </c>
      <c r="BZ24">
        <v>0</v>
      </c>
      <c r="CA24">
        <v>0</v>
      </c>
      <c r="CB24">
        <v>0</v>
      </c>
      <c r="CC24">
        <v>0</v>
      </c>
      <c r="CD24">
        <v>0</v>
      </c>
      <c r="CI24">
        <v>2.4</v>
      </c>
    </row>
    <row r="25" spans="1:87" ht="44.1" customHeight="1" x14ac:dyDescent="0.55000000000000004">
      <c r="A25" s="2" t="s">
        <v>222</v>
      </c>
      <c r="B25" s="2" t="s">
        <v>247</v>
      </c>
      <c r="C25" s="2" t="s">
        <v>248</v>
      </c>
      <c r="D25" s="2" t="s">
        <v>225</v>
      </c>
      <c r="E25" s="2" t="s">
        <v>226</v>
      </c>
      <c r="F25" s="2">
        <v>1</v>
      </c>
      <c r="G25" s="2">
        <v>0</v>
      </c>
      <c r="H25" s="2">
        <v>1</v>
      </c>
      <c r="I25" s="2">
        <v>1</v>
      </c>
      <c r="J25" s="2" t="s">
        <v>227</v>
      </c>
      <c r="K25" s="2" t="s">
        <v>228</v>
      </c>
      <c r="L25" s="2" t="s">
        <v>94</v>
      </c>
      <c r="M25" s="2" t="s">
        <v>94</v>
      </c>
      <c r="N25" s="2" t="s">
        <v>249</v>
      </c>
      <c r="O25">
        <v>1989.875</v>
      </c>
      <c r="P25" s="2" t="s">
        <v>230</v>
      </c>
      <c r="Q25" s="2">
        <v>38.5</v>
      </c>
      <c r="R25" s="2">
        <v>1</v>
      </c>
      <c r="S25" s="2">
        <v>11.6</v>
      </c>
      <c r="T25" s="2">
        <v>45.3</v>
      </c>
      <c r="U25" s="2">
        <v>31.9</v>
      </c>
      <c r="V25" s="2"/>
      <c r="W25" s="2"/>
      <c r="X25" s="2" t="s">
        <v>250</v>
      </c>
      <c r="Y25" s="2"/>
      <c r="Z25" s="2">
        <v>2995</v>
      </c>
      <c r="AA25" s="2">
        <v>1401</v>
      </c>
      <c r="AB25" s="2"/>
      <c r="AC25" s="2"/>
      <c r="AD25" s="2"/>
      <c r="AE25" s="2"/>
      <c r="AF25" s="2"/>
      <c r="AG25" s="2"/>
      <c r="AH25" s="2"/>
      <c r="AI25" s="2"/>
      <c r="AJ25" s="2"/>
      <c r="AK25" s="2" t="s">
        <v>232</v>
      </c>
      <c r="AL25" s="2">
        <v>1</v>
      </c>
      <c r="AM25" s="2">
        <v>2.1</v>
      </c>
      <c r="AN25" s="2"/>
      <c r="AO25" s="2"/>
      <c r="AP25" s="2">
        <v>24.9</v>
      </c>
      <c r="AQ25" s="2">
        <v>-4</v>
      </c>
      <c r="AR25" s="2"/>
      <c r="AS25" s="2"/>
      <c r="AT25" s="2">
        <v>1308</v>
      </c>
      <c r="AU25" s="2" t="s">
        <v>233</v>
      </c>
      <c r="AV25" s="2">
        <v>2</v>
      </c>
      <c r="AW25" s="2">
        <v>4</v>
      </c>
      <c r="AX25" s="2">
        <v>1.55</v>
      </c>
      <c r="AY25" s="2" t="s">
        <v>141</v>
      </c>
      <c r="AZ25" s="2">
        <v>22.9</v>
      </c>
      <c r="BA25" s="2">
        <v>110</v>
      </c>
      <c r="BB25" s="2"/>
      <c r="BC25" s="2"/>
      <c r="BD25" s="2">
        <v>1589</v>
      </c>
      <c r="BE25" s="2" t="s">
        <v>234</v>
      </c>
      <c r="BF25" s="2">
        <v>5</v>
      </c>
      <c r="BG25" s="2">
        <v>4</v>
      </c>
      <c r="BH25" s="2">
        <v>1.55</v>
      </c>
      <c r="BI25" s="2" t="s">
        <v>141</v>
      </c>
      <c r="BJ25">
        <v>25.8</v>
      </c>
      <c r="BK25">
        <v>213</v>
      </c>
      <c r="BN25">
        <v>2259</v>
      </c>
      <c r="BO25" t="s">
        <v>235</v>
      </c>
      <c r="BP25" t="s">
        <v>251</v>
      </c>
      <c r="BQ25" t="s">
        <v>252</v>
      </c>
      <c r="BR25">
        <v>5789</v>
      </c>
      <c r="BT25" t="s">
        <v>253</v>
      </c>
      <c r="BU25" t="s">
        <v>181</v>
      </c>
      <c r="BV25" t="s">
        <v>107</v>
      </c>
      <c r="BW25">
        <v>0</v>
      </c>
      <c r="BX25">
        <v>0</v>
      </c>
      <c r="BY25">
        <v>0</v>
      </c>
      <c r="BZ25">
        <v>0</v>
      </c>
      <c r="CA25">
        <v>0</v>
      </c>
      <c r="CB25">
        <v>0</v>
      </c>
      <c r="CC25">
        <v>0</v>
      </c>
      <c r="CD25">
        <v>0</v>
      </c>
    </row>
    <row r="26" spans="1:87" ht="44.1" customHeight="1" x14ac:dyDescent="0.55000000000000004">
      <c r="A26" s="2" t="s">
        <v>222</v>
      </c>
      <c r="B26" s="2" t="s">
        <v>254</v>
      </c>
      <c r="C26" s="2" t="s">
        <v>255</v>
      </c>
      <c r="D26" s="2" t="s">
        <v>225</v>
      </c>
      <c r="E26" s="2" t="s">
        <v>226</v>
      </c>
      <c r="F26" s="2">
        <v>1</v>
      </c>
      <c r="G26" s="2">
        <v>0</v>
      </c>
      <c r="H26" s="2">
        <v>1</v>
      </c>
      <c r="I26" s="2">
        <v>1</v>
      </c>
      <c r="J26" s="2" t="s">
        <v>227</v>
      </c>
      <c r="K26" s="2" t="s">
        <v>228</v>
      </c>
      <c r="L26" s="2" t="s">
        <v>94</v>
      </c>
      <c r="M26" s="2" t="s">
        <v>94</v>
      </c>
      <c r="N26" s="2" t="s">
        <v>256</v>
      </c>
      <c r="O26">
        <v>1989.4169999999999</v>
      </c>
      <c r="P26" s="2" t="s">
        <v>230</v>
      </c>
      <c r="Q26" s="2">
        <v>33.700000000000003</v>
      </c>
      <c r="R26" s="2">
        <v>1</v>
      </c>
      <c r="S26" s="2">
        <v>51.2</v>
      </c>
      <c r="T26" s="2">
        <v>15.5</v>
      </c>
      <c r="U26" s="2">
        <v>27.6</v>
      </c>
      <c r="V26" s="2"/>
      <c r="W26" s="2"/>
      <c r="X26" s="2" t="s">
        <v>257</v>
      </c>
      <c r="Y26" s="2"/>
      <c r="Z26" s="2">
        <v>4457</v>
      </c>
      <c r="AA26" s="2">
        <v>1051</v>
      </c>
      <c r="AB26" s="2"/>
      <c r="AC26" s="2"/>
      <c r="AD26" s="2"/>
      <c r="AE26" s="2"/>
      <c r="AF26" s="2"/>
      <c r="AG26" s="2"/>
      <c r="AH26" s="2"/>
      <c r="AI26" s="2"/>
      <c r="AJ26" s="2"/>
      <c r="AK26" s="2" t="s">
        <v>232</v>
      </c>
      <c r="AL26" s="2">
        <v>1</v>
      </c>
      <c r="AM26" s="2">
        <v>18</v>
      </c>
      <c r="AN26" s="2">
        <v>6.99</v>
      </c>
      <c r="AO26" s="2" t="s">
        <v>141</v>
      </c>
      <c r="AP26" s="2">
        <v>34</v>
      </c>
      <c r="AQ26" s="2">
        <v>920</v>
      </c>
      <c r="AR26" s="2">
        <v>357.11</v>
      </c>
      <c r="AS26" s="2" t="s">
        <v>141</v>
      </c>
      <c r="AT26" s="2">
        <v>1550</v>
      </c>
      <c r="AU26" s="2" t="s">
        <v>233</v>
      </c>
      <c r="AV26" s="2">
        <v>2</v>
      </c>
      <c r="AW26" s="2">
        <v>14</v>
      </c>
      <c r="AX26" s="2">
        <v>5.43</v>
      </c>
      <c r="AY26" s="2" t="s">
        <v>141</v>
      </c>
      <c r="AZ26" s="2">
        <v>35.4</v>
      </c>
      <c r="BA26" s="2">
        <v>1183</v>
      </c>
      <c r="BB26" s="2">
        <v>459.2</v>
      </c>
      <c r="BC26" s="2" t="s">
        <v>141</v>
      </c>
      <c r="BD26" s="2">
        <v>2233</v>
      </c>
      <c r="BE26" s="2" t="s">
        <v>234</v>
      </c>
      <c r="BF26" s="2">
        <v>5</v>
      </c>
      <c r="BG26" s="2">
        <v>6</v>
      </c>
      <c r="BH26" s="2">
        <v>2.33</v>
      </c>
      <c r="BI26" s="2" t="s">
        <v>141</v>
      </c>
      <c r="BJ26">
        <v>33.4</v>
      </c>
      <c r="BK26">
        <v>922</v>
      </c>
      <c r="BL26">
        <v>357.89</v>
      </c>
      <c r="BM26" t="s">
        <v>141</v>
      </c>
      <c r="BN26">
        <v>2917</v>
      </c>
      <c r="BO26" t="s">
        <v>235</v>
      </c>
      <c r="BP26" t="s">
        <v>258</v>
      </c>
      <c r="BQ26" t="s">
        <v>259</v>
      </c>
      <c r="BR26">
        <v>1597</v>
      </c>
      <c r="BT26" t="s">
        <v>260</v>
      </c>
      <c r="BU26" t="s">
        <v>181</v>
      </c>
      <c r="BV26" t="s">
        <v>107</v>
      </c>
      <c r="BW26">
        <v>0</v>
      </c>
      <c r="BX26">
        <v>0</v>
      </c>
      <c r="BY26">
        <v>0</v>
      </c>
      <c r="BZ26">
        <v>0</v>
      </c>
      <c r="CA26">
        <v>0</v>
      </c>
      <c r="CB26">
        <v>0</v>
      </c>
      <c r="CC26">
        <v>0</v>
      </c>
      <c r="CD26">
        <v>0</v>
      </c>
      <c r="CI26">
        <v>3.2</v>
      </c>
    </row>
    <row r="27" spans="1:87" ht="44.1" customHeight="1" x14ac:dyDescent="0.55000000000000004">
      <c r="A27" s="2" t="s">
        <v>222</v>
      </c>
      <c r="B27" s="2" t="s">
        <v>261</v>
      </c>
      <c r="C27" s="2" t="s">
        <v>262</v>
      </c>
      <c r="D27" s="2" t="s">
        <v>225</v>
      </c>
      <c r="E27" s="2" t="s">
        <v>226</v>
      </c>
      <c r="F27" s="2">
        <v>1</v>
      </c>
      <c r="G27" s="2">
        <v>0</v>
      </c>
      <c r="H27" s="2">
        <v>1</v>
      </c>
      <c r="I27" s="2">
        <v>1</v>
      </c>
      <c r="J27" s="2" t="s">
        <v>227</v>
      </c>
      <c r="K27" s="2" t="s">
        <v>228</v>
      </c>
      <c r="L27" s="2" t="s">
        <v>94</v>
      </c>
      <c r="M27" s="2" t="s">
        <v>94</v>
      </c>
      <c r="N27" s="2" t="s">
        <v>263</v>
      </c>
      <c r="O27">
        <v>1989.1669999999999</v>
      </c>
      <c r="P27" s="2" t="s">
        <v>230</v>
      </c>
      <c r="Q27" s="2">
        <v>33.799999999999997</v>
      </c>
      <c r="R27" s="2">
        <v>1</v>
      </c>
      <c r="S27" s="2">
        <v>41.8</v>
      </c>
      <c r="T27" s="2">
        <v>22.5</v>
      </c>
      <c r="U27" s="2">
        <v>25.3</v>
      </c>
      <c r="V27" s="2"/>
      <c r="W27" s="2"/>
      <c r="X27" s="2" t="s">
        <v>242</v>
      </c>
      <c r="Y27" s="2"/>
      <c r="Z27" s="2">
        <v>7049</v>
      </c>
      <c r="AA27" s="2">
        <v>1170</v>
      </c>
      <c r="AB27" s="2"/>
      <c r="AC27" s="2"/>
      <c r="AD27" s="2"/>
      <c r="AE27" s="2"/>
      <c r="AF27" s="2"/>
      <c r="AG27" s="2"/>
      <c r="AH27" s="2"/>
      <c r="AI27" s="2"/>
      <c r="AJ27" s="2"/>
      <c r="AK27" s="2" t="s">
        <v>232</v>
      </c>
      <c r="AL27" s="2">
        <v>1</v>
      </c>
      <c r="AM27" s="2">
        <v>6</v>
      </c>
      <c r="AN27" s="2">
        <v>2.33</v>
      </c>
      <c r="AO27" s="2" t="s">
        <v>141</v>
      </c>
      <c r="AP27" s="2">
        <v>40</v>
      </c>
      <c r="AQ27" s="2">
        <v>349</v>
      </c>
      <c r="AR27" s="2">
        <v>178.03</v>
      </c>
      <c r="AS27" s="2" t="s">
        <v>100</v>
      </c>
      <c r="AT27" s="2">
        <v>2113</v>
      </c>
      <c r="AU27" s="2" t="s">
        <v>233</v>
      </c>
      <c r="AV27" s="2">
        <v>2</v>
      </c>
      <c r="AW27" s="2">
        <v>5.0999999999999996</v>
      </c>
      <c r="AX27" s="2">
        <v>1.98</v>
      </c>
      <c r="AY27" s="2" t="s">
        <v>141</v>
      </c>
      <c r="AZ27" s="2">
        <v>40.799999999999997</v>
      </c>
      <c r="BA27" s="2">
        <v>709</v>
      </c>
      <c r="BB27" s="2">
        <v>275.20999999999998</v>
      </c>
      <c r="BC27" s="2" t="s">
        <v>141</v>
      </c>
      <c r="BD27" s="2">
        <v>2794</v>
      </c>
      <c r="BE27" s="2" t="s">
        <v>234</v>
      </c>
      <c r="BF27" s="2">
        <v>5</v>
      </c>
      <c r="BG27" s="2">
        <v>3.3</v>
      </c>
      <c r="BH27" s="2">
        <v>1.68</v>
      </c>
      <c r="BI27" s="2" t="s">
        <v>100</v>
      </c>
      <c r="BJ27">
        <v>37.1</v>
      </c>
      <c r="BK27">
        <v>555</v>
      </c>
      <c r="BL27">
        <v>283.11</v>
      </c>
      <c r="BM27" t="s">
        <v>100</v>
      </c>
      <c r="BN27">
        <v>3750</v>
      </c>
      <c r="BO27" t="s">
        <v>235</v>
      </c>
      <c r="BP27" t="s">
        <v>264</v>
      </c>
      <c r="BQ27" t="s">
        <v>265</v>
      </c>
      <c r="BR27">
        <v>1912</v>
      </c>
      <c r="BT27" t="s">
        <v>266</v>
      </c>
      <c r="BU27" t="s">
        <v>181</v>
      </c>
      <c r="BV27" t="s">
        <v>107</v>
      </c>
      <c r="BW27">
        <v>0</v>
      </c>
      <c r="BX27">
        <v>0</v>
      </c>
      <c r="BY27">
        <v>0</v>
      </c>
      <c r="BZ27">
        <v>0</v>
      </c>
      <c r="CA27">
        <v>0</v>
      </c>
      <c r="CB27">
        <v>0</v>
      </c>
      <c r="CC27">
        <v>0</v>
      </c>
      <c r="CD27">
        <v>0</v>
      </c>
      <c r="CI27">
        <v>3.1</v>
      </c>
    </row>
    <row r="28" spans="1:87" ht="44.1" customHeight="1" x14ac:dyDescent="0.55000000000000004">
      <c r="A28" s="2" t="s">
        <v>222</v>
      </c>
      <c r="B28" s="2" t="s">
        <v>267</v>
      </c>
      <c r="C28" s="2" t="s">
        <v>268</v>
      </c>
      <c r="D28" s="2" t="s">
        <v>225</v>
      </c>
      <c r="E28" s="2" t="s">
        <v>226</v>
      </c>
      <c r="F28" s="2">
        <v>1</v>
      </c>
      <c r="G28" s="2">
        <v>0</v>
      </c>
      <c r="H28" s="2">
        <v>1</v>
      </c>
      <c r="I28" s="2">
        <v>1</v>
      </c>
      <c r="J28" s="2" t="s">
        <v>227</v>
      </c>
      <c r="K28" s="2" t="s">
        <v>228</v>
      </c>
      <c r="L28" s="2" t="s">
        <v>94</v>
      </c>
      <c r="M28" s="2" t="s">
        <v>94</v>
      </c>
      <c r="N28" s="2" t="s">
        <v>269</v>
      </c>
      <c r="O28">
        <v>1989.75</v>
      </c>
      <c r="P28" s="2" t="s">
        <v>230</v>
      </c>
      <c r="Q28" s="2">
        <v>34.9</v>
      </c>
      <c r="R28" s="2">
        <v>1</v>
      </c>
      <c r="S28" s="2">
        <v>51.7</v>
      </c>
      <c r="T28" s="2">
        <v>3.6</v>
      </c>
      <c r="U28" s="2">
        <v>39.200000000000003</v>
      </c>
      <c r="V28" s="2"/>
      <c r="W28" s="2"/>
      <c r="X28" s="2" t="s">
        <v>242</v>
      </c>
      <c r="Y28" s="2"/>
      <c r="Z28" s="2">
        <v>1588</v>
      </c>
      <c r="AA28" s="2">
        <v>646</v>
      </c>
      <c r="AB28" s="2"/>
      <c r="AC28" s="2"/>
      <c r="AD28" s="2"/>
      <c r="AE28" s="2"/>
      <c r="AF28" s="2"/>
      <c r="AG28" s="2"/>
      <c r="AH28" s="2"/>
      <c r="AI28" s="2"/>
      <c r="AJ28" s="2"/>
      <c r="AK28" s="2" t="s">
        <v>232</v>
      </c>
      <c r="AL28" s="2">
        <v>1</v>
      </c>
      <c r="AM28" s="2">
        <v>-1</v>
      </c>
      <c r="AN28" s="2"/>
      <c r="AO28" s="2"/>
      <c r="AP28" s="2">
        <v>40.9</v>
      </c>
      <c r="AQ28" s="2">
        <v>-149</v>
      </c>
      <c r="AR28" s="2"/>
      <c r="AS28" s="2"/>
      <c r="AT28" s="2">
        <v>1941</v>
      </c>
      <c r="AU28" s="2" t="s">
        <v>233</v>
      </c>
      <c r="AV28" s="2">
        <v>2</v>
      </c>
      <c r="AW28" s="2">
        <v>-0.5</v>
      </c>
      <c r="AX28" s="2"/>
      <c r="AY28" s="2"/>
      <c r="AZ28" s="2">
        <v>42.3</v>
      </c>
      <c r="BA28" s="2">
        <v>5</v>
      </c>
      <c r="BB28" s="2"/>
      <c r="BC28" s="2"/>
      <c r="BD28" s="2">
        <v>2531</v>
      </c>
      <c r="BE28" s="2" t="s">
        <v>234</v>
      </c>
      <c r="BF28" s="2">
        <v>5</v>
      </c>
      <c r="BG28" s="2">
        <v>5</v>
      </c>
      <c r="BH28" s="2">
        <v>2.5499999999999998</v>
      </c>
      <c r="BI28" s="2" t="s">
        <v>100</v>
      </c>
      <c r="BJ28">
        <v>40.799999999999997</v>
      </c>
      <c r="BK28">
        <v>597</v>
      </c>
      <c r="BL28">
        <v>362.87</v>
      </c>
      <c r="BM28" t="s">
        <v>112</v>
      </c>
      <c r="BN28">
        <v>3201</v>
      </c>
      <c r="BO28" t="s">
        <v>235</v>
      </c>
      <c r="BP28" t="s">
        <v>270</v>
      </c>
      <c r="BQ28" t="s">
        <v>271</v>
      </c>
      <c r="BR28">
        <v>2734</v>
      </c>
      <c r="BT28" t="s">
        <v>272</v>
      </c>
      <c r="BU28" t="s">
        <v>181</v>
      </c>
      <c r="BV28" t="s">
        <v>246</v>
      </c>
      <c r="BW28">
        <v>0</v>
      </c>
      <c r="BX28">
        <v>0</v>
      </c>
      <c r="BY28">
        <v>0</v>
      </c>
      <c r="BZ28">
        <v>0</v>
      </c>
      <c r="CA28">
        <v>0</v>
      </c>
      <c r="CB28">
        <v>0</v>
      </c>
      <c r="CC28">
        <v>0</v>
      </c>
      <c r="CD28">
        <v>0</v>
      </c>
      <c r="CI28">
        <v>4.2</v>
      </c>
    </row>
    <row r="29" spans="1:87" ht="44.1" customHeight="1" x14ac:dyDescent="0.55000000000000004">
      <c r="A29" s="2" t="s">
        <v>273</v>
      </c>
      <c r="B29" s="2" t="s">
        <v>274</v>
      </c>
      <c r="C29" s="2" t="s">
        <v>273</v>
      </c>
      <c r="D29" s="2" t="s">
        <v>275</v>
      </c>
      <c r="E29" s="2" t="s">
        <v>91</v>
      </c>
      <c r="F29" s="2">
        <v>1</v>
      </c>
      <c r="G29" s="2">
        <v>0</v>
      </c>
      <c r="H29" s="2">
        <v>0</v>
      </c>
      <c r="I29" s="2">
        <v>1</v>
      </c>
      <c r="J29" s="2" t="s">
        <v>276</v>
      </c>
      <c r="K29" s="2" t="s">
        <v>93</v>
      </c>
      <c r="L29" s="2" t="s">
        <v>94</v>
      </c>
      <c r="M29" s="2" t="s">
        <v>94</v>
      </c>
      <c r="N29" s="2" t="s">
        <v>277</v>
      </c>
      <c r="O29">
        <v>1995.5</v>
      </c>
      <c r="P29" s="2" t="s">
        <v>278</v>
      </c>
      <c r="Q29" s="2"/>
      <c r="R29" s="2">
        <v>41.8</v>
      </c>
      <c r="S29" s="2">
        <v>5.8</v>
      </c>
      <c r="T29" s="2">
        <v>29.6</v>
      </c>
      <c r="U29" s="2">
        <v>57.6</v>
      </c>
      <c r="V29" s="2"/>
      <c r="W29" s="2"/>
      <c r="X29" s="2" t="s">
        <v>279</v>
      </c>
      <c r="Y29" s="2">
        <v>0.55000000000000004</v>
      </c>
      <c r="Z29" s="2">
        <v>781</v>
      </c>
      <c r="AA29" s="2">
        <v>643</v>
      </c>
      <c r="AB29" s="2"/>
      <c r="AC29" s="2"/>
      <c r="AD29" s="2"/>
      <c r="AE29" s="2"/>
      <c r="AF29" s="2"/>
      <c r="AG29" s="2"/>
      <c r="AH29" s="2">
        <v>0.8</v>
      </c>
      <c r="AI29" s="2">
        <v>0.82</v>
      </c>
      <c r="AJ29" s="2">
        <v>0.81</v>
      </c>
      <c r="AK29" s="2" t="s">
        <v>99</v>
      </c>
      <c r="AL29" s="2"/>
      <c r="AM29" s="2"/>
      <c r="AN29" s="2"/>
      <c r="AO29" s="2"/>
      <c r="AP29" s="2"/>
      <c r="AQ29" s="2"/>
      <c r="AR29" s="2"/>
      <c r="AS29" s="2"/>
      <c r="AT29" s="2"/>
      <c r="AU29" s="2"/>
      <c r="AV29" s="2">
        <v>2.5</v>
      </c>
      <c r="AW29" s="2"/>
      <c r="AX29" s="2"/>
      <c r="AY29" s="2"/>
      <c r="AZ29" s="2"/>
      <c r="BA29" s="2">
        <v>132</v>
      </c>
      <c r="BB29" s="2"/>
      <c r="BC29" s="2" t="s">
        <v>141</v>
      </c>
      <c r="BD29" s="2">
        <v>1225</v>
      </c>
      <c r="BE29" s="2" t="s">
        <v>280</v>
      </c>
      <c r="BF29" s="2">
        <v>6.5</v>
      </c>
      <c r="BG29" s="2"/>
      <c r="BH29" s="2"/>
      <c r="BI29" s="2"/>
      <c r="BK29">
        <v>216</v>
      </c>
      <c r="BM29" t="s">
        <v>141</v>
      </c>
      <c r="BN29">
        <v>1896</v>
      </c>
      <c r="BO29" t="s">
        <v>281</v>
      </c>
      <c r="BP29" t="s">
        <v>282</v>
      </c>
      <c r="BQ29" t="s">
        <v>283</v>
      </c>
      <c r="BU29" t="s">
        <v>106</v>
      </c>
      <c r="BV29" t="s">
        <v>107</v>
      </c>
      <c r="BW29">
        <v>0</v>
      </c>
      <c r="BX29">
        <v>0</v>
      </c>
      <c r="BY29">
        <v>0</v>
      </c>
      <c r="BZ29">
        <v>0</v>
      </c>
      <c r="CA29">
        <v>0</v>
      </c>
      <c r="CB29">
        <v>0</v>
      </c>
      <c r="CC29">
        <v>1</v>
      </c>
      <c r="CD29">
        <v>0</v>
      </c>
      <c r="CE29">
        <v>85</v>
      </c>
      <c r="CF29">
        <v>0</v>
      </c>
    </row>
    <row r="30" spans="1:87" ht="44.1" customHeight="1" x14ac:dyDescent="0.55000000000000004">
      <c r="A30" s="2" t="s">
        <v>284</v>
      </c>
      <c r="B30" s="2" t="s">
        <v>285</v>
      </c>
      <c r="C30" s="2" t="s">
        <v>286</v>
      </c>
      <c r="D30" s="2" t="s">
        <v>287</v>
      </c>
      <c r="E30" s="2" t="s">
        <v>91</v>
      </c>
      <c r="F30" s="2">
        <v>1</v>
      </c>
      <c r="G30" s="2">
        <v>1</v>
      </c>
      <c r="H30" s="2">
        <v>1</v>
      </c>
      <c r="I30" s="2">
        <v>1</v>
      </c>
      <c r="J30" s="2" t="s">
        <v>288</v>
      </c>
      <c r="K30" s="2" t="s">
        <v>93</v>
      </c>
      <c r="L30" s="2" t="s">
        <v>136</v>
      </c>
      <c r="M30" s="2" t="s">
        <v>95</v>
      </c>
      <c r="N30" s="2" t="s">
        <v>289</v>
      </c>
      <c r="O30">
        <v>2013.8330000000001</v>
      </c>
      <c r="P30" s="2" t="s">
        <v>290</v>
      </c>
      <c r="Q30" s="2"/>
      <c r="R30" s="2">
        <v>59</v>
      </c>
      <c r="S30" s="2">
        <v>5.5</v>
      </c>
      <c r="T30" s="2">
        <v>53.7</v>
      </c>
      <c r="U30" s="2">
        <v>31.4</v>
      </c>
      <c r="V30" s="2">
        <v>0.6</v>
      </c>
      <c r="W30" s="2"/>
      <c r="X30" s="2" t="s">
        <v>291</v>
      </c>
      <c r="Y30" s="2">
        <v>0.17</v>
      </c>
      <c r="Z30" s="2">
        <v>1637</v>
      </c>
      <c r="AA30" s="2">
        <v>858</v>
      </c>
      <c r="AB30" s="2"/>
      <c r="AC30" s="2"/>
      <c r="AD30" s="2"/>
      <c r="AE30" s="2"/>
      <c r="AF30" s="2"/>
      <c r="AG30" s="2"/>
      <c r="AH30" s="2"/>
      <c r="AI30" s="2"/>
      <c r="AJ30" s="2"/>
      <c r="AK30" s="2" t="s">
        <v>292</v>
      </c>
      <c r="AL30" s="2">
        <v>2</v>
      </c>
      <c r="AM30" s="2">
        <v>1.5</v>
      </c>
      <c r="AN30" s="2"/>
      <c r="AO30" s="2"/>
      <c r="AP30" s="2">
        <v>77.599999999999994</v>
      </c>
      <c r="AQ30" s="2">
        <v>5222</v>
      </c>
      <c r="AR30" s="2">
        <v>507</v>
      </c>
      <c r="AS30" s="2" t="s">
        <v>141</v>
      </c>
      <c r="AT30" s="2">
        <v>13978</v>
      </c>
      <c r="AU30" s="2" t="s">
        <v>293</v>
      </c>
      <c r="AV30" s="2">
        <v>3</v>
      </c>
      <c r="AW30" s="2">
        <v>2</v>
      </c>
      <c r="AX30" s="2"/>
      <c r="AY30" s="2"/>
      <c r="AZ30" s="2">
        <v>78.599999999999994</v>
      </c>
      <c r="BA30" s="2">
        <v>7011</v>
      </c>
      <c r="BB30" s="2">
        <v>636</v>
      </c>
      <c r="BC30" s="2" t="s">
        <v>141</v>
      </c>
      <c r="BD30" s="2">
        <v>17320</v>
      </c>
      <c r="BE30" s="2" t="s">
        <v>293</v>
      </c>
      <c r="BF30" s="2">
        <v>6</v>
      </c>
      <c r="BG30" s="2">
        <v>-1.2</v>
      </c>
      <c r="BH30" s="2">
        <v>2.1</v>
      </c>
      <c r="BI30" s="2"/>
      <c r="BJ30">
        <v>81.099999999999994</v>
      </c>
      <c r="BK30">
        <v>1895</v>
      </c>
      <c r="BL30">
        <v>267</v>
      </c>
      <c r="BM30" t="s">
        <v>141</v>
      </c>
      <c r="BN30">
        <v>6901</v>
      </c>
      <c r="BO30" t="s">
        <v>294</v>
      </c>
      <c r="BP30" t="s">
        <v>295</v>
      </c>
      <c r="BQ30" t="s">
        <v>296</v>
      </c>
      <c r="BR30">
        <v>23135</v>
      </c>
      <c r="BS30">
        <v>57019</v>
      </c>
      <c r="BT30" t="s">
        <v>297</v>
      </c>
      <c r="BU30" t="s">
        <v>106</v>
      </c>
      <c r="BV30" t="s">
        <v>107</v>
      </c>
      <c r="BW30">
        <v>0</v>
      </c>
      <c r="BX30">
        <v>1</v>
      </c>
      <c r="BY30">
        <v>1</v>
      </c>
      <c r="BZ30">
        <v>0</v>
      </c>
      <c r="CA30">
        <v>1</v>
      </c>
      <c r="CB30">
        <v>0</v>
      </c>
      <c r="CC30">
        <v>1</v>
      </c>
      <c r="CD30">
        <v>1</v>
      </c>
      <c r="CE30">
        <v>92.6</v>
      </c>
      <c r="CF30">
        <v>3.4</v>
      </c>
      <c r="CG30">
        <v>15.6</v>
      </c>
      <c r="CH30">
        <v>54.4</v>
      </c>
      <c r="CI30">
        <v>12</v>
      </c>
    </row>
    <row r="31" spans="1:87" ht="44.1" customHeight="1" x14ac:dyDescent="0.55000000000000004">
      <c r="A31" s="2" t="s">
        <v>298</v>
      </c>
      <c r="B31" s="2" t="s">
        <v>299</v>
      </c>
      <c r="C31" s="2" t="s">
        <v>300</v>
      </c>
      <c r="D31" s="2" t="s">
        <v>301</v>
      </c>
      <c r="E31" s="2" t="s">
        <v>91</v>
      </c>
      <c r="F31" s="2">
        <v>1</v>
      </c>
      <c r="G31" s="2">
        <v>0</v>
      </c>
      <c r="H31" s="2">
        <v>1</v>
      </c>
      <c r="I31" s="2">
        <v>1</v>
      </c>
      <c r="J31" s="2" t="s">
        <v>302</v>
      </c>
      <c r="K31" s="2" t="s">
        <v>228</v>
      </c>
      <c r="L31" s="2" t="s">
        <v>94</v>
      </c>
      <c r="M31" s="2" t="s">
        <v>136</v>
      </c>
      <c r="N31" s="2" t="s">
        <v>303</v>
      </c>
      <c r="O31">
        <v>1993.5419999999999</v>
      </c>
      <c r="P31" s="2" t="s">
        <v>304</v>
      </c>
      <c r="Q31" s="17">
        <v>32.799999999999997</v>
      </c>
      <c r="R31" s="2">
        <v>3.2</v>
      </c>
      <c r="S31" s="2">
        <v>3.5</v>
      </c>
      <c r="T31" s="2">
        <v>95.2</v>
      </c>
      <c r="U31" s="2">
        <f>0.8+0.1</f>
        <v>0.9</v>
      </c>
      <c r="V31" s="2">
        <v>40</v>
      </c>
      <c r="W31" s="2">
        <v>11.2</v>
      </c>
      <c r="X31" s="2"/>
      <c r="Y31" s="2"/>
      <c r="Z31" s="2">
        <v>1495</v>
      </c>
      <c r="AA31" s="2">
        <v>1497</v>
      </c>
      <c r="AB31" s="2"/>
      <c r="AC31" s="2"/>
      <c r="AD31" s="2"/>
      <c r="AE31" s="2"/>
      <c r="AF31" s="2"/>
      <c r="AG31" s="2"/>
      <c r="AH31" s="2"/>
      <c r="AI31" s="2"/>
      <c r="AJ31" s="2"/>
      <c r="AK31" s="2" t="s">
        <v>232</v>
      </c>
      <c r="AL31" s="2">
        <v>1</v>
      </c>
      <c r="AM31" s="2">
        <v>1.1000000000000001</v>
      </c>
      <c r="AN31" s="2"/>
      <c r="AO31" s="2"/>
      <c r="AP31" s="2">
        <v>44.4</v>
      </c>
      <c r="AQ31" s="2">
        <v>199</v>
      </c>
      <c r="AR31" s="2"/>
      <c r="AS31" s="2" t="s">
        <v>112</v>
      </c>
      <c r="AT31" s="2">
        <v>1647</v>
      </c>
      <c r="AU31" s="2" t="s">
        <v>142</v>
      </c>
      <c r="AV31" s="2">
        <v>2</v>
      </c>
      <c r="AW31" s="2">
        <v>4.5</v>
      </c>
      <c r="AX31" s="2"/>
      <c r="AY31" s="2" t="s">
        <v>141</v>
      </c>
      <c r="AZ31" s="2">
        <v>49.8</v>
      </c>
      <c r="BA31" s="2">
        <v>480</v>
      </c>
      <c r="BB31" s="2"/>
      <c r="BC31" s="2" t="s">
        <v>141</v>
      </c>
      <c r="BD31" s="2">
        <v>2578</v>
      </c>
      <c r="BE31" s="2" t="s">
        <v>142</v>
      </c>
      <c r="BF31" s="2">
        <v>5</v>
      </c>
      <c r="BG31" s="2">
        <v>0.6</v>
      </c>
      <c r="BH31" s="2"/>
      <c r="BI31" s="2"/>
      <c r="BJ31">
        <v>63</v>
      </c>
      <c r="BK31">
        <v>84</v>
      </c>
      <c r="BN31">
        <v>5586</v>
      </c>
      <c r="BO31" t="s">
        <v>142</v>
      </c>
      <c r="BP31" t="s">
        <v>305</v>
      </c>
      <c r="BQ31" t="s">
        <v>306</v>
      </c>
      <c r="BR31">
        <v>5480</v>
      </c>
      <c r="BU31" t="s">
        <v>176</v>
      </c>
      <c r="BV31" t="s">
        <v>107</v>
      </c>
      <c r="BW31">
        <v>0</v>
      </c>
      <c r="BX31">
        <v>0</v>
      </c>
      <c r="BY31">
        <v>0</v>
      </c>
      <c r="BZ31">
        <v>0</v>
      </c>
      <c r="CA31">
        <v>0</v>
      </c>
      <c r="CB31">
        <v>0</v>
      </c>
      <c r="CC31">
        <v>0</v>
      </c>
      <c r="CD31">
        <v>0</v>
      </c>
      <c r="CE31">
        <v>19.3</v>
      </c>
      <c r="CF31">
        <v>54.8</v>
      </c>
      <c r="CG31">
        <v>25.8</v>
      </c>
      <c r="CH31">
        <v>35.299999999999997</v>
      </c>
    </row>
    <row r="32" spans="1:87" ht="44.1" customHeight="1" x14ac:dyDescent="0.55000000000000004">
      <c r="A32" s="2" t="s">
        <v>298</v>
      </c>
      <c r="B32" s="2" t="s">
        <v>307</v>
      </c>
      <c r="C32" s="2" t="s">
        <v>308</v>
      </c>
      <c r="D32" s="2" t="s">
        <v>309</v>
      </c>
      <c r="E32" s="2" t="s">
        <v>91</v>
      </c>
      <c r="F32" s="2">
        <v>1</v>
      </c>
      <c r="G32" s="2">
        <v>0</v>
      </c>
      <c r="H32" s="2">
        <v>1</v>
      </c>
      <c r="I32" s="2">
        <v>1</v>
      </c>
      <c r="J32" s="2" t="s">
        <v>302</v>
      </c>
      <c r="K32" s="2" t="s">
        <v>228</v>
      </c>
      <c r="L32" s="2" t="s">
        <v>94</v>
      </c>
      <c r="M32" s="2" t="s">
        <v>136</v>
      </c>
      <c r="N32" s="2" t="s">
        <v>310</v>
      </c>
      <c r="O32">
        <v>1993.125</v>
      </c>
      <c r="P32" s="2" t="s">
        <v>304</v>
      </c>
      <c r="Q32" s="17">
        <v>28.2</v>
      </c>
      <c r="R32" s="2">
        <v>4.2</v>
      </c>
      <c r="S32" s="2">
        <v>50.1</v>
      </c>
      <c r="T32" s="2">
        <v>39.299999999999997</v>
      </c>
      <c r="U32" s="2">
        <f>8+0.3</f>
        <v>8.3000000000000007</v>
      </c>
      <c r="V32" s="2">
        <v>40.9</v>
      </c>
      <c r="W32" s="2">
        <v>11.4</v>
      </c>
      <c r="X32" s="2"/>
      <c r="Y32" s="2"/>
      <c r="Z32" s="2">
        <v>1542</v>
      </c>
      <c r="AA32" s="2">
        <v>1455</v>
      </c>
      <c r="AB32" s="2"/>
      <c r="AC32" s="2"/>
      <c r="AD32" s="2"/>
      <c r="AE32" s="2"/>
      <c r="AF32" s="2"/>
      <c r="AG32" s="2"/>
      <c r="AH32" s="2"/>
      <c r="AI32" s="2"/>
      <c r="AJ32" s="2"/>
      <c r="AK32" s="2" t="s">
        <v>232</v>
      </c>
      <c r="AL32" s="2">
        <v>1</v>
      </c>
      <c r="AM32" s="2">
        <v>5.3</v>
      </c>
      <c r="AN32" s="2"/>
      <c r="AO32" s="2" t="s">
        <v>141</v>
      </c>
      <c r="AP32" s="2">
        <v>52.9</v>
      </c>
      <c r="AQ32" s="2">
        <v>110</v>
      </c>
      <c r="AR32" s="2"/>
      <c r="AS32" s="2"/>
      <c r="AT32" s="2">
        <v>1759</v>
      </c>
      <c r="AU32" s="2" t="s">
        <v>142</v>
      </c>
      <c r="AV32" s="2">
        <v>2</v>
      </c>
      <c r="AW32" s="2">
        <v>4.9000000000000004</v>
      </c>
      <c r="AX32" s="2"/>
      <c r="AY32" s="2" t="s">
        <v>141</v>
      </c>
      <c r="AZ32" s="2">
        <v>60.6</v>
      </c>
      <c r="BA32" s="2">
        <v>479</v>
      </c>
      <c r="BB32" s="2"/>
      <c r="BC32" s="2" t="s">
        <v>141</v>
      </c>
      <c r="BD32" s="2">
        <v>2874</v>
      </c>
      <c r="BE32" s="2" t="s">
        <v>142</v>
      </c>
      <c r="BF32" s="2">
        <v>5</v>
      </c>
      <c r="BG32" s="2">
        <v>-2.7</v>
      </c>
      <c r="BH32" s="2"/>
      <c r="BI32" s="2" t="s">
        <v>112</v>
      </c>
      <c r="BJ32">
        <v>73</v>
      </c>
      <c r="BK32">
        <v>-102</v>
      </c>
      <c r="BN32">
        <v>6447</v>
      </c>
      <c r="BO32" t="s">
        <v>142</v>
      </c>
      <c r="BP32" t="s">
        <v>311</v>
      </c>
      <c r="BQ32" t="s">
        <v>312</v>
      </c>
      <c r="BR32">
        <v>3773</v>
      </c>
      <c r="BU32" t="s">
        <v>313</v>
      </c>
      <c r="BV32" t="s">
        <v>107</v>
      </c>
      <c r="BW32">
        <v>0</v>
      </c>
      <c r="BX32">
        <v>0</v>
      </c>
      <c r="BY32">
        <v>0</v>
      </c>
      <c r="BZ32">
        <v>0</v>
      </c>
      <c r="CA32">
        <v>0</v>
      </c>
      <c r="CB32">
        <v>0</v>
      </c>
      <c r="CC32">
        <v>0</v>
      </c>
      <c r="CD32">
        <v>0</v>
      </c>
      <c r="CE32">
        <v>17.100000000000001</v>
      </c>
      <c r="CF32">
        <v>63.9</v>
      </c>
      <c r="CG32">
        <v>14.1</v>
      </c>
      <c r="CH32">
        <v>55.2</v>
      </c>
    </row>
    <row r="33" spans="1:87" ht="44.1" customHeight="1" x14ac:dyDescent="0.55000000000000004">
      <c r="A33" s="2" t="s">
        <v>298</v>
      </c>
      <c r="B33" s="2" t="s">
        <v>314</v>
      </c>
      <c r="C33" s="2" t="s">
        <v>315</v>
      </c>
      <c r="D33" s="2" t="s">
        <v>316</v>
      </c>
      <c r="E33" s="2" t="s">
        <v>91</v>
      </c>
      <c r="F33" s="2">
        <v>1</v>
      </c>
      <c r="G33" s="2">
        <v>0</v>
      </c>
      <c r="H33" s="2">
        <v>1</v>
      </c>
      <c r="I33" s="2">
        <v>1</v>
      </c>
      <c r="J33" s="2" t="s">
        <v>302</v>
      </c>
      <c r="K33" s="2" t="s">
        <v>228</v>
      </c>
      <c r="L33" s="2" t="s">
        <v>94</v>
      </c>
      <c r="M33" s="2" t="s">
        <v>136</v>
      </c>
      <c r="N33" s="2" t="s">
        <v>317</v>
      </c>
      <c r="O33">
        <v>1992.9580000000001</v>
      </c>
      <c r="P33" s="2" t="s">
        <v>304</v>
      </c>
      <c r="Q33" s="2">
        <v>32</v>
      </c>
      <c r="R33" s="2">
        <v>10.6</v>
      </c>
      <c r="S33" s="2">
        <v>49</v>
      </c>
      <c r="T33" s="2">
        <v>16.7</v>
      </c>
      <c r="U33" s="2">
        <f>30.2</f>
        <v>30.2</v>
      </c>
      <c r="V33" s="2">
        <v>43.8</v>
      </c>
      <c r="W33" s="2">
        <v>11</v>
      </c>
      <c r="X33" s="2"/>
      <c r="Y33" s="2"/>
      <c r="Z33" s="2">
        <v>1596</v>
      </c>
      <c r="AA33" s="2">
        <v>1539</v>
      </c>
      <c r="AB33" s="2"/>
      <c r="AC33" s="2"/>
      <c r="AD33" s="2"/>
      <c r="AE33" s="2"/>
      <c r="AF33" s="2"/>
      <c r="AG33" s="2"/>
      <c r="AH33" s="2"/>
      <c r="AI33" s="2"/>
      <c r="AJ33" s="2"/>
      <c r="AK33" s="2" t="s">
        <v>232</v>
      </c>
      <c r="AL33" s="2">
        <v>1</v>
      </c>
      <c r="AM33" s="2">
        <v>6.6</v>
      </c>
      <c r="AN33" s="2"/>
      <c r="AO33" s="2" t="s">
        <v>141</v>
      </c>
      <c r="AP33" s="2">
        <v>29.1</v>
      </c>
      <c r="AQ33" s="2">
        <v>196</v>
      </c>
      <c r="AR33" s="2"/>
      <c r="AS33" s="2" t="s">
        <v>112</v>
      </c>
      <c r="AT33" s="2">
        <v>1250</v>
      </c>
      <c r="AU33" s="2" t="s">
        <v>142</v>
      </c>
      <c r="AV33" s="2">
        <v>2</v>
      </c>
      <c r="AW33" s="2">
        <v>5.8</v>
      </c>
      <c r="AX33" s="2"/>
      <c r="AY33" s="2" t="s">
        <v>141</v>
      </c>
      <c r="AZ33" s="2">
        <v>31.9</v>
      </c>
      <c r="BA33" s="2">
        <v>139</v>
      </c>
      <c r="BB33" s="2"/>
      <c r="BC33" s="2"/>
      <c r="BD33" s="2">
        <v>1886</v>
      </c>
      <c r="BE33" s="2" t="s">
        <v>142</v>
      </c>
      <c r="BF33" s="2">
        <v>5</v>
      </c>
      <c r="BG33" s="2">
        <v>5</v>
      </c>
      <c r="BH33" s="2"/>
      <c r="BI33" s="2" t="s">
        <v>141</v>
      </c>
      <c r="BJ33">
        <v>39.9</v>
      </c>
      <c r="BK33">
        <v>359</v>
      </c>
      <c r="BN33">
        <v>3025</v>
      </c>
      <c r="BO33" t="s">
        <v>142</v>
      </c>
      <c r="BP33" t="s">
        <v>318</v>
      </c>
      <c r="BQ33" t="s">
        <v>319</v>
      </c>
      <c r="BR33">
        <v>4573</v>
      </c>
      <c r="BU33" t="s">
        <v>181</v>
      </c>
      <c r="BV33" t="s">
        <v>107</v>
      </c>
      <c r="BW33">
        <v>0</v>
      </c>
      <c r="BX33">
        <v>0</v>
      </c>
      <c r="BY33">
        <v>0</v>
      </c>
      <c r="BZ33">
        <v>0</v>
      </c>
      <c r="CA33">
        <v>0</v>
      </c>
      <c r="CB33">
        <v>0</v>
      </c>
      <c r="CC33">
        <v>0</v>
      </c>
      <c r="CD33">
        <v>0</v>
      </c>
      <c r="CE33">
        <v>26.8</v>
      </c>
      <c r="CF33">
        <v>55.1</v>
      </c>
      <c r="CG33">
        <v>21.9</v>
      </c>
      <c r="CH33">
        <v>47.1</v>
      </c>
    </row>
    <row r="34" spans="1:87" ht="44.1" customHeight="1" x14ac:dyDescent="0.55000000000000004">
      <c r="A34" s="2" t="s">
        <v>298</v>
      </c>
      <c r="B34" s="2" t="s">
        <v>320</v>
      </c>
      <c r="C34" s="2" t="s">
        <v>321</v>
      </c>
      <c r="D34" s="2" t="s">
        <v>322</v>
      </c>
      <c r="E34" s="2" t="s">
        <v>226</v>
      </c>
      <c r="F34" s="2">
        <v>1</v>
      </c>
      <c r="G34" s="2">
        <v>1</v>
      </c>
      <c r="H34" s="2">
        <v>1</v>
      </c>
      <c r="I34" s="2">
        <v>1</v>
      </c>
      <c r="J34" s="2" t="s">
        <v>323</v>
      </c>
      <c r="K34" s="2" t="s">
        <v>228</v>
      </c>
      <c r="L34" s="2" t="s">
        <v>94</v>
      </c>
      <c r="M34" s="2" t="s">
        <v>136</v>
      </c>
      <c r="N34" s="2" t="s">
        <v>324</v>
      </c>
      <c r="O34">
        <v>1993.5</v>
      </c>
      <c r="P34" s="2" t="s">
        <v>304</v>
      </c>
      <c r="Q34" s="2">
        <v>31.8</v>
      </c>
      <c r="R34" s="2">
        <v>6.5</v>
      </c>
      <c r="S34" s="2">
        <v>46.5</v>
      </c>
      <c r="T34" s="2">
        <v>52</v>
      </c>
      <c r="U34" s="2">
        <f>0.4+0</f>
        <v>0.4</v>
      </c>
      <c r="V34" s="2">
        <v>42.3</v>
      </c>
      <c r="W34" s="2">
        <v>11.2</v>
      </c>
      <c r="X34" s="2"/>
      <c r="Y34" s="2"/>
      <c r="Z34" s="2">
        <v>2513</v>
      </c>
      <c r="AA34" s="2">
        <v>2159</v>
      </c>
      <c r="AB34" s="2"/>
      <c r="AC34" s="2"/>
      <c r="AD34" s="2"/>
      <c r="AE34" s="2"/>
      <c r="AF34" s="2"/>
      <c r="AG34" s="2"/>
      <c r="AH34" s="2"/>
      <c r="AI34" s="2"/>
      <c r="AJ34" s="2"/>
      <c r="AK34" s="2" t="s">
        <v>232</v>
      </c>
      <c r="AL34" s="2">
        <v>1</v>
      </c>
      <c r="AM34" s="2">
        <v>-0.1</v>
      </c>
      <c r="AN34" s="2"/>
      <c r="AO34" s="2"/>
      <c r="AP34" s="2">
        <v>60.1</v>
      </c>
      <c r="AQ34" s="2">
        <v>80</v>
      </c>
      <c r="AR34" s="2"/>
      <c r="AS34" s="2"/>
      <c r="AT34" s="2">
        <v>2914</v>
      </c>
      <c r="AU34" s="2" t="s">
        <v>142</v>
      </c>
      <c r="AV34" s="2">
        <v>2</v>
      </c>
      <c r="AW34" s="2">
        <v>2.2999999999999998</v>
      </c>
      <c r="AX34" s="2"/>
      <c r="AY34" s="2" t="s">
        <v>112</v>
      </c>
      <c r="AZ34" s="2">
        <v>62.9</v>
      </c>
      <c r="BA34" s="2">
        <v>595</v>
      </c>
      <c r="BB34" s="2"/>
      <c r="BC34" s="2" t="s">
        <v>141</v>
      </c>
      <c r="BD34" s="2">
        <v>3982</v>
      </c>
      <c r="BE34" s="2" t="s">
        <v>142</v>
      </c>
      <c r="BF34" s="2">
        <v>5</v>
      </c>
      <c r="BG34" s="2">
        <v>0.3</v>
      </c>
      <c r="BH34" s="2"/>
      <c r="BI34" s="2"/>
      <c r="BJ34">
        <v>68.8</v>
      </c>
      <c r="BK34">
        <v>406</v>
      </c>
      <c r="BN34">
        <v>7276</v>
      </c>
      <c r="BO34" t="s">
        <v>142</v>
      </c>
      <c r="BP34" t="s">
        <v>325</v>
      </c>
      <c r="BQ34" t="s">
        <v>326</v>
      </c>
      <c r="BR34">
        <v>4183</v>
      </c>
      <c r="BU34" t="s">
        <v>327</v>
      </c>
      <c r="BV34" t="s">
        <v>107</v>
      </c>
      <c r="BW34">
        <v>0</v>
      </c>
      <c r="BX34">
        <v>0</v>
      </c>
      <c r="BY34">
        <v>0</v>
      </c>
      <c r="BZ34">
        <v>0</v>
      </c>
      <c r="CA34">
        <v>0</v>
      </c>
      <c r="CB34">
        <v>0</v>
      </c>
      <c r="CC34">
        <v>0</v>
      </c>
      <c r="CD34">
        <v>0</v>
      </c>
    </row>
    <row r="35" spans="1:87" ht="44.1" customHeight="1" x14ac:dyDescent="0.55000000000000004">
      <c r="A35" s="2" t="s">
        <v>298</v>
      </c>
      <c r="B35" s="2" t="s">
        <v>328</v>
      </c>
      <c r="C35" s="2" t="s">
        <v>329</v>
      </c>
      <c r="D35" s="2" t="s">
        <v>330</v>
      </c>
      <c r="E35" s="2" t="s">
        <v>226</v>
      </c>
      <c r="F35" s="2">
        <v>1</v>
      </c>
      <c r="G35" s="2">
        <v>1</v>
      </c>
      <c r="H35" s="2">
        <v>1</v>
      </c>
      <c r="I35" s="2">
        <v>1</v>
      </c>
      <c r="J35" s="2" t="s">
        <v>331</v>
      </c>
      <c r="K35" s="2" t="s">
        <v>228</v>
      </c>
      <c r="L35" s="2" t="s">
        <v>94</v>
      </c>
      <c r="M35" s="2" t="s">
        <v>136</v>
      </c>
      <c r="N35" s="2" t="s">
        <v>324</v>
      </c>
      <c r="O35">
        <v>1993.5</v>
      </c>
      <c r="P35" s="2" t="s">
        <v>304</v>
      </c>
      <c r="Q35" s="2">
        <v>31.8</v>
      </c>
      <c r="R35" s="2">
        <v>6.5</v>
      </c>
      <c r="S35" s="2">
        <v>46.5</v>
      </c>
      <c r="T35" s="2">
        <v>52</v>
      </c>
      <c r="U35" s="2">
        <f>0.4+0</f>
        <v>0.4</v>
      </c>
      <c r="V35" s="2">
        <v>42.3</v>
      </c>
      <c r="W35" s="2">
        <v>11.2</v>
      </c>
      <c r="X35" s="2"/>
      <c r="Y35" s="2"/>
      <c r="Z35" s="2">
        <v>2570</v>
      </c>
      <c r="AA35" s="2">
        <v>2159</v>
      </c>
      <c r="AB35" s="2"/>
      <c r="AC35" s="2"/>
      <c r="AD35" s="2"/>
      <c r="AE35" s="2"/>
      <c r="AF35" s="2"/>
      <c r="AG35" s="2"/>
      <c r="AH35" s="2"/>
      <c r="AI35" s="2"/>
      <c r="AJ35" s="2"/>
      <c r="AK35" s="2" t="s">
        <v>232</v>
      </c>
      <c r="AL35" s="2">
        <v>1</v>
      </c>
      <c r="AM35" s="2">
        <v>-0.1</v>
      </c>
      <c r="AN35" s="2"/>
      <c r="AO35" s="2"/>
      <c r="AP35" s="2">
        <v>60.1</v>
      </c>
      <c r="AQ35" s="2">
        <v>185</v>
      </c>
      <c r="AR35" s="2"/>
      <c r="AS35" s="2"/>
      <c r="AT35" s="2">
        <v>2914</v>
      </c>
      <c r="AU35" s="2" t="s">
        <v>142</v>
      </c>
      <c r="AV35" s="2">
        <v>2</v>
      </c>
      <c r="AW35" s="2">
        <v>1.6</v>
      </c>
      <c r="AX35" s="2"/>
      <c r="AY35" s="2"/>
      <c r="AZ35" s="2">
        <v>62.9</v>
      </c>
      <c r="BA35" s="2">
        <v>490</v>
      </c>
      <c r="BB35" s="2"/>
      <c r="BC35" s="2" t="s">
        <v>141</v>
      </c>
      <c r="BD35" s="2">
        <v>3982</v>
      </c>
      <c r="BE35" s="2" t="s">
        <v>142</v>
      </c>
      <c r="BF35" s="2">
        <v>5</v>
      </c>
      <c r="BG35" s="2">
        <v>0.5</v>
      </c>
      <c r="BH35" s="2"/>
      <c r="BI35" s="2"/>
      <c r="BJ35">
        <v>68.8</v>
      </c>
      <c r="BK35">
        <v>113</v>
      </c>
      <c r="BN35">
        <v>7276</v>
      </c>
      <c r="BO35" t="s">
        <v>142</v>
      </c>
      <c r="BP35" t="s">
        <v>332</v>
      </c>
      <c r="BQ35" t="s">
        <v>333</v>
      </c>
      <c r="BR35">
        <v>3772</v>
      </c>
      <c r="BU35" t="s">
        <v>327</v>
      </c>
      <c r="BV35" t="s">
        <v>107</v>
      </c>
      <c r="BW35">
        <v>0</v>
      </c>
      <c r="BX35">
        <v>0</v>
      </c>
      <c r="BY35">
        <v>0</v>
      </c>
      <c r="BZ35">
        <v>0</v>
      </c>
      <c r="CA35">
        <v>0</v>
      </c>
      <c r="CB35">
        <v>0</v>
      </c>
      <c r="CC35">
        <v>0</v>
      </c>
      <c r="CD35">
        <v>0</v>
      </c>
    </row>
    <row r="36" spans="1:87" ht="44.1" customHeight="1" x14ac:dyDescent="0.55000000000000004">
      <c r="A36" s="2" t="s">
        <v>298</v>
      </c>
      <c r="B36" s="2" t="s">
        <v>334</v>
      </c>
      <c r="C36" s="2" t="s">
        <v>335</v>
      </c>
      <c r="D36" s="2" t="s">
        <v>336</v>
      </c>
      <c r="E36" s="2" t="s">
        <v>91</v>
      </c>
      <c r="F36" s="2">
        <v>1</v>
      </c>
      <c r="G36" s="2">
        <v>1</v>
      </c>
      <c r="H36" s="2">
        <v>1</v>
      </c>
      <c r="I36" s="2">
        <v>1</v>
      </c>
      <c r="J36" s="2" t="s">
        <v>302</v>
      </c>
      <c r="K36" s="2" t="s">
        <v>228</v>
      </c>
      <c r="L36" s="2" t="s">
        <v>94</v>
      </c>
      <c r="M36" s="2" t="s">
        <v>136</v>
      </c>
      <c r="N36" s="2" t="s">
        <v>337</v>
      </c>
      <c r="O36">
        <v>1993.4580000000001</v>
      </c>
      <c r="P36" s="2" t="s">
        <v>304</v>
      </c>
      <c r="Q36" s="2">
        <v>30</v>
      </c>
      <c r="R36" s="2">
        <v>3.3</v>
      </c>
      <c r="S36" s="2">
        <v>11</v>
      </c>
      <c r="T36" s="2">
        <v>87.3</v>
      </c>
      <c r="U36" s="2">
        <f>0.8+0</f>
        <v>0.8</v>
      </c>
      <c r="V36" s="2">
        <v>43.2</v>
      </c>
      <c r="W36" s="2">
        <v>11.2</v>
      </c>
      <c r="X36" s="2"/>
      <c r="Y36" s="2"/>
      <c r="Z36" s="2">
        <v>2226</v>
      </c>
      <c r="AA36" s="2">
        <v>2233</v>
      </c>
      <c r="AB36" s="2"/>
      <c r="AC36" s="2"/>
      <c r="AD36" s="2"/>
      <c r="AE36" s="2"/>
      <c r="AF36" s="2"/>
      <c r="AG36" s="2"/>
      <c r="AH36" s="2"/>
      <c r="AI36" s="2"/>
      <c r="AJ36" s="2"/>
      <c r="AK36" s="2" t="s">
        <v>232</v>
      </c>
      <c r="AL36" s="2">
        <v>1</v>
      </c>
      <c r="AM36" s="2">
        <v>0.6</v>
      </c>
      <c r="AN36" s="2"/>
      <c r="AO36" s="2"/>
      <c r="AP36" s="2">
        <v>40.6</v>
      </c>
      <c r="AQ36" s="2">
        <v>57</v>
      </c>
      <c r="AR36" s="2"/>
      <c r="AS36" s="2"/>
      <c r="AT36" s="2">
        <v>1341</v>
      </c>
      <c r="AU36" s="2" t="s">
        <v>142</v>
      </c>
      <c r="AV36" s="2">
        <v>2</v>
      </c>
      <c r="AW36" s="2">
        <v>2.6</v>
      </c>
      <c r="AX36" s="2"/>
      <c r="AY36" s="2" t="s">
        <v>112</v>
      </c>
      <c r="AZ36" s="2">
        <v>51.5</v>
      </c>
      <c r="BA36" s="2">
        <v>313</v>
      </c>
      <c r="BB36" s="2"/>
      <c r="BC36" s="2" t="s">
        <v>100</v>
      </c>
      <c r="BD36" s="2">
        <v>2663</v>
      </c>
      <c r="BE36" s="2" t="s">
        <v>142</v>
      </c>
      <c r="BF36" s="2">
        <v>5</v>
      </c>
      <c r="BG36" s="2">
        <v>0</v>
      </c>
      <c r="BH36" s="2"/>
      <c r="BI36" s="2"/>
      <c r="BJ36">
        <v>68.8</v>
      </c>
      <c r="BK36">
        <v>258</v>
      </c>
      <c r="BN36">
        <v>6823</v>
      </c>
      <c r="BO36" t="s">
        <v>142</v>
      </c>
      <c r="BP36" t="s">
        <v>338</v>
      </c>
      <c r="BQ36" t="s">
        <v>339</v>
      </c>
      <c r="BR36">
        <v>2053</v>
      </c>
      <c r="BU36" t="s">
        <v>313</v>
      </c>
      <c r="BV36" t="s">
        <v>107</v>
      </c>
      <c r="BW36">
        <v>0</v>
      </c>
      <c r="BX36">
        <v>0</v>
      </c>
      <c r="BY36">
        <v>0</v>
      </c>
      <c r="BZ36">
        <v>0</v>
      </c>
      <c r="CA36">
        <v>0</v>
      </c>
      <c r="CB36">
        <v>0</v>
      </c>
      <c r="CC36">
        <v>0</v>
      </c>
      <c r="CD36">
        <v>0</v>
      </c>
    </row>
    <row r="37" spans="1:87" ht="44.1" customHeight="1" x14ac:dyDescent="0.55000000000000004">
      <c r="A37" s="2" t="s">
        <v>298</v>
      </c>
      <c r="B37" s="2" t="s">
        <v>340</v>
      </c>
      <c r="C37" s="2" t="s">
        <v>341</v>
      </c>
      <c r="D37" s="2" t="s">
        <v>342</v>
      </c>
      <c r="E37" s="2" t="s">
        <v>226</v>
      </c>
      <c r="F37" s="2">
        <v>1</v>
      </c>
      <c r="G37" s="2">
        <v>0</v>
      </c>
      <c r="H37" s="2">
        <v>1</v>
      </c>
      <c r="I37" s="2">
        <v>1</v>
      </c>
      <c r="J37" s="2" t="s">
        <v>302</v>
      </c>
      <c r="K37" s="2" t="s">
        <v>228</v>
      </c>
      <c r="L37" s="2" t="s">
        <v>94</v>
      </c>
      <c r="M37" s="2" t="s">
        <v>136</v>
      </c>
      <c r="N37" s="2" t="s">
        <v>343</v>
      </c>
      <c r="O37">
        <v>1992.7080000000001</v>
      </c>
      <c r="P37" s="2" t="s">
        <v>304</v>
      </c>
      <c r="Q37" s="2">
        <v>28.1</v>
      </c>
      <c r="R37" s="2">
        <v>6.9</v>
      </c>
      <c r="S37" s="2">
        <v>59.4</v>
      </c>
      <c r="T37" s="2">
        <v>28.9</v>
      </c>
      <c r="U37" s="2">
        <f>4.3+0.3</f>
        <v>4.5999999999999996</v>
      </c>
      <c r="V37" s="2">
        <v>44.6</v>
      </c>
      <c r="W37" s="2">
        <v>11.1</v>
      </c>
      <c r="X37" s="2"/>
      <c r="Y37" s="2"/>
      <c r="Z37" s="2">
        <v>4309</v>
      </c>
      <c r="AA37" s="2">
        <v>4368</v>
      </c>
      <c r="AB37" s="2"/>
      <c r="AC37" s="2"/>
      <c r="AD37" s="2"/>
      <c r="AE37" s="2"/>
      <c r="AF37" s="2"/>
      <c r="AG37" s="2"/>
      <c r="AH37" s="2"/>
      <c r="AI37" s="2"/>
      <c r="AJ37" s="2"/>
      <c r="AK37" s="2" t="s">
        <v>232</v>
      </c>
      <c r="AL37" s="2">
        <v>1</v>
      </c>
      <c r="AM37" s="2">
        <v>-0.7</v>
      </c>
      <c r="AN37" s="2"/>
      <c r="AO37" s="2"/>
      <c r="AP37" s="2">
        <v>51.6</v>
      </c>
      <c r="AQ37" s="2">
        <v>16</v>
      </c>
      <c r="AR37" s="2"/>
      <c r="AS37" s="2"/>
      <c r="AT37" s="2">
        <v>1387</v>
      </c>
      <c r="AU37" s="2" t="s">
        <v>142</v>
      </c>
      <c r="AV37" s="2">
        <v>2</v>
      </c>
      <c r="AW37" s="2">
        <v>-0.6</v>
      </c>
      <c r="AX37" s="2"/>
      <c r="AY37" s="2"/>
      <c r="AZ37" s="2">
        <v>51.6</v>
      </c>
      <c r="BA37" s="2">
        <v>-5</v>
      </c>
      <c r="BB37" s="2"/>
      <c r="BC37" s="2"/>
      <c r="BD37" s="2">
        <v>2127</v>
      </c>
      <c r="BE37" s="2" t="s">
        <v>142</v>
      </c>
      <c r="BF37" s="2">
        <v>5</v>
      </c>
      <c r="BG37" s="2">
        <v>-1</v>
      </c>
      <c r="BH37" s="2"/>
      <c r="BI37" s="2"/>
      <c r="BJ37">
        <v>54.2</v>
      </c>
      <c r="BK37">
        <v>100</v>
      </c>
      <c r="BN37">
        <v>3498</v>
      </c>
      <c r="BO37" t="s">
        <v>142</v>
      </c>
      <c r="BP37" t="s">
        <v>344</v>
      </c>
      <c r="BQ37" t="s">
        <v>345</v>
      </c>
      <c r="BU37" t="s">
        <v>346</v>
      </c>
      <c r="BV37" t="s">
        <v>107</v>
      </c>
      <c r="BW37">
        <v>0</v>
      </c>
      <c r="BX37">
        <v>0</v>
      </c>
      <c r="BY37">
        <v>0</v>
      </c>
      <c r="BZ37">
        <v>0</v>
      </c>
      <c r="CA37">
        <v>0</v>
      </c>
      <c r="CB37">
        <v>0</v>
      </c>
      <c r="CC37">
        <v>0</v>
      </c>
      <c r="CD37">
        <v>0</v>
      </c>
    </row>
    <row r="38" spans="1:87" ht="44.1" customHeight="1" x14ac:dyDescent="0.55000000000000004">
      <c r="A38" s="2" t="s">
        <v>298</v>
      </c>
      <c r="B38" s="2" t="s">
        <v>347</v>
      </c>
      <c r="C38" s="2" t="s">
        <v>348</v>
      </c>
      <c r="D38" s="2" t="s">
        <v>349</v>
      </c>
      <c r="E38" s="2" t="s">
        <v>226</v>
      </c>
      <c r="F38" s="2">
        <v>1</v>
      </c>
      <c r="G38" s="2">
        <v>0</v>
      </c>
      <c r="H38" s="2">
        <v>1</v>
      </c>
      <c r="I38" s="2">
        <v>1</v>
      </c>
      <c r="J38" s="2" t="s">
        <v>350</v>
      </c>
      <c r="K38" s="2" t="s">
        <v>228</v>
      </c>
      <c r="L38" s="2" t="s">
        <v>94</v>
      </c>
      <c r="M38" s="2" t="s">
        <v>136</v>
      </c>
      <c r="N38" s="2" t="s">
        <v>351</v>
      </c>
      <c r="O38">
        <v>1994.0419999999999</v>
      </c>
      <c r="P38" s="2" t="s">
        <v>304</v>
      </c>
      <c r="Q38" s="2">
        <v>30.4</v>
      </c>
      <c r="R38" s="2">
        <v>6.7</v>
      </c>
      <c r="S38" s="2">
        <v>69.5</v>
      </c>
      <c r="T38" s="2">
        <v>20.100000000000001</v>
      </c>
      <c r="U38" s="2">
        <f>3.9+0.3</f>
        <v>4.2</v>
      </c>
      <c r="V38" s="2">
        <v>32.299999999999997</v>
      </c>
      <c r="W38" s="2">
        <v>11.3</v>
      </c>
      <c r="X38" s="2"/>
      <c r="Y38" s="2"/>
      <c r="Z38" s="2">
        <v>3529</v>
      </c>
      <c r="AA38" s="2">
        <v>499</v>
      </c>
      <c r="AB38" s="2"/>
      <c r="AC38" s="2"/>
      <c r="AD38" s="2"/>
      <c r="AE38" s="2"/>
      <c r="AF38" s="2"/>
      <c r="AG38" s="2"/>
      <c r="AH38" s="2"/>
      <c r="AI38" s="2"/>
      <c r="AJ38" s="2"/>
      <c r="AK38" s="2" t="s">
        <v>232</v>
      </c>
      <c r="AL38" s="2">
        <v>1</v>
      </c>
      <c r="AM38" s="2">
        <v>8.6</v>
      </c>
      <c r="AN38" s="2"/>
      <c r="AO38" s="2" t="s">
        <v>141</v>
      </c>
      <c r="AP38" s="2">
        <v>49.8</v>
      </c>
      <c r="AQ38" s="2">
        <v>343</v>
      </c>
      <c r="AR38" s="2"/>
      <c r="AS38" s="2" t="s">
        <v>112</v>
      </c>
      <c r="AT38" s="2">
        <v>2484</v>
      </c>
      <c r="AU38" s="2" t="s">
        <v>142</v>
      </c>
      <c r="AV38" s="2">
        <v>2</v>
      </c>
      <c r="AW38" s="2">
        <v>10.9</v>
      </c>
      <c r="AX38" s="2"/>
      <c r="AY38" s="2" t="s">
        <v>141</v>
      </c>
      <c r="AZ38" s="2">
        <v>51.4</v>
      </c>
      <c r="BA38" s="2">
        <v>1271</v>
      </c>
      <c r="BB38" s="2"/>
      <c r="BC38" s="2" t="s">
        <v>141</v>
      </c>
      <c r="BD38" s="2">
        <v>3150</v>
      </c>
      <c r="BE38" s="2" t="s">
        <v>142</v>
      </c>
      <c r="BF38" s="2">
        <v>5</v>
      </c>
      <c r="BG38" s="2">
        <v>3.8</v>
      </c>
      <c r="BH38" s="2"/>
      <c r="BI38" s="2" t="s">
        <v>112</v>
      </c>
      <c r="BJ38">
        <v>58.6</v>
      </c>
      <c r="BK38">
        <v>887</v>
      </c>
      <c r="BM38" t="s">
        <v>100</v>
      </c>
      <c r="BN38">
        <v>6095</v>
      </c>
      <c r="BO38" t="s">
        <v>142</v>
      </c>
      <c r="BP38" t="s">
        <v>352</v>
      </c>
      <c r="BQ38" t="s">
        <v>353</v>
      </c>
      <c r="BR38">
        <v>2865</v>
      </c>
      <c r="BU38" t="s">
        <v>354</v>
      </c>
      <c r="BV38" t="s">
        <v>107</v>
      </c>
      <c r="BW38">
        <v>0</v>
      </c>
      <c r="BX38">
        <v>0</v>
      </c>
      <c r="BY38">
        <v>0</v>
      </c>
      <c r="BZ38">
        <v>0</v>
      </c>
      <c r="CA38">
        <v>0</v>
      </c>
      <c r="CB38">
        <v>0</v>
      </c>
      <c r="CC38">
        <v>0</v>
      </c>
      <c r="CD38">
        <v>0</v>
      </c>
      <c r="CE38">
        <v>8.8000000000000007</v>
      </c>
      <c r="CF38">
        <v>75</v>
      </c>
      <c r="CG38">
        <v>12.5</v>
      </c>
      <c r="CH38">
        <v>55</v>
      </c>
    </row>
    <row r="39" spans="1:87" ht="44.1" customHeight="1" x14ac:dyDescent="0.55000000000000004">
      <c r="A39" s="2" t="s">
        <v>355</v>
      </c>
      <c r="B39" s="2" t="s">
        <v>356</v>
      </c>
      <c r="C39" s="2" t="s">
        <v>357</v>
      </c>
      <c r="D39" s="2" t="s">
        <v>358</v>
      </c>
      <c r="E39" s="2" t="s">
        <v>91</v>
      </c>
      <c r="F39" s="2">
        <v>1</v>
      </c>
      <c r="G39" s="2">
        <v>0</v>
      </c>
      <c r="H39" s="2">
        <v>1</v>
      </c>
      <c r="I39" s="2">
        <v>1</v>
      </c>
      <c r="J39" s="2" t="s">
        <v>359</v>
      </c>
      <c r="K39" s="2" t="s">
        <v>93</v>
      </c>
      <c r="L39" s="2" t="s">
        <v>94</v>
      </c>
      <c r="M39" s="2" t="s">
        <v>94</v>
      </c>
      <c r="N39" s="2" t="s">
        <v>360</v>
      </c>
      <c r="O39">
        <v>2013.4169999999999</v>
      </c>
      <c r="P39" s="2" t="s">
        <v>361</v>
      </c>
      <c r="Q39" s="2"/>
      <c r="R39" s="2">
        <v>16.3</v>
      </c>
      <c r="S39" s="2">
        <v>19.5</v>
      </c>
      <c r="T39" s="2">
        <v>21.6</v>
      </c>
      <c r="U39" s="2">
        <v>46.5</v>
      </c>
      <c r="V39" s="2">
        <v>3.6</v>
      </c>
      <c r="W39" s="2"/>
      <c r="X39" s="2"/>
      <c r="Y39" s="2"/>
      <c r="Z39" s="2">
        <v>493</v>
      </c>
      <c r="AA39" s="2">
        <v>481</v>
      </c>
      <c r="AB39" s="2"/>
      <c r="AC39" s="2"/>
      <c r="AD39" s="2"/>
      <c r="AE39" s="2"/>
      <c r="AF39" s="2"/>
      <c r="AG39" s="2"/>
      <c r="AH39" s="2"/>
      <c r="AI39" s="2"/>
      <c r="AJ39" s="2"/>
      <c r="AK39" s="2" t="s">
        <v>292</v>
      </c>
      <c r="AL39" s="2">
        <v>1</v>
      </c>
      <c r="AM39" s="2"/>
      <c r="AN39" s="2"/>
      <c r="AO39" s="2"/>
      <c r="AP39" s="2"/>
      <c r="AQ39" s="2">
        <v>-763</v>
      </c>
      <c r="AR39" s="2">
        <v>454</v>
      </c>
      <c r="AS39" s="2" t="s">
        <v>112</v>
      </c>
      <c r="AT39" s="2">
        <v>8739</v>
      </c>
      <c r="AU39" s="2" t="s">
        <v>362</v>
      </c>
      <c r="AV39" s="2">
        <v>2</v>
      </c>
      <c r="AW39" s="2"/>
      <c r="AX39" s="2"/>
      <c r="AY39" s="2"/>
      <c r="AZ39" s="2"/>
      <c r="BA39" s="2">
        <v>230</v>
      </c>
      <c r="BB39" s="2">
        <v>752</v>
      </c>
      <c r="BC39" s="2"/>
      <c r="BD39" s="2">
        <v>13607</v>
      </c>
      <c r="BE39" s="2" t="s">
        <v>363</v>
      </c>
      <c r="BF39" s="2">
        <v>6</v>
      </c>
      <c r="BG39" s="2">
        <v>-2.5</v>
      </c>
      <c r="BH39" s="2">
        <v>2.8</v>
      </c>
      <c r="BI39" s="2"/>
      <c r="BJ39">
        <v>75.3</v>
      </c>
      <c r="BK39">
        <v>-73</v>
      </c>
      <c r="BL39">
        <v>363</v>
      </c>
      <c r="BN39">
        <v>6372</v>
      </c>
      <c r="BO39" t="s">
        <v>364</v>
      </c>
      <c r="BP39" t="s">
        <v>365</v>
      </c>
      <c r="BQ39" t="s">
        <v>366</v>
      </c>
      <c r="BR39">
        <v>3018</v>
      </c>
      <c r="BT39" t="s">
        <v>367</v>
      </c>
      <c r="BU39" t="s">
        <v>181</v>
      </c>
      <c r="BV39" t="s">
        <v>107</v>
      </c>
      <c r="BW39">
        <v>0</v>
      </c>
      <c r="BX39">
        <v>0</v>
      </c>
      <c r="BY39">
        <v>0</v>
      </c>
      <c r="BZ39">
        <v>0</v>
      </c>
      <c r="CA39">
        <v>0</v>
      </c>
      <c r="CB39">
        <v>1</v>
      </c>
      <c r="CC39">
        <v>0</v>
      </c>
      <c r="CD39">
        <v>0</v>
      </c>
      <c r="CE39">
        <v>82</v>
      </c>
      <c r="CF39">
        <v>0</v>
      </c>
      <c r="CG39">
        <v>17</v>
      </c>
      <c r="CH39">
        <v>58</v>
      </c>
      <c r="CI39">
        <v>4.9000000000000004</v>
      </c>
    </row>
    <row r="40" spans="1:87" ht="44.1" customHeight="1" x14ac:dyDescent="0.55000000000000004">
      <c r="A40" s="2" t="s">
        <v>355</v>
      </c>
      <c r="B40" s="2" t="s">
        <v>368</v>
      </c>
      <c r="C40" s="2" t="s">
        <v>369</v>
      </c>
      <c r="D40" s="2" t="s">
        <v>370</v>
      </c>
      <c r="E40" s="2" t="s">
        <v>91</v>
      </c>
      <c r="F40" s="2">
        <v>1</v>
      </c>
      <c r="G40" s="2">
        <v>0</v>
      </c>
      <c r="H40" s="2">
        <v>1</v>
      </c>
      <c r="I40" s="2">
        <v>1</v>
      </c>
      <c r="J40" s="2" t="s">
        <v>371</v>
      </c>
      <c r="K40" s="2" t="s">
        <v>93</v>
      </c>
      <c r="L40" s="2" t="s">
        <v>94</v>
      </c>
      <c r="M40" s="2" t="s">
        <v>95</v>
      </c>
      <c r="N40" s="2" t="s">
        <v>360</v>
      </c>
      <c r="O40">
        <v>2013.4169999999999</v>
      </c>
      <c r="P40" s="2" t="s">
        <v>372</v>
      </c>
      <c r="Q40" s="2"/>
      <c r="R40" s="2">
        <v>7.1</v>
      </c>
      <c r="S40" s="2">
        <v>0.6</v>
      </c>
      <c r="T40" s="2">
        <v>0</v>
      </c>
      <c r="U40" s="2">
        <v>99.4</v>
      </c>
      <c r="V40" s="2">
        <v>9.6999999999999993</v>
      </c>
      <c r="W40" s="2"/>
      <c r="X40" s="2"/>
      <c r="Y40" s="2"/>
      <c r="Z40" s="2">
        <v>391</v>
      </c>
      <c r="AA40" s="2">
        <v>384</v>
      </c>
      <c r="AB40" s="2"/>
      <c r="AC40" s="2"/>
      <c r="AD40" s="2"/>
      <c r="AE40" s="2"/>
      <c r="AF40" s="2"/>
      <c r="AG40" s="2"/>
      <c r="AH40" s="2"/>
      <c r="AI40" s="2"/>
      <c r="AJ40" s="2"/>
      <c r="AK40" s="2" t="s">
        <v>292</v>
      </c>
      <c r="AL40" s="2">
        <v>1</v>
      </c>
      <c r="AM40" s="2"/>
      <c r="AN40" s="2"/>
      <c r="AO40" s="2"/>
      <c r="AP40" s="2"/>
      <c r="AQ40" s="2">
        <v>-1050</v>
      </c>
      <c r="AR40" s="2">
        <v>507</v>
      </c>
      <c r="AS40" s="2" t="s">
        <v>100</v>
      </c>
      <c r="AT40" s="2">
        <v>11515</v>
      </c>
      <c r="AU40" s="2" t="s">
        <v>362</v>
      </c>
      <c r="AV40" s="2">
        <v>2</v>
      </c>
      <c r="AW40" s="2"/>
      <c r="AX40" s="2"/>
      <c r="AY40" s="2"/>
      <c r="AZ40" s="2"/>
      <c r="BA40" s="2">
        <v>-914</v>
      </c>
      <c r="BB40" s="2">
        <v>762</v>
      </c>
      <c r="BC40" s="2"/>
      <c r="BD40" s="2">
        <v>14964</v>
      </c>
      <c r="BE40" s="2" t="s">
        <v>363</v>
      </c>
      <c r="BF40" s="2">
        <v>6</v>
      </c>
      <c r="BG40" s="2">
        <v>2.2999999999999998</v>
      </c>
      <c r="BH40" s="2">
        <v>3.1</v>
      </c>
      <c r="BI40" s="2"/>
      <c r="BJ40">
        <v>73.2</v>
      </c>
      <c r="BK40">
        <v>290</v>
      </c>
      <c r="BL40">
        <v>365</v>
      </c>
      <c r="BN40">
        <v>6053</v>
      </c>
      <c r="BO40" t="s">
        <v>364</v>
      </c>
      <c r="BP40" t="s">
        <v>365</v>
      </c>
      <c r="BQ40" t="s">
        <v>373</v>
      </c>
      <c r="BR40">
        <v>3095</v>
      </c>
      <c r="BT40" t="s">
        <v>367</v>
      </c>
      <c r="BU40" t="s">
        <v>185</v>
      </c>
      <c r="BV40" t="s">
        <v>107</v>
      </c>
      <c r="BW40">
        <v>0</v>
      </c>
      <c r="BX40">
        <v>0</v>
      </c>
      <c r="BY40">
        <v>1</v>
      </c>
      <c r="BZ40">
        <v>0</v>
      </c>
      <c r="CA40">
        <v>1</v>
      </c>
      <c r="CB40">
        <v>1</v>
      </c>
      <c r="CC40">
        <v>1</v>
      </c>
      <c r="CD40">
        <v>0</v>
      </c>
      <c r="CE40">
        <v>93</v>
      </c>
      <c r="CF40">
        <v>0</v>
      </c>
    </row>
    <row r="41" spans="1:87" ht="44.1" customHeight="1" x14ac:dyDescent="0.55000000000000004">
      <c r="A41" s="2" t="s">
        <v>355</v>
      </c>
      <c r="B41" s="2" t="s">
        <v>374</v>
      </c>
      <c r="C41" s="2" t="s">
        <v>375</v>
      </c>
      <c r="D41" s="2" t="s">
        <v>376</v>
      </c>
      <c r="E41" s="2" t="s">
        <v>91</v>
      </c>
      <c r="F41" s="2">
        <v>1</v>
      </c>
      <c r="G41" s="2">
        <v>0</v>
      </c>
      <c r="H41" s="2">
        <v>1</v>
      </c>
      <c r="I41" s="2">
        <v>1</v>
      </c>
      <c r="J41" s="2" t="s">
        <v>377</v>
      </c>
      <c r="K41" s="2" t="s">
        <v>93</v>
      </c>
      <c r="L41" s="2" t="s">
        <v>94</v>
      </c>
      <c r="M41" s="2" t="s">
        <v>94</v>
      </c>
      <c r="N41" s="2" t="s">
        <v>360</v>
      </c>
      <c r="O41">
        <v>2013.4169999999999</v>
      </c>
      <c r="P41" s="2" t="s">
        <v>378</v>
      </c>
      <c r="Q41" s="2"/>
      <c r="R41" s="2">
        <v>14.8</v>
      </c>
      <c r="S41" s="2">
        <v>28.9</v>
      </c>
      <c r="T41" s="2">
        <v>51.4</v>
      </c>
      <c r="U41" s="2">
        <v>12.8</v>
      </c>
      <c r="V41" s="2">
        <v>13.4</v>
      </c>
      <c r="W41" s="2"/>
      <c r="X41" s="2"/>
      <c r="Y41" s="2"/>
      <c r="Z41" s="2">
        <v>327</v>
      </c>
      <c r="AA41" s="2">
        <v>321</v>
      </c>
      <c r="AB41" s="2"/>
      <c r="AC41" s="2"/>
      <c r="AD41" s="2"/>
      <c r="AE41" s="2"/>
      <c r="AF41" s="2"/>
      <c r="AG41" s="2"/>
      <c r="AH41" s="2"/>
      <c r="AI41" s="2"/>
      <c r="AJ41" s="2"/>
      <c r="AK41" s="2" t="s">
        <v>292</v>
      </c>
      <c r="AL41" s="2">
        <v>1</v>
      </c>
      <c r="AM41" s="2"/>
      <c r="AN41" s="2"/>
      <c r="AO41" s="2"/>
      <c r="AP41" s="2"/>
      <c r="AQ41" s="2">
        <v>-440</v>
      </c>
      <c r="AR41" s="2">
        <v>806</v>
      </c>
      <c r="AS41" s="2"/>
      <c r="AT41" s="2">
        <v>9215</v>
      </c>
      <c r="AU41" s="2" t="s">
        <v>362</v>
      </c>
      <c r="AV41" s="2">
        <v>2</v>
      </c>
      <c r="AW41" s="2"/>
      <c r="AX41" s="2"/>
      <c r="AY41" s="2"/>
      <c r="AZ41" s="2"/>
      <c r="BA41" s="2">
        <v>-347</v>
      </c>
      <c r="BB41" s="2">
        <v>1192</v>
      </c>
      <c r="BC41" s="2"/>
      <c r="BD41" s="2">
        <v>15404</v>
      </c>
      <c r="BE41" s="2" t="s">
        <v>363</v>
      </c>
      <c r="BF41" s="2">
        <v>6</v>
      </c>
      <c r="BG41" s="2">
        <v>-1</v>
      </c>
      <c r="BH41" s="2">
        <v>3.5</v>
      </c>
      <c r="BI41" s="2"/>
      <c r="BJ41">
        <v>72</v>
      </c>
      <c r="BK41">
        <v>232</v>
      </c>
      <c r="BL41">
        <v>604</v>
      </c>
      <c r="BN41">
        <v>6733</v>
      </c>
      <c r="BO41" t="s">
        <v>364</v>
      </c>
      <c r="BP41" t="s">
        <v>365</v>
      </c>
      <c r="BQ41" t="s">
        <v>379</v>
      </c>
      <c r="BT41" t="s">
        <v>367</v>
      </c>
      <c r="BU41" t="s">
        <v>380</v>
      </c>
      <c r="BV41" t="s">
        <v>107</v>
      </c>
      <c r="BW41">
        <v>0</v>
      </c>
      <c r="BX41">
        <v>0</v>
      </c>
      <c r="BY41">
        <v>0</v>
      </c>
      <c r="BZ41">
        <v>0</v>
      </c>
      <c r="CA41">
        <v>0</v>
      </c>
      <c r="CB41">
        <v>1</v>
      </c>
      <c r="CC41">
        <v>0</v>
      </c>
      <c r="CD41">
        <v>0</v>
      </c>
      <c r="CE41">
        <v>82</v>
      </c>
      <c r="CF41">
        <v>0</v>
      </c>
      <c r="CG41">
        <v>8</v>
      </c>
      <c r="CH41">
        <v>65</v>
      </c>
    </row>
    <row r="42" spans="1:87" ht="44.1" customHeight="1" x14ac:dyDescent="0.55000000000000004">
      <c r="A42" s="2" t="s">
        <v>355</v>
      </c>
      <c r="B42" s="2" t="s">
        <v>381</v>
      </c>
      <c r="C42" s="2" t="s">
        <v>382</v>
      </c>
      <c r="D42" s="2" t="s">
        <v>383</v>
      </c>
      <c r="E42" s="2" t="s">
        <v>91</v>
      </c>
      <c r="F42" s="2">
        <v>1</v>
      </c>
      <c r="G42" s="2">
        <v>0</v>
      </c>
      <c r="H42" s="2">
        <v>0</v>
      </c>
      <c r="I42" s="2">
        <v>1</v>
      </c>
      <c r="J42" s="2" t="s">
        <v>384</v>
      </c>
      <c r="K42" s="2" t="s">
        <v>93</v>
      </c>
      <c r="L42" s="2" t="s">
        <v>94</v>
      </c>
      <c r="M42" s="2" t="s">
        <v>94</v>
      </c>
      <c r="N42" s="2" t="s">
        <v>360</v>
      </c>
      <c r="O42">
        <v>2013.4169999999999</v>
      </c>
      <c r="P42" s="2" t="s">
        <v>385</v>
      </c>
      <c r="Q42" s="2"/>
      <c r="R42" s="2">
        <v>42.5</v>
      </c>
      <c r="S42" s="2">
        <v>54.9</v>
      </c>
      <c r="T42" s="2">
        <v>7.6</v>
      </c>
      <c r="U42" s="2">
        <v>26</v>
      </c>
      <c r="V42" s="2">
        <v>30.7</v>
      </c>
      <c r="W42" s="2"/>
      <c r="X42" s="2"/>
      <c r="Y42" s="2"/>
      <c r="Z42" s="2">
        <v>310</v>
      </c>
      <c r="AA42" s="2">
        <v>300</v>
      </c>
      <c r="AB42" s="2"/>
      <c r="AC42" s="2"/>
      <c r="AD42" s="2"/>
      <c r="AE42" s="2"/>
      <c r="AF42" s="2"/>
      <c r="AG42" s="2"/>
      <c r="AH42" s="2"/>
      <c r="AI42" s="2"/>
      <c r="AJ42" s="2"/>
      <c r="AK42" s="2" t="s">
        <v>292</v>
      </c>
      <c r="AL42" s="2">
        <v>1</v>
      </c>
      <c r="AM42" s="2"/>
      <c r="AN42" s="2"/>
      <c r="AO42" s="2"/>
      <c r="AP42" s="2"/>
      <c r="AQ42" s="2">
        <v>-844</v>
      </c>
      <c r="AR42" s="2">
        <v>610</v>
      </c>
      <c r="AS42" s="2"/>
      <c r="AT42" s="2">
        <v>7951</v>
      </c>
      <c r="AU42" s="2" t="s">
        <v>362</v>
      </c>
      <c r="AV42" s="2">
        <v>2</v>
      </c>
      <c r="AW42" s="2"/>
      <c r="AX42" s="2"/>
      <c r="AY42" s="2"/>
      <c r="AZ42" s="2"/>
      <c r="BA42" s="2">
        <v>1154</v>
      </c>
      <c r="BB42" s="2">
        <v>1001</v>
      </c>
      <c r="BC42" s="2"/>
      <c r="BD42" s="2">
        <v>10671</v>
      </c>
      <c r="BE42" s="2" t="s">
        <v>363</v>
      </c>
      <c r="BF42" s="2">
        <v>6</v>
      </c>
      <c r="BG42" s="2">
        <v>6</v>
      </c>
      <c r="BH42" s="2">
        <v>3.8</v>
      </c>
      <c r="BI42" s="2"/>
      <c r="BJ42">
        <v>60.7</v>
      </c>
      <c r="BK42">
        <v>152</v>
      </c>
      <c r="BL42">
        <v>446</v>
      </c>
      <c r="BN42">
        <v>5134</v>
      </c>
      <c r="BO42" t="s">
        <v>364</v>
      </c>
      <c r="BP42" t="s">
        <v>365</v>
      </c>
      <c r="BQ42" t="s">
        <v>386</v>
      </c>
      <c r="BR42">
        <v>4278</v>
      </c>
      <c r="BT42" t="s">
        <v>367</v>
      </c>
      <c r="BU42" t="s">
        <v>380</v>
      </c>
      <c r="BV42" t="s">
        <v>107</v>
      </c>
      <c r="BW42">
        <v>0</v>
      </c>
      <c r="BX42">
        <v>0</v>
      </c>
      <c r="BY42">
        <v>0</v>
      </c>
      <c r="BZ42">
        <v>0</v>
      </c>
      <c r="CA42">
        <v>0</v>
      </c>
      <c r="CB42">
        <v>0</v>
      </c>
      <c r="CC42">
        <v>1</v>
      </c>
      <c r="CD42">
        <v>0</v>
      </c>
      <c r="CE42">
        <v>73</v>
      </c>
      <c r="CF42">
        <v>0</v>
      </c>
    </row>
    <row r="43" spans="1:87" ht="44.1" customHeight="1" x14ac:dyDescent="0.55000000000000004">
      <c r="A43" s="2" t="s">
        <v>355</v>
      </c>
      <c r="B43" s="2" t="s">
        <v>387</v>
      </c>
      <c r="C43" s="2" t="s">
        <v>388</v>
      </c>
      <c r="D43" s="2" t="s">
        <v>389</v>
      </c>
      <c r="E43" s="2" t="s">
        <v>91</v>
      </c>
      <c r="F43" s="2">
        <v>1</v>
      </c>
      <c r="G43" s="2">
        <v>0</v>
      </c>
      <c r="H43" s="2">
        <v>1</v>
      </c>
      <c r="I43" s="2">
        <v>1</v>
      </c>
      <c r="J43" s="2" t="s">
        <v>390</v>
      </c>
      <c r="K43" s="2" t="s">
        <v>93</v>
      </c>
      <c r="L43" s="2" t="s">
        <v>94</v>
      </c>
      <c r="M43" s="2" t="s">
        <v>94</v>
      </c>
      <c r="N43" s="2" t="s">
        <v>360</v>
      </c>
      <c r="O43">
        <v>2013.4169999999999</v>
      </c>
      <c r="P43" s="2" t="s">
        <v>391</v>
      </c>
      <c r="Q43" s="2"/>
      <c r="R43" s="2">
        <v>17.3</v>
      </c>
      <c r="S43" s="2">
        <v>26.6</v>
      </c>
      <c r="T43" s="2">
        <v>11.5</v>
      </c>
      <c r="U43" s="2">
        <v>55.8</v>
      </c>
      <c r="V43" s="2">
        <v>8.4</v>
      </c>
      <c r="W43" s="2"/>
      <c r="X43" s="2"/>
      <c r="Y43" s="2"/>
      <c r="Z43" s="2">
        <v>603</v>
      </c>
      <c r="AA43" s="2">
        <v>605</v>
      </c>
      <c r="AB43" s="2"/>
      <c r="AC43" s="2"/>
      <c r="AD43" s="2"/>
      <c r="AE43" s="2"/>
      <c r="AF43" s="2"/>
      <c r="AG43" s="2"/>
      <c r="AH43" s="2"/>
      <c r="AI43" s="2"/>
      <c r="AJ43" s="2"/>
      <c r="AK43" s="2" t="s">
        <v>292</v>
      </c>
      <c r="AL43" s="2">
        <v>1</v>
      </c>
      <c r="AM43" s="2"/>
      <c r="AN43" s="2"/>
      <c r="AO43" s="2"/>
      <c r="AP43" s="2"/>
      <c r="AQ43" s="2">
        <v>-420</v>
      </c>
      <c r="AR43" s="2">
        <v>420</v>
      </c>
      <c r="AS43" s="2"/>
      <c r="AT43" s="2">
        <v>8560</v>
      </c>
      <c r="AU43" s="2" t="s">
        <v>362</v>
      </c>
      <c r="AV43" s="2">
        <v>2</v>
      </c>
      <c r="AW43" s="2"/>
      <c r="AX43" s="2"/>
      <c r="AY43" s="2"/>
      <c r="AZ43" s="2"/>
      <c r="BA43" s="2">
        <v>-988</v>
      </c>
      <c r="BB43" s="2">
        <v>585</v>
      </c>
      <c r="BC43" s="2" t="s">
        <v>112</v>
      </c>
      <c r="BD43" s="2">
        <v>12330</v>
      </c>
      <c r="BE43" s="2" t="s">
        <v>363</v>
      </c>
      <c r="BF43" s="2">
        <v>6</v>
      </c>
      <c r="BG43" s="2">
        <v>-0.9</v>
      </c>
      <c r="BH43" s="2">
        <v>2.7</v>
      </c>
      <c r="BI43" s="2"/>
      <c r="BJ43">
        <v>65</v>
      </c>
      <c r="BK43">
        <v>-330</v>
      </c>
      <c r="BL43">
        <v>285</v>
      </c>
      <c r="BN43">
        <v>5087</v>
      </c>
      <c r="BO43" t="s">
        <v>364</v>
      </c>
      <c r="BP43" t="s">
        <v>365</v>
      </c>
      <c r="BQ43" t="s">
        <v>392</v>
      </c>
      <c r="BR43">
        <v>1952</v>
      </c>
      <c r="BT43" t="s">
        <v>367</v>
      </c>
      <c r="BU43" t="s">
        <v>200</v>
      </c>
      <c r="BV43" t="s">
        <v>107</v>
      </c>
      <c r="BW43">
        <v>0</v>
      </c>
      <c r="BX43">
        <v>0</v>
      </c>
      <c r="BY43">
        <v>0</v>
      </c>
      <c r="BZ43">
        <v>0</v>
      </c>
      <c r="CA43">
        <v>0</v>
      </c>
      <c r="CB43">
        <v>1</v>
      </c>
      <c r="CC43">
        <v>0</v>
      </c>
      <c r="CD43">
        <v>0</v>
      </c>
      <c r="CE43">
        <v>56</v>
      </c>
      <c r="CF43">
        <v>0</v>
      </c>
    </row>
    <row r="44" spans="1:87" ht="44.1" customHeight="1" x14ac:dyDescent="0.55000000000000004">
      <c r="A44" s="2" t="s">
        <v>355</v>
      </c>
      <c r="B44" s="2" t="s">
        <v>393</v>
      </c>
      <c r="C44" s="2" t="s">
        <v>394</v>
      </c>
      <c r="D44" s="2" t="s">
        <v>395</v>
      </c>
      <c r="E44" s="2" t="s">
        <v>91</v>
      </c>
      <c r="F44" s="2">
        <v>1</v>
      </c>
      <c r="G44" s="2">
        <v>0</v>
      </c>
      <c r="H44" s="2">
        <v>0</v>
      </c>
      <c r="I44" s="2">
        <v>1</v>
      </c>
      <c r="J44" s="2" t="s">
        <v>396</v>
      </c>
      <c r="K44" s="2" t="s">
        <v>93</v>
      </c>
      <c r="L44" s="2" t="s">
        <v>94</v>
      </c>
      <c r="M44" s="2" t="s">
        <v>94</v>
      </c>
      <c r="N44" s="2" t="s">
        <v>360</v>
      </c>
      <c r="O44">
        <v>2013.4169999999999</v>
      </c>
      <c r="P44" s="2" t="s">
        <v>397</v>
      </c>
      <c r="Q44" s="2"/>
      <c r="R44" s="2">
        <v>15.7</v>
      </c>
      <c r="S44" s="2">
        <v>67.3</v>
      </c>
      <c r="T44" s="2">
        <v>20.8</v>
      </c>
      <c r="U44" s="2">
        <v>8.8000000000000007</v>
      </c>
      <c r="V44" s="2">
        <v>3</v>
      </c>
      <c r="W44" s="2"/>
      <c r="X44" s="2"/>
      <c r="Y44" s="2"/>
      <c r="Z44" s="2">
        <v>244</v>
      </c>
      <c r="AA44" s="2">
        <v>242</v>
      </c>
      <c r="AB44" s="2"/>
      <c r="AC44" s="2"/>
      <c r="AD44" s="2"/>
      <c r="AE44" s="2"/>
      <c r="AF44" s="2"/>
      <c r="AG44" s="2"/>
      <c r="AH44" s="2"/>
      <c r="AI44" s="2"/>
      <c r="AJ44" s="2"/>
      <c r="AK44" s="2" t="s">
        <v>292</v>
      </c>
      <c r="AL44" s="2">
        <v>1</v>
      </c>
      <c r="AM44" s="2"/>
      <c r="AN44" s="2"/>
      <c r="AO44" s="2"/>
      <c r="AP44" s="2"/>
      <c r="AQ44" s="2">
        <v>-451</v>
      </c>
      <c r="AR44" s="2">
        <v>621</v>
      </c>
      <c r="AS44" s="2"/>
      <c r="AT44" s="2">
        <v>12045</v>
      </c>
      <c r="AU44" s="2" t="s">
        <v>362</v>
      </c>
      <c r="AV44" s="2">
        <v>2</v>
      </c>
      <c r="AW44" s="2"/>
      <c r="AX44" s="2"/>
      <c r="AY44" s="2"/>
      <c r="AZ44" s="2"/>
      <c r="BA44" s="2">
        <v>-1242</v>
      </c>
      <c r="BB44" s="2">
        <v>884</v>
      </c>
      <c r="BC44" s="2"/>
      <c r="BD44" s="2">
        <v>14729</v>
      </c>
      <c r="BE44" s="2" t="s">
        <v>363</v>
      </c>
      <c r="BF44" s="2">
        <v>6</v>
      </c>
      <c r="BG44" s="2">
        <v>-1.1000000000000001</v>
      </c>
      <c r="BH44" s="2">
        <v>3.5</v>
      </c>
      <c r="BI44" s="2"/>
      <c r="BJ44">
        <v>81.400000000000006</v>
      </c>
      <c r="BK44">
        <v>-242</v>
      </c>
      <c r="BL44">
        <v>448</v>
      </c>
      <c r="BN44">
        <v>6578</v>
      </c>
      <c r="BO44" t="s">
        <v>364</v>
      </c>
      <c r="BP44" t="s">
        <v>365</v>
      </c>
      <c r="BQ44" t="s">
        <v>398</v>
      </c>
      <c r="BT44" t="s">
        <v>367</v>
      </c>
      <c r="BU44" t="s">
        <v>399</v>
      </c>
      <c r="BV44" t="s">
        <v>107</v>
      </c>
      <c r="BW44">
        <v>0</v>
      </c>
      <c r="BX44">
        <v>0</v>
      </c>
      <c r="BY44">
        <v>0</v>
      </c>
      <c r="BZ44">
        <v>0</v>
      </c>
      <c r="CA44">
        <v>0</v>
      </c>
      <c r="CB44">
        <v>0</v>
      </c>
      <c r="CC44">
        <v>0</v>
      </c>
      <c r="CD44">
        <v>0</v>
      </c>
      <c r="CE44">
        <v>94</v>
      </c>
      <c r="CF44">
        <v>0</v>
      </c>
    </row>
    <row r="45" spans="1:87" ht="44.1" customHeight="1" x14ac:dyDescent="0.55000000000000004">
      <c r="A45" s="2" t="s">
        <v>355</v>
      </c>
      <c r="B45" s="2" t="s">
        <v>400</v>
      </c>
      <c r="C45" s="2" t="s">
        <v>401</v>
      </c>
      <c r="D45" s="2" t="s">
        <v>402</v>
      </c>
      <c r="E45" s="2" t="s">
        <v>91</v>
      </c>
      <c r="F45" s="2">
        <v>1</v>
      </c>
      <c r="G45" s="2">
        <v>0</v>
      </c>
      <c r="H45" s="2">
        <v>1</v>
      </c>
      <c r="I45" s="2">
        <v>1</v>
      </c>
      <c r="J45" s="2" t="s">
        <v>403</v>
      </c>
      <c r="K45" s="2" t="s">
        <v>93</v>
      </c>
      <c r="L45" s="2" t="s">
        <v>94</v>
      </c>
      <c r="M45" s="2" t="s">
        <v>95</v>
      </c>
      <c r="N45" s="2" t="s">
        <v>360</v>
      </c>
      <c r="O45">
        <v>2013.4169999999999</v>
      </c>
      <c r="P45" s="2" t="s">
        <v>404</v>
      </c>
      <c r="Q45" s="2"/>
      <c r="R45" s="2">
        <v>29.1</v>
      </c>
      <c r="S45" s="2">
        <v>3</v>
      </c>
      <c r="T45" s="2">
        <v>0.9</v>
      </c>
      <c r="U45" s="2">
        <v>95.8</v>
      </c>
      <c r="V45" s="2">
        <v>0.7</v>
      </c>
      <c r="W45" s="2"/>
      <c r="X45" s="2"/>
      <c r="Y45" s="2"/>
      <c r="Z45" s="2">
        <v>476</v>
      </c>
      <c r="AA45" s="2">
        <v>479</v>
      </c>
      <c r="AB45" s="2"/>
      <c r="AC45" s="2"/>
      <c r="AD45" s="2"/>
      <c r="AE45" s="2"/>
      <c r="AF45" s="2"/>
      <c r="AG45" s="2"/>
      <c r="AH45" s="2"/>
      <c r="AI45" s="2"/>
      <c r="AJ45" s="2"/>
      <c r="AK45" s="2" t="s">
        <v>292</v>
      </c>
      <c r="AL45" s="2">
        <v>1</v>
      </c>
      <c r="AM45" s="2"/>
      <c r="AN45" s="2"/>
      <c r="AO45" s="2"/>
      <c r="AP45" s="2"/>
      <c r="AQ45" s="2">
        <v>-861</v>
      </c>
      <c r="AR45" s="2">
        <v>519</v>
      </c>
      <c r="AS45" s="2" t="s">
        <v>112</v>
      </c>
      <c r="AT45" s="2">
        <v>5944</v>
      </c>
      <c r="AU45" s="2" t="s">
        <v>362</v>
      </c>
      <c r="AV45" s="2">
        <v>2</v>
      </c>
      <c r="AW45" s="2"/>
      <c r="AX45" s="2"/>
      <c r="AY45" s="2"/>
      <c r="AZ45" s="2"/>
      <c r="BA45" s="2">
        <v>-1627</v>
      </c>
      <c r="BB45" s="2">
        <v>834</v>
      </c>
      <c r="BC45" s="2" t="s">
        <v>112</v>
      </c>
      <c r="BD45" s="2">
        <v>12256</v>
      </c>
      <c r="BE45" s="2" t="s">
        <v>363</v>
      </c>
      <c r="BF45" s="2">
        <v>6</v>
      </c>
      <c r="BG45" s="2">
        <v>0.7</v>
      </c>
      <c r="BH45" s="2">
        <v>2.5</v>
      </c>
      <c r="BI45" s="2"/>
      <c r="BJ45">
        <v>80</v>
      </c>
      <c r="BK45">
        <v>72</v>
      </c>
      <c r="BL45">
        <v>416</v>
      </c>
      <c r="BN45">
        <v>8337</v>
      </c>
      <c r="BO45" t="s">
        <v>364</v>
      </c>
      <c r="BP45" t="s">
        <v>365</v>
      </c>
      <c r="BQ45" t="s">
        <v>405</v>
      </c>
      <c r="BR45">
        <v>6713</v>
      </c>
      <c r="BT45" t="s">
        <v>367</v>
      </c>
      <c r="BU45" t="s">
        <v>204</v>
      </c>
      <c r="BV45" t="s">
        <v>107</v>
      </c>
      <c r="BW45">
        <v>0</v>
      </c>
      <c r="BX45">
        <v>0</v>
      </c>
      <c r="BY45">
        <v>1</v>
      </c>
      <c r="BZ45">
        <v>0</v>
      </c>
      <c r="CA45">
        <v>1</v>
      </c>
      <c r="CB45">
        <v>0</v>
      </c>
      <c r="CC45">
        <v>0</v>
      </c>
      <c r="CD45">
        <v>0</v>
      </c>
      <c r="CE45">
        <v>98</v>
      </c>
      <c r="CF45">
        <v>0</v>
      </c>
    </row>
    <row r="46" spans="1:87" ht="44.1" customHeight="1" x14ac:dyDescent="0.55000000000000004">
      <c r="A46" s="2" t="s">
        <v>355</v>
      </c>
      <c r="B46" s="2" t="s">
        <v>406</v>
      </c>
      <c r="C46" s="2" t="s">
        <v>407</v>
      </c>
      <c r="D46" s="2" t="s">
        <v>408</v>
      </c>
      <c r="E46" s="2" t="s">
        <v>91</v>
      </c>
      <c r="F46" s="2">
        <v>1</v>
      </c>
      <c r="G46" s="2">
        <v>0</v>
      </c>
      <c r="H46" s="2">
        <v>1</v>
      </c>
      <c r="I46" s="2">
        <v>1</v>
      </c>
      <c r="J46" s="2" t="s">
        <v>409</v>
      </c>
      <c r="K46" s="2" t="s">
        <v>93</v>
      </c>
      <c r="L46" s="2" t="s">
        <v>94</v>
      </c>
      <c r="M46" s="2" t="s">
        <v>94</v>
      </c>
      <c r="N46" s="2" t="s">
        <v>410</v>
      </c>
      <c r="O46">
        <v>2013.625</v>
      </c>
      <c r="P46" s="2" t="s">
        <v>411</v>
      </c>
      <c r="Q46" s="2"/>
      <c r="R46" s="2">
        <v>37.4</v>
      </c>
      <c r="S46" s="2">
        <v>33.799999999999997</v>
      </c>
      <c r="T46" s="2">
        <v>47.4</v>
      </c>
      <c r="U46" s="2">
        <v>15.3</v>
      </c>
      <c r="V46" s="2">
        <v>40.1</v>
      </c>
      <c r="W46" s="2"/>
      <c r="X46" s="2"/>
      <c r="Y46" s="2"/>
      <c r="Z46" s="2">
        <v>470</v>
      </c>
      <c r="AA46" s="2">
        <v>473</v>
      </c>
      <c r="AB46" s="2"/>
      <c r="AC46" s="2"/>
      <c r="AD46" s="2"/>
      <c r="AE46" s="2"/>
      <c r="AF46" s="2"/>
      <c r="AG46" s="2"/>
      <c r="AH46" s="2"/>
      <c r="AI46" s="2"/>
      <c r="AJ46" s="2"/>
      <c r="AK46" s="2" t="s">
        <v>292</v>
      </c>
      <c r="AL46" s="2">
        <v>1</v>
      </c>
      <c r="AM46" s="2"/>
      <c r="AN46" s="2"/>
      <c r="AO46" s="2"/>
      <c r="AP46" s="2"/>
      <c r="AQ46" s="2">
        <v>-671</v>
      </c>
      <c r="AR46" s="2">
        <v>449</v>
      </c>
      <c r="AS46" s="2"/>
      <c r="AT46" s="2">
        <v>8774</v>
      </c>
      <c r="AU46" s="2" t="s">
        <v>362</v>
      </c>
      <c r="AV46" s="2">
        <v>2</v>
      </c>
      <c r="AW46" s="2"/>
      <c r="AX46" s="2"/>
      <c r="AY46" s="2"/>
      <c r="AZ46" s="2"/>
      <c r="BA46" s="2">
        <v>-351</v>
      </c>
      <c r="BB46" s="2">
        <v>620</v>
      </c>
      <c r="BC46" s="2"/>
      <c r="BD46" s="2">
        <v>11706</v>
      </c>
      <c r="BE46" s="2" t="s">
        <v>363</v>
      </c>
      <c r="BF46" s="2">
        <v>6</v>
      </c>
      <c r="BG46" s="2">
        <v>2</v>
      </c>
      <c r="BH46" s="2">
        <v>3.1</v>
      </c>
      <c r="BI46" s="2"/>
      <c r="BJ46">
        <v>63.8</v>
      </c>
      <c r="BK46">
        <v>-135</v>
      </c>
      <c r="BL46">
        <v>288</v>
      </c>
      <c r="BN46">
        <v>4223</v>
      </c>
      <c r="BO46" t="s">
        <v>364</v>
      </c>
      <c r="BP46" t="s">
        <v>412</v>
      </c>
      <c r="BQ46" t="s">
        <v>413</v>
      </c>
      <c r="BT46" t="s">
        <v>367</v>
      </c>
      <c r="BU46" t="s">
        <v>414</v>
      </c>
      <c r="BV46" t="s">
        <v>107</v>
      </c>
      <c r="BW46">
        <v>0</v>
      </c>
      <c r="BX46">
        <v>0</v>
      </c>
      <c r="BY46">
        <v>0</v>
      </c>
      <c r="BZ46">
        <v>0</v>
      </c>
      <c r="CA46">
        <v>1</v>
      </c>
      <c r="CB46">
        <v>0</v>
      </c>
      <c r="CC46">
        <v>1</v>
      </c>
      <c r="CD46">
        <v>0</v>
      </c>
      <c r="CE46">
        <v>50</v>
      </c>
      <c r="CF46">
        <v>0</v>
      </c>
      <c r="CG46">
        <v>13.9</v>
      </c>
      <c r="CH46">
        <v>36.1</v>
      </c>
      <c r="CI46">
        <v>2.7</v>
      </c>
    </row>
    <row r="47" spans="1:87" ht="44.1" customHeight="1" x14ac:dyDescent="0.55000000000000004">
      <c r="A47" s="2" t="s">
        <v>415</v>
      </c>
      <c r="B47" s="2" t="s">
        <v>416</v>
      </c>
      <c r="C47" s="2" t="s">
        <v>417</v>
      </c>
      <c r="D47" s="2" t="s">
        <v>418</v>
      </c>
      <c r="E47" s="2" t="s">
        <v>91</v>
      </c>
      <c r="F47" s="2">
        <v>1</v>
      </c>
      <c r="G47" s="2">
        <v>1</v>
      </c>
      <c r="H47" s="2">
        <v>0</v>
      </c>
      <c r="I47" s="2">
        <v>1</v>
      </c>
      <c r="J47" s="2" t="s">
        <v>419</v>
      </c>
      <c r="K47" s="2" t="s">
        <v>93</v>
      </c>
      <c r="L47" s="2" t="s">
        <v>94</v>
      </c>
      <c r="M47" s="2" t="s">
        <v>136</v>
      </c>
      <c r="N47" s="2" t="s">
        <v>420</v>
      </c>
      <c r="O47">
        <v>1995.5</v>
      </c>
      <c r="P47" s="2" t="s">
        <v>421</v>
      </c>
      <c r="Q47" s="2"/>
      <c r="R47" s="2">
        <v>59</v>
      </c>
      <c r="S47" s="2">
        <v>27</v>
      </c>
      <c r="T47" s="2">
        <v>48</v>
      </c>
      <c r="U47" s="2">
        <v>18</v>
      </c>
      <c r="V47" s="2">
        <v>77</v>
      </c>
      <c r="W47" s="2"/>
      <c r="X47" s="2" t="s">
        <v>422</v>
      </c>
      <c r="Y47" s="2"/>
      <c r="Z47" s="2">
        <v>9264</v>
      </c>
      <c r="AA47" s="2">
        <v>5874</v>
      </c>
      <c r="AB47" s="2"/>
      <c r="AC47" s="2"/>
      <c r="AD47" s="2"/>
      <c r="AE47" s="2"/>
      <c r="AF47" s="2"/>
      <c r="AG47" s="2"/>
      <c r="AH47" s="2"/>
      <c r="AI47" s="2"/>
      <c r="AJ47" s="2"/>
      <c r="AK47" s="2" t="s">
        <v>423</v>
      </c>
      <c r="AL47" s="2">
        <v>2</v>
      </c>
      <c r="AM47" s="2">
        <v>2.1</v>
      </c>
      <c r="AN47" s="2">
        <v>0.6</v>
      </c>
      <c r="AO47" s="2" t="s">
        <v>141</v>
      </c>
      <c r="AP47" s="2">
        <v>81.5</v>
      </c>
      <c r="AQ47" s="2">
        <v>255</v>
      </c>
      <c r="AR47" s="2">
        <v>124</v>
      </c>
      <c r="AS47" s="2" t="s">
        <v>100</v>
      </c>
      <c r="AT47" s="2">
        <v>6406</v>
      </c>
      <c r="AU47" s="2" t="s">
        <v>424</v>
      </c>
      <c r="AV47" s="2">
        <v>3</v>
      </c>
      <c r="AW47" s="2">
        <v>1.3</v>
      </c>
      <c r="AX47" s="2">
        <v>0.6</v>
      </c>
      <c r="AY47" s="2" t="s">
        <v>100</v>
      </c>
      <c r="AZ47" s="2">
        <v>83.3</v>
      </c>
      <c r="BA47" s="2">
        <v>324</v>
      </c>
      <c r="BB47" s="2">
        <v>151</v>
      </c>
      <c r="BC47" s="2" t="s">
        <v>100</v>
      </c>
      <c r="BD47" s="2">
        <v>8196</v>
      </c>
      <c r="BE47" s="2" t="s">
        <v>425</v>
      </c>
      <c r="BF47" s="2">
        <v>8</v>
      </c>
      <c r="BG47" s="2">
        <v>0.3</v>
      </c>
      <c r="BH47" s="2">
        <v>0.8</v>
      </c>
      <c r="BI47" s="2"/>
      <c r="BJ47">
        <v>72.7</v>
      </c>
      <c r="BK47">
        <v>78</v>
      </c>
      <c r="BL47">
        <v>269</v>
      </c>
      <c r="BN47">
        <v>12002</v>
      </c>
      <c r="BO47" t="s">
        <v>426</v>
      </c>
      <c r="BP47" t="s">
        <v>427</v>
      </c>
      <c r="BQ47" t="s">
        <v>428</v>
      </c>
      <c r="BR47">
        <v>16500</v>
      </c>
      <c r="BS47">
        <v>27956</v>
      </c>
      <c r="BT47" t="s">
        <v>429</v>
      </c>
      <c r="BU47" t="s">
        <v>106</v>
      </c>
      <c r="BV47" t="s">
        <v>107</v>
      </c>
      <c r="BW47">
        <v>1</v>
      </c>
      <c r="BX47">
        <v>0</v>
      </c>
      <c r="BY47">
        <v>0</v>
      </c>
      <c r="BZ47">
        <v>0</v>
      </c>
      <c r="CA47">
        <v>0</v>
      </c>
      <c r="CB47">
        <v>0</v>
      </c>
      <c r="CC47">
        <v>0</v>
      </c>
      <c r="CD47">
        <v>0</v>
      </c>
      <c r="CE47">
        <v>68.400000000000006</v>
      </c>
      <c r="CF47">
        <v>4.5999999999999996</v>
      </c>
      <c r="CG47">
        <v>20.8</v>
      </c>
      <c r="CH47">
        <v>71.7</v>
      </c>
      <c r="CI47">
        <v>8</v>
      </c>
    </row>
    <row r="48" spans="1:87" ht="44.1" customHeight="1" x14ac:dyDescent="0.55000000000000004">
      <c r="A48" s="2" t="s">
        <v>430</v>
      </c>
      <c r="B48" s="2" t="s">
        <v>431</v>
      </c>
      <c r="C48" s="2" t="s">
        <v>432</v>
      </c>
      <c r="D48" s="2" t="s">
        <v>433</v>
      </c>
      <c r="E48" s="2" t="s">
        <v>226</v>
      </c>
      <c r="F48" s="2">
        <v>0</v>
      </c>
      <c r="G48" s="2">
        <v>1</v>
      </c>
      <c r="H48" s="2">
        <v>1</v>
      </c>
      <c r="I48" s="2">
        <v>1</v>
      </c>
      <c r="J48" s="2" t="s">
        <v>434</v>
      </c>
      <c r="K48" s="2" t="s">
        <v>93</v>
      </c>
      <c r="L48" s="2" t="s">
        <v>94</v>
      </c>
      <c r="M48" s="2" t="s">
        <v>95</v>
      </c>
      <c r="N48" s="2" t="s">
        <v>435</v>
      </c>
      <c r="O48">
        <v>2012</v>
      </c>
      <c r="P48" s="2" t="s">
        <v>436</v>
      </c>
      <c r="Q48" s="2"/>
      <c r="R48" s="2">
        <v>93</v>
      </c>
      <c r="S48" s="2"/>
      <c r="T48" s="2"/>
      <c r="U48" s="2"/>
      <c r="V48" s="2"/>
      <c r="W48" s="2"/>
      <c r="X48" s="2" t="s">
        <v>437</v>
      </c>
      <c r="Y48" s="2"/>
      <c r="Z48" s="2">
        <v>501</v>
      </c>
      <c r="AA48" s="2">
        <v>495</v>
      </c>
      <c r="AB48" s="2"/>
      <c r="AC48" s="2"/>
      <c r="AD48" s="2"/>
      <c r="AE48" s="2"/>
      <c r="AF48" s="2"/>
      <c r="AG48" s="2"/>
      <c r="AH48" s="2"/>
      <c r="AI48" s="2"/>
      <c r="AJ48" s="2"/>
      <c r="AK48" s="2" t="s">
        <v>438</v>
      </c>
      <c r="AL48" s="2">
        <v>1.5</v>
      </c>
      <c r="AM48" s="2"/>
      <c r="AN48" s="2"/>
      <c r="AO48" s="2"/>
      <c r="AP48" s="2"/>
      <c r="AQ48" s="2">
        <v>3811</v>
      </c>
      <c r="AR48" s="2"/>
      <c r="AS48" s="2"/>
      <c r="AT48" s="2">
        <v>12420</v>
      </c>
      <c r="AU48" s="2" t="s">
        <v>439</v>
      </c>
      <c r="AV48" s="2">
        <v>2.5</v>
      </c>
      <c r="AW48" s="2">
        <v>5</v>
      </c>
      <c r="AX48" s="2">
        <v>2.58</v>
      </c>
      <c r="AY48" s="2" t="s">
        <v>112</v>
      </c>
      <c r="AZ48" s="2">
        <v>74.099999999999994</v>
      </c>
      <c r="BA48" s="2">
        <v>930</v>
      </c>
      <c r="BB48" s="2">
        <v>927.36</v>
      </c>
      <c r="BC48" s="2"/>
      <c r="BD48" s="2">
        <v>13168</v>
      </c>
      <c r="BE48" s="2" t="s">
        <v>440</v>
      </c>
      <c r="BF48" s="2"/>
      <c r="BG48" s="2"/>
      <c r="BH48" s="2"/>
      <c r="BI48" s="2"/>
      <c r="BP48" t="s">
        <v>441</v>
      </c>
      <c r="BQ48" t="s">
        <v>442</v>
      </c>
      <c r="BR48">
        <v>6219</v>
      </c>
      <c r="BU48" t="s">
        <v>176</v>
      </c>
      <c r="BV48" t="s">
        <v>107</v>
      </c>
      <c r="BW48">
        <v>0</v>
      </c>
      <c r="BX48">
        <v>0</v>
      </c>
      <c r="BY48">
        <v>1</v>
      </c>
      <c r="BZ48">
        <v>0</v>
      </c>
      <c r="CA48">
        <v>0</v>
      </c>
      <c r="CB48">
        <v>0</v>
      </c>
      <c r="CC48">
        <v>0</v>
      </c>
      <c r="CD48">
        <v>0</v>
      </c>
      <c r="CE48">
        <v>97</v>
      </c>
      <c r="CF48">
        <v>0</v>
      </c>
      <c r="CI48">
        <v>4</v>
      </c>
    </row>
    <row r="49" spans="1:87" ht="44.1" customHeight="1" x14ac:dyDescent="0.55000000000000004">
      <c r="A49" s="2" t="s">
        <v>430</v>
      </c>
      <c r="B49" s="2" t="s">
        <v>443</v>
      </c>
      <c r="C49" s="2" t="s">
        <v>444</v>
      </c>
      <c r="D49" s="2" t="s">
        <v>445</v>
      </c>
      <c r="E49" s="2" t="s">
        <v>226</v>
      </c>
      <c r="F49" s="2">
        <v>0</v>
      </c>
      <c r="G49" s="2">
        <v>1</v>
      </c>
      <c r="H49" s="2">
        <v>1</v>
      </c>
      <c r="I49" s="2">
        <v>1</v>
      </c>
      <c r="J49" s="2" t="s">
        <v>434</v>
      </c>
      <c r="K49" s="2" t="s">
        <v>93</v>
      </c>
      <c r="L49" s="2" t="s">
        <v>94</v>
      </c>
      <c r="M49" s="2" t="s">
        <v>95</v>
      </c>
      <c r="N49" s="2" t="s">
        <v>435</v>
      </c>
      <c r="O49">
        <v>2012</v>
      </c>
      <c r="P49" s="2" t="s">
        <v>436</v>
      </c>
      <c r="Q49" s="2"/>
      <c r="R49" s="2">
        <v>93</v>
      </c>
      <c r="S49" s="2"/>
      <c r="T49" s="2"/>
      <c r="U49" s="2"/>
      <c r="V49" s="2"/>
      <c r="W49" s="2"/>
      <c r="X49" s="2" t="s">
        <v>437</v>
      </c>
      <c r="Y49" s="2"/>
      <c r="Z49" s="2">
        <v>502</v>
      </c>
      <c r="AA49" s="2">
        <v>501</v>
      </c>
      <c r="AB49" s="2"/>
      <c r="AC49" s="2"/>
      <c r="AD49" s="2"/>
      <c r="AE49" s="2"/>
      <c r="AF49" s="2"/>
      <c r="AG49" s="2"/>
      <c r="AH49" s="2"/>
      <c r="AI49" s="2"/>
      <c r="AJ49" s="2"/>
      <c r="AK49" s="2" t="s">
        <v>438</v>
      </c>
      <c r="AL49" s="2">
        <v>1.5</v>
      </c>
      <c r="AM49" s="2"/>
      <c r="AN49" s="2"/>
      <c r="AO49" s="2"/>
      <c r="AP49" s="2"/>
      <c r="AQ49" s="2">
        <v>2308</v>
      </c>
      <c r="AR49" s="2"/>
      <c r="AS49" s="2"/>
      <c r="AT49" s="2">
        <v>5692</v>
      </c>
      <c r="AU49" s="2" t="s">
        <v>439</v>
      </c>
      <c r="AV49" s="2">
        <v>2.5</v>
      </c>
      <c r="AW49" s="2">
        <v>2.5</v>
      </c>
      <c r="AX49" s="2">
        <v>2.8</v>
      </c>
      <c r="AY49" s="2"/>
      <c r="AZ49" s="2">
        <v>69.2</v>
      </c>
      <c r="BA49" s="2">
        <v>567</v>
      </c>
      <c r="BB49" s="2">
        <v>566.26</v>
      </c>
      <c r="BC49" s="2"/>
      <c r="BD49" s="2">
        <v>6592</v>
      </c>
      <c r="BE49" s="2" t="s">
        <v>440</v>
      </c>
      <c r="BF49" s="2"/>
      <c r="BG49" s="2"/>
      <c r="BH49" s="2"/>
      <c r="BI49" s="2"/>
      <c r="BP49" t="s">
        <v>446</v>
      </c>
      <c r="BQ49" t="s">
        <v>447</v>
      </c>
      <c r="BR49">
        <v>6670</v>
      </c>
      <c r="BU49" t="s">
        <v>399</v>
      </c>
      <c r="BV49" t="s">
        <v>107</v>
      </c>
      <c r="BW49">
        <v>0</v>
      </c>
      <c r="BX49">
        <v>0</v>
      </c>
      <c r="BY49">
        <v>0</v>
      </c>
      <c r="BZ49">
        <v>0</v>
      </c>
      <c r="CA49">
        <v>0</v>
      </c>
      <c r="CB49">
        <v>0</v>
      </c>
      <c r="CC49">
        <v>0</v>
      </c>
      <c r="CD49">
        <v>0</v>
      </c>
      <c r="CE49">
        <v>63</v>
      </c>
      <c r="CF49">
        <v>0</v>
      </c>
      <c r="CI49">
        <v>6</v>
      </c>
    </row>
    <row r="50" spans="1:87" ht="44.1" customHeight="1" x14ac:dyDescent="0.55000000000000004">
      <c r="A50" s="2" t="s">
        <v>430</v>
      </c>
      <c r="B50" s="2" t="s">
        <v>448</v>
      </c>
      <c r="C50" s="2" t="s">
        <v>449</v>
      </c>
      <c r="D50" s="2" t="s">
        <v>450</v>
      </c>
      <c r="E50" s="2" t="s">
        <v>226</v>
      </c>
      <c r="F50" s="2">
        <v>0</v>
      </c>
      <c r="G50" s="2">
        <v>1</v>
      </c>
      <c r="H50" s="2">
        <v>1</v>
      </c>
      <c r="I50" s="2">
        <v>1</v>
      </c>
      <c r="J50" s="2" t="s">
        <v>434</v>
      </c>
      <c r="K50" s="2" t="s">
        <v>93</v>
      </c>
      <c r="L50" s="2" t="s">
        <v>94</v>
      </c>
      <c r="M50" s="2" t="s">
        <v>95</v>
      </c>
      <c r="N50" s="2" t="s">
        <v>435</v>
      </c>
      <c r="O50">
        <v>2012</v>
      </c>
      <c r="P50" s="2" t="s">
        <v>436</v>
      </c>
      <c r="Q50" s="2"/>
      <c r="R50" s="2">
        <v>93</v>
      </c>
      <c r="S50" s="2"/>
      <c r="T50" s="2"/>
      <c r="U50" s="2"/>
      <c r="V50" s="2"/>
      <c r="W50" s="2"/>
      <c r="X50" s="2" t="s">
        <v>437</v>
      </c>
      <c r="Y50" s="2"/>
      <c r="Z50" s="2">
        <v>502</v>
      </c>
      <c r="AA50" s="2">
        <v>492</v>
      </c>
      <c r="AB50" s="2"/>
      <c r="AC50" s="2"/>
      <c r="AD50" s="2"/>
      <c r="AE50" s="2"/>
      <c r="AF50" s="2"/>
      <c r="AG50" s="2"/>
      <c r="AH50" s="2"/>
      <c r="AI50" s="2"/>
      <c r="AJ50" s="2"/>
      <c r="AK50" s="2" t="s">
        <v>438</v>
      </c>
      <c r="AL50" s="2">
        <v>1.5</v>
      </c>
      <c r="AM50" s="2"/>
      <c r="AN50" s="2"/>
      <c r="AO50" s="2"/>
      <c r="AP50" s="2"/>
      <c r="AQ50" s="2">
        <v>4414</v>
      </c>
      <c r="AR50" s="2"/>
      <c r="AS50" s="2"/>
      <c r="AT50" s="2">
        <v>8433</v>
      </c>
      <c r="AU50" s="2" t="s">
        <v>439</v>
      </c>
      <c r="AV50" s="2">
        <v>2.5</v>
      </c>
      <c r="AW50" s="2">
        <v>7.6</v>
      </c>
      <c r="AX50" s="2">
        <v>3.01</v>
      </c>
      <c r="AY50" s="2" t="s">
        <v>100</v>
      </c>
      <c r="AZ50" s="2">
        <v>53.9</v>
      </c>
      <c r="BA50" s="2">
        <v>1660</v>
      </c>
      <c r="BB50" s="2">
        <v>871.43</v>
      </c>
      <c r="BC50" s="2" t="s">
        <v>112</v>
      </c>
      <c r="BD50" s="2">
        <v>8551</v>
      </c>
      <c r="BE50" s="2" t="s">
        <v>440</v>
      </c>
      <c r="BF50" s="2"/>
      <c r="BG50" s="2"/>
      <c r="BH50" s="2"/>
      <c r="BI50" s="2"/>
      <c r="BP50" t="s">
        <v>451</v>
      </c>
      <c r="BQ50" t="s">
        <v>452</v>
      </c>
      <c r="BR50">
        <v>8662</v>
      </c>
      <c r="BU50" t="s">
        <v>181</v>
      </c>
      <c r="BV50" t="s">
        <v>107</v>
      </c>
      <c r="BW50">
        <v>0</v>
      </c>
      <c r="BX50">
        <v>0</v>
      </c>
      <c r="BY50">
        <v>0</v>
      </c>
      <c r="BZ50">
        <v>0</v>
      </c>
      <c r="CA50">
        <v>0</v>
      </c>
      <c r="CB50">
        <v>0</v>
      </c>
      <c r="CC50">
        <v>0</v>
      </c>
      <c r="CD50">
        <v>0</v>
      </c>
      <c r="CE50">
        <v>44</v>
      </c>
      <c r="CF50">
        <v>0</v>
      </c>
    </row>
    <row r="51" spans="1:87" ht="44.1" customHeight="1" x14ac:dyDescent="0.55000000000000004">
      <c r="A51" s="2" t="s">
        <v>430</v>
      </c>
      <c r="B51" s="2" t="s">
        <v>453</v>
      </c>
      <c r="C51" s="2" t="s">
        <v>454</v>
      </c>
      <c r="D51" s="2" t="s">
        <v>455</v>
      </c>
      <c r="E51" s="2" t="s">
        <v>226</v>
      </c>
      <c r="F51" s="2">
        <v>0</v>
      </c>
      <c r="G51" s="2">
        <v>1</v>
      </c>
      <c r="H51" s="2">
        <v>1</v>
      </c>
      <c r="I51" s="2">
        <v>1</v>
      </c>
      <c r="J51" s="2" t="s">
        <v>434</v>
      </c>
      <c r="K51" s="2" t="s">
        <v>93</v>
      </c>
      <c r="L51" s="2" t="s">
        <v>94</v>
      </c>
      <c r="M51" s="2" t="s">
        <v>95</v>
      </c>
      <c r="N51" s="2" t="s">
        <v>435</v>
      </c>
      <c r="O51">
        <v>2012</v>
      </c>
      <c r="P51" s="2" t="s">
        <v>436</v>
      </c>
      <c r="Q51" s="2"/>
      <c r="R51" s="2">
        <v>93</v>
      </c>
      <c r="S51" s="2"/>
      <c r="T51" s="2"/>
      <c r="U51" s="2"/>
      <c r="V51" s="2"/>
      <c r="W51" s="2"/>
      <c r="X51" s="2" t="s">
        <v>437</v>
      </c>
      <c r="Y51" s="2"/>
      <c r="Z51" s="2">
        <v>506</v>
      </c>
      <c r="AA51" s="2">
        <v>498</v>
      </c>
      <c r="AB51" s="2"/>
      <c r="AC51" s="2"/>
      <c r="AD51" s="2"/>
      <c r="AE51" s="2"/>
      <c r="AF51" s="2"/>
      <c r="AG51" s="2"/>
      <c r="AH51" s="2"/>
      <c r="AI51" s="2"/>
      <c r="AJ51" s="2"/>
      <c r="AK51" s="2" t="s">
        <v>438</v>
      </c>
      <c r="AL51" s="2">
        <v>1.5</v>
      </c>
      <c r="AM51" s="2"/>
      <c r="AN51" s="2"/>
      <c r="AO51" s="2"/>
      <c r="AP51" s="2"/>
      <c r="AQ51" s="2">
        <v>1067</v>
      </c>
      <c r="AR51" s="2"/>
      <c r="AS51" s="2"/>
      <c r="AT51" s="2">
        <v>5112</v>
      </c>
      <c r="AU51" s="2" t="s">
        <v>439</v>
      </c>
      <c r="AV51" s="2">
        <v>2.5</v>
      </c>
      <c r="AW51" s="2">
        <v>3.7</v>
      </c>
      <c r="AX51" s="2">
        <v>2.98</v>
      </c>
      <c r="AY51" s="2"/>
      <c r="AZ51" s="2">
        <v>55.7</v>
      </c>
      <c r="BA51" s="2">
        <v>931</v>
      </c>
      <c r="BB51" s="2">
        <v>496.35</v>
      </c>
      <c r="BC51" s="2" t="s">
        <v>112</v>
      </c>
      <c r="BD51" s="2">
        <v>4582</v>
      </c>
      <c r="BE51" s="2" t="s">
        <v>440</v>
      </c>
      <c r="BF51" s="2"/>
      <c r="BG51" s="2"/>
      <c r="BH51" s="2"/>
      <c r="BI51" s="2"/>
      <c r="BP51" t="s">
        <v>456</v>
      </c>
      <c r="BQ51" t="s">
        <v>457</v>
      </c>
      <c r="BR51">
        <v>7206</v>
      </c>
      <c r="BU51" t="s">
        <v>217</v>
      </c>
      <c r="BV51" t="s">
        <v>107</v>
      </c>
      <c r="BW51">
        <v>0</v>
      </c>
      <c r="BX51">
        <v>0</v>
      </c>
      <c r="BY51">
        <v>1</v>
      </c>
      <c r="BZ51">
        <v>0</v>
      </c>
      <c r="CA51">
        <v>0</v>
      </c>
      <c r="CB51">
        <v>1</v>
      </c>
      <c r="CC51">
        <v>0</v>
      </c>
      <c r="CD51">
        <v>0</v>
      </c>
      <c r="CE51">
        <v>80</v>
      </c>
      <c r="CF51">
        <v>0</v>
      </c>
    </row>
    <row r="52" spans="1:87" ht="44.1" customHeight="1" x14ac:dyDescent="0.55000000000000004">
      <c r="A52" s="2" t="s">
        <v>430</v>
      </c>
      <c r="B52" s="2" t="s">
        <v>458</v>
      </c>
      <c r="C52" s="2" t="s">
        <v>459</v>
      </c>
      <c r="D52" s="2" t="s">
        <v>460</v>
      </c>
      <c r="E52" s="2" t="s">
        <v>226</v>
      </c>
      <c r="F52" s="2">
        <v>0</v>
      </c>
      <c r="G52" s="2">
        <v>1</v>
      </c>
      <c r="H52" s="2">
        <v>1</v>
      </c>
      <c r="I52" s="2">
        <v>1</v>
      </c>
      <c r="J52" s="2" t="s">
        <v>434</v>
      </c>
      <c r="K52" s="2" t="s">
        <v>93</v>
      </c>
      <c r="L52" s="2" t="s">
        <v>94</v>
      </c>
      <c r="M52" s="2" t="s">
        <v>95</v>
      </c>
      <c r="N52" s="2" t="s">
        <v>435</v>
      </c>
      <c r="O52">
        <v>2012</v>
      </c>
      <c r="P52" s="2" t="s">
        <v>461</v>
      </c>
      <c r="Q52" s="2"/>
      <c r="R52" s="2">
        <v>94</v>
      </c>
      <c r="S52" s="2"/>
      <c r="T52" s="2"/>
      <c r="U52" s="2"/>
      <c r="V52" s="2"/>
      <c r="W52" s="2"/>
      <c r="X52" s="2" t="s">
        <v>462</v>
      </c>
      <c r="Y52" s="2"/>
      <c r="Z52" s="2">
        <v>503</v>
      </c>
      <c r="AA52" s="2">
        <v>495</v>
      </c>
      <c r="AB52" s="2"/>
      <c r="AC52" s="2"/>
      <c r="AD52" s="2"/>
      <c r="AE52" s="2"/>
      <c r="AF52" s="2"/>
      <c r="AG52" s="2"/>
      <c r="AH52" s="2"/>
      <c r="AI52" s="2"/>
      <c r="AJ52" s="2"/>
      <c r="AK52" s="2" t="s">
        <v>438</v>
      </c>
      <c r="AL52" s="2">
        <v>1.5</v>
      </c>
      <c r="AM52" s="2"/>
      <c r="AN52" s="2"/>
      <c r="AO52" s="2"/>
      <c r="AP52" s="2"/>
      <c r="AQ52" s="2">
        <v>-486</v>
      </c>
      <c r="AR52" s="2"/>
      <c r="AS52" s="2"/>
      <c r="AT52" s="2">
        <v>10176</v>
      </c>
      <c r="AU52" s="2" t="s">
        <v>439</v>
      </c>
      <c r="AV52" s="2">
        <v>2.5</v>
      </c>
      <c r="AW52" s="2">
        <v>-3.2</v>
      </c>
      <c r="AX52" s="2">
        <v>3.07</v>
      </c>
      <c r="AY52" s="2"/>
      <c r="AZ52" s="2">
        <v>60.7</v>
      </c>
      <c r="BA52" s="2">
        <v>-657</v>
      </c>
      <c r="BB52" s="2">
        <v>800.91</v>
      </c>
      <c r="BC52" s="2"/>
      <c r="BD52" s="2">
        <v>9122</v>
      </c>
      <c r="BE52" s="2" t="s">
        <v>440</v>
      </c>
      <c r="BF52" s="2"/>
      <c r="BG52" s="2"/>
      <c r="BH52" s="2"/>
      <c r="BI52" s="2"/>
      <c r="BP52" t="s">
        <v>463</v>
      </c>
      <c r="BQ52" t="s">
        <v>464</v>
      </c>
      <c r="BR52">
        <v>8899</v>
      </c>
      <c r="BU52" t="s">
        <v>204</v>
      </c>
      <c r="BV52" t="s">
        <v>107</v>
      </c>
      <c r="BW52">
        <v>0</v>
      </c>
      <c r="BX52">
        <v>0</v>
      </c>
      <c r="BY52">
        <v>0</v>
      </c>
      <c r="BZ52">
        <v>0</v>
      </c>
      <c r="CA52">
        <v>0</v>
      </c>
      <c r="CB52">
        <v>1</v>
      </c>
      <c r="CC52">
        <v>0</v>
      </c>
      <c r="CD52">
        <v>0</v>
      </c>
      <c r="CE52">
        <v>39</v>
      </c>
      <c r="CF52">
        <v>0</v>
      </c>
      <c r="CI52">
        <v>4.5</v>
      </c>
    </row>
    <row r="53" spans="1:87" ht="44.1" customHeight="1" x14ac:dyDescent="0.55000000000000004">
      <c r="A53" s="2" t="s">
        <v>430</v>
      </c>
      <c r="B53" s="2" t="s">
        <v>465</v>
      </c>
      <c r="C53" s="2" t="s">
        <v>466</v>
      </c>
      <c r="D53" s="2" t="s">
        <v>467</v>
      </c>
      <c r="E53" s="2" t="s">
        <v>226</v>
      </c>
      <c r="F53" s="2">
        <v>0</v>
      </c>
      <c r="G53" s="2">
        <v>1</v>
      </c>
      <c r="H53" s="2">
        <v>1</v>
      </c>
      <c r="I53" s="2">
        <v>1</v>
      </c>
      <c r="J53" s="2" t="s">
        <v>434</v>
      </c>
      <c r="K53" s="2" t="s">
        <v>93</v>
      </c>
      <c r="L53" s="2" t="s">
        <v>94</v>
      </c>
      <c r="M53" s="2" t="s">
        <v>95</v>
      </c>
      <c r="N53" s="2" t="s">
        <v>435</v>
      </c>
      <c r="O53">
        <v>2012</v>
      </c>
      <c r="P53" s="2" t="s">
        <v>461</v>
      </c>
      <c r="Q53" s="2"/>
      <c r="R53" s="2">
        <v>94</v>
      </c>
      <c r="S53" s="2"/>
      <c r="T53" s="2"/>
      <c r="U53" s="2"/>
      <c r="V53" s="2"/>
      <c r="W53" s="2"/>
      <c r="X53" s="2" t="s">
        <v>462</v>
      </c>
      <c r="Y53" s="2"/>
      <c r="Z53" s="2">
        <v>500</v>
      </c>
      <c r="AA53" s="2">
        <v>497</v>
      </c>
      <c r="AB53" s="2"/>
      <c r="AC53" s="2"/>
      <c r="AD53" s="2"/>
      <c r="AE53" s="2"/>
      <c r="AF53" s="2"/>
      <c r="AG53" s="2"/>
      <c r="AH53" s="2"/>
      <c r="AI53" s="2"/>
      <c r="AJ53" s="2"/>
      <c r="AK53" s="2" t="s">
        <v>438</v>
      </c>
      <c r="AL53" s="2">
        <v>1.5</v>
      </c>
      <c r="AM53" s="2"/>
      <c r="AN53" s="2"/>
      <c r="AO53" s="2"/>
      <c r="AP53" s="2"/>
      <c r="AQ53" s="2">
        <v>3759</v>
      </c>
      <c r="AR53" s="2"/>
      <c r="AS53" s="2"/>
      <c r="AT53" s="2">
        <v>4719</v>
      </c>
      <c r="AU53" s="2" t="s">
        <v>439</v>
      </c>
      <c r="AV53" s="2">
        <v>2.5</v>
      </c>
      <c r="AW53" s="2">
        <v>9</v>
      </c>
      <c r="AX53" s="2">
        <v>3.1</v>
      </c>
      <c r="AY53" s="2" t="s">
        <v>141</v>
      </c>
      <c r="AZ53" s="2">
        <v>55.7</v>
      </c>
      <c r="BA53" s="2">
        <v>1016</v>
      </c>
      <c r="BB53" s="2">
        <v>458.97</v>
      </c>
      <c r="BC53" s="2" t="s">
        <v>100</v>
      </c>
      <c r="BD53" s="2">
        <v>4186</v>
      </c>
      <c r="BE53" s="2" t="s">
        <v>440</v>
      </c>
      <c r="BF53" s="2"/>
      <c r="BG53" s="2"/>
      <c r="BH53" s="2"/>
      <c r="BI53" s="2"/>
      <c r="BP53" t="s">
        <v>468</v>
      </c>
      <c r="BQ53" t="s">
        <v>469</v>
      </c>
      <c r="BR53">
        <v>11075</v>
      </c>
      <c r="BU53" t="s">
        <v>470</v>
      </c>
      <c r="BV53" t="s">
        <v>107</v>
      </c>
      <c r="BW53">
        <v>0</v>
      </c>
      <c r="BX53">
        <v>0</v>
      </c>
      <c r="BY53">
        <v>1</v>
      </c>
      <c r="BZ53">
        <v>0</v>
      </c>
      <c r="CA53">
        <v>0</v>
      </c>
      <c r="CB53">
        <v>1</v>
      </c>
      <c r="CC53">
        <v>0</v>
      </c>
      <c r="CD53">
        <v>0</v>
      </c>
      <c r="CE53">
        <v>100</v>
      </c>
      <c r="CF53">
        <v>0</v>
      </c>
    </row>
    <row r="54" spans="1:87" ht="44.1" customHeight="1" x14ac:dyDescent="0.55000000000000004">
      <c r="A54" s="2" t="s">
        <v>430</v>
      </c>
      <c r="B54" s="2" t="s">
        <v>471</v>
      </c>
      <c r="C54" s="2" t="s">
        <v>472</v>
      </c>
      <c r="D54" s="2" t="s">
        <v>473</v>
      </c>
      <c r="E54" s="2" t="s">
        <v>226</v>
      </c>
      <c r="F54" s="2">
        <v>0</v>
      </c>
      <c r="G54" s="2">
        <v>1</v>
      </c>
      <c r="H54" s="2">
        <v>1</v>
      </c>
      <c r="I54" s="2">
        <v>1</v>
      </c>
      <c r="J54" s="2" t="s">
        <v>434</v>
      </c>
      <c r="K54" s="2" t="s">
        <v>93</v>
      </c>
      <c r="L54" s="2" t="s">
        <v>94</v>
      </c>
      <c r="M54" s="2" t="s">
        <v>95</v>
      </c>
      <c r="N54" s="2" t="s">
        <v>435</v>
      </c>
      <c r="O54">
        <v>2012</v>
      </c>
      <c r="P54" s="2" t="s">
        <v>461</v>
      </c>
      <c r="Q54" s="2"/>
      <c r="R54" s="2">
        <v>94</v>
      </c>
      <c r="S54" s="2"/>
      <c r="T54" s="2"/>
      <c r="U54" s="2"/>
      <c r="V54" s="2"/>
      <c r="W54" s="2"/>
      <c r="X54" s="2" t="s">
        <v>462</v>
      </c>
      <c r="Y54" s="2"/>
      <c r="Z54" s="2">
        <v>504</v>
      </c>
      <c r="AA54" s="2">
        <v>501</v>
      </c>
      <c r="AB54" s="2"/>
      <c r="AC54" s="2"/>
      <c r="AD54" s="2"/>
      <c r="AE54" s="2"/>
      <c r="AF54" s="2"/>
      <c r="AG54" s="2"/>
      <c r="AH54" s="2"/>
      <c r="AI54" s="2"/>
      <c r="AJ54" s="2"/>
      <c r="AK54" s="2" t="s">
        <v>438</v>
      </c>
      <c r="AL54" s="2">
        <v>1.5</v>
      </c>
      <c r="AM54" s="2"/>
      <c r="AN54" s="2"/>
      <c r="AO54" s="2"/>
      <c r="AP54" s="2"/>
      <c r="AQ54" s="2">
        <v>1784</v>
      </c>
      <c r="AR54" s="2"/>
      <c r="AS54" s="2"/>
      <c r="AT54" s="2">
        <v>7287</v>
      </c>
      <c r="AU54" s="2" t="s">
        <v>439</v>
      </c>
      <c r="AV54" s="2">
        <v>2.5</v>
      </c>
      <c r="AW54" s="2">
        <v>3.5</v>
      </c>
      <c r="AX54" s="2">
        <v>3.07</v>
      </c>
      <c r="AY54" s="2"/>
      <c r="AZ54" s="2">
        <v>53.4</v>
      </c>
      <c r="BA54" s="2">
        <v>247</v>
      </c>
      <c r="BB54" s="2">
        <v>651.05999999999995</v>
      </c>
      <c r="BC54" s="2"/>
      <c r="BD54" s="2">
        <v>7124</v>
      </c>
      <c r="BE54" s="2" t="s">
        <v>440</v>
      </c>
      <c r="BF54" s="2"/>
      <c r="BG54" s="2"/>
      <c r="BH54" s="2"/>
      <c r="BI54" s="2"/>
      <c r="BP54" t="s">
        <v>474</v>
      </c>
      <c r="BQ54" t="s">
        <v>475</v>
      </c>
      <c r="BR54">
        <v>6459</v>
      </c>
      <c r="BU54" t="s">
        <v>217</v>
      </c>
      <c r="BV54" t="s">
        <v>107</v>
      </c>
      <c r="BW54">
        <v>0</v>
      </c>
      <c r="BX54">
        <v>0</v>
      </c>
      <c r="BY54">
        <v>1</v>
      </c>
      <c r="BZ54">
        <v>0</v>
      </c>
      <c r="CA54">
        <v>0</v>
      </c>
      <c r="CB54">
        <v>1</v>
      </c>
      <c r="CC54">
        <v>0</v>
      </c>
      <c r="CD54">
        <v>0</v>
      </c>
      <c r="CE54">
        <v>79</v>
      </c>
      <c r="CF54">
        <v>0</v>
      </c>
      <c r="CI54">
        <v>6</v>
      </c>
    </row>
    <row r="55" spans="1:87" ht="44.1" customHeight="1" x14ac:dyDescent="0.55000000000000004">
      <c r="A55" s="2" t="s">
        <v>476</v>
      </c>
      <c r="B55" s="2" t="s">
        <v>477</v>
      </c>
      <c r="C55" s="2" t="s">
        <v>478</v>
      </c>
      <c r="D55" s="2" t="s">
        <v>479</v>
      </c>
      <c r="E55" s="2" t="s">
        <v>226</v>
      </c>
      <c r="F55" s="2">
        <v>1</v>
      </c>
      <c r="G55" s="2">
        <v>1</v>
      </c>
      <c r="H55" s="2">
        <v>1</v>
      </c>
      <c r="I55" s="2">
        <v>1</v>
      </c>
      <c r="J55" s="2" t="s">
        <v>480</v>
      </c>
      <c r="K55" s="2" t="s">
        <v>93</v>
      </c>
      <c r="L55" s="2" t="s">
        <v>94</v>
      </c>
      <c r="M55" s="2" t="s">
        <v>95</v>
      </c>
      <c r="N55" s="2" t="s">
        <v>481</v>
      </c>
      <c r="O55">
        <v>2013.875</v>
      </c>
      <c r="P55" s="2" t="s">
        <v>482</v>
      </c>
      <c r="Q55" s="2">
        <v>20.7</v>
      </c>
      <c r="R55" s="2">
        <v>49.1</v>
      </c>
      <c r="S55" s="2"/>
      <c r="T55" s="2">
        <v>58.1</v>
      </c>
      <c r="U55" s="2">
        <v>36.200000000000003</v>
      </c>
      <c r="V55" s="2">
        <v>38.299999999999997</v>
      </c>
      <c r="W55" s="2"/>
      <c r="X55" s="2" t="s">
        <v>483</v>
      </c>
      <c r="Y55" s="2"/>
      <c r="Z55" s="2">
        <v>1638</v>
      </c>
      <c r="AA55" s="2">
        <v>1040</v>
      </c>
      <c r="AB55" s="2"/>
      <c r="AC55" s="2"/>
      <c r="AD55" s="2"/>
      <c r="AE55" s="2"/>
      <c r="AF55" s="2"/>
      <c r="AG55" s="2"/>
      <c r="AH55" s="2"/>
      <c r="AI55" s="2"/>
      <c r="AJ55" s="2"/>
      <c r="AK55" s="2" t="s">
        <v>438</v>
      </c>
      <c r="AL55" s="2">
        <v>1</v>
      </c>
      <c r="AM55" s="2">
        <v>28.8</v>
      </c>
      <c r="AN55" s="2">
        <v>1.34</v>
      </c>
      <c r="AO55" s="2" t="s">
        <v>141</v>
      </c>
      <c r="AP55" s="2">
        <v>66.400000000000006</v>
      </c>
      <c r="AQ55" s="2">
        <v>3428</v>
      </c>
      <c r="AR55" s="2">
        <v>193.62</v>
      </c>
      <c r="AS55" s="2" t="s">
        <v>141</v>
      </c>
      <c r="AT55" s="2">
        <v>3247</v>
      </c>
      <c r="AU55" s="2" t="s">
        <v>293</v>
      </c>
      <c r="AV55" s="2">
        <v>2.5</v>
      </c>
      <c r="AW55" s="2">
        <v>-0.4</v>
      </c>
      <c r="AX55" s="2">
        <v>1.61</v>
      </c>
      <c r="AY55" s="2"/>
      <c r="AZ55" s="2">
        <v>78.7</v>
      </c>
      <c r="BA55" s="2">
        <v>494</v>
      </c>
      <c r="BB55" s="2">
        <v>351.06</v>
      </c>
      <c r="BC55" s="2"/>
      <c r="BD55" s="2">
        <v>7637</v>
      </c>
      <c r="BE55" s="2" t="s">
        <v>142</v>
      </c>
      <c r="BF55" s="2"/>
      <c r="BG55" s="2"/>
      <c r="BH55" s="2"/>
      <c r="BI55" s="2"/>
      <c r="BP55" t="s">
        <v>484</v>
      </c>
      <c r="BQ55" t="s">
        <v>485</v>
      </c>
      <c r="BR55">
        <v>5431</v>
      </c>
      <c r="BU55" t="s">
        <v>217</v>
      </c>
      <c r="BV55" t="s">
        <v>107</v>
      </c>
      <c r="BW55">
        <v>0</v>
      </c>
      <c r="BX55">
        <v>0</v>
      </c>
      <c r="BY55">
        <v>1</v>
      </c>
      <c r="BZ55">
        <v>0</v>
      </c>
      <c r="CA55">
        <v>0</v>
      </c>
      <c r="CB55">
        <v>1</v>
      </c>
      <c r="CC55">
        <v>0</v>
      </c>
      <c r="CD55">
        <v>0</v>
      </c>
      <c r="CE55">
        <v>77</v>
      </c>
      <c r="CF55">
        <v>0</v>
      </c>
      <c r="CI55">
        <v>2.5</v>
      </c>
    </row>
    <row r="56" spans="1:87" ht="44.1" customHeight="1" x14ac:dyDescent="0.55000000000000004">
      <c r="A56" s="2" t="s">
        <v>476</v>
      </c>
      <c r="B56" s="2" t="s">
        <v>486</v>
      </c>
      <c r="C56" s="2" t="s">
        <v>487</v>
      </c>
      <c r="D56" s="2" t="s">
        <v>488</v>
      </c>
      <c r="E56" s="2" t="s">
        <v>226</v>
      </c>
      <c r="F56" s="2">
        <v>0</v>
      </c>
      <c r="G56" s="2">
        <v>0</v>
      </c>
      <c r="H56" s="2">
        <v>1</v>
      </c>
      <c r="I56" s="2">
        <v>1</v>
      </c>
      <c r="J56" s="2" t="s">
        <v>489</v>
      </c>
      <c r="K56" s="2" t="s">
        <v>93</v>
      </c>
      <c r="L56" s="2" t="s">
        <v>94</v>
      </c>
      <c r="M56" s="2" t="s">
        <v>94</v>
      </c>
      <c r="N56" s="2" t="s">
        <v>490</v>
      </c>
      <c r="O56">
        <v>2014.0419999999999</v>
      </c>
      <c r="P56" s="2" t="s">
        <v>491</v>
      </c>
      <c r="Q56" s="2">
        <v>40.700000000000003</v>
      </c>
      <c r="R56" s="2">
        <v>27.7</v>
      </c>
      <c r="S56" s="2">
        <v>9.4</v>
      </c>
      <c r="T56" s="2">
        <v>41.9</v>
      </c>
      <c r="U56" s="2">
        <v>18.5</v>
      </c>
      <c r="V56" s="2">
        <v>28</v>
      </c>
      <c r="W56" s="2"/>
      <c r="X56" s="2" t="s">
        <v>492</v>
      </c>
      <c r="Y56" s="2"/>
      <c r="Z56" s="2">
        <v>414</v>
      </c>
      <c r="AA56" s="2">
        <v>397</v>
      </c>
      <c r="AB56" s="2"/>
      <c r="AC56" s="2"/>
      <c r="AD56" s="2">
        <v>1</v>
      </c>
      <c r="AE56" s="2"/>
      <c r="AF56" s="2"/>
      <c r="AG56" s="2"/>
      <c r="AH56" s="2"/>
      <c r="AI56" s="2"/>
      <c r="AJ56" s="2"/>
      <c r="AK56" s="2" t="s">
        <v>438</v>
      </c>
      <c r="AL56" s="2">
        <v>1</v>
      </c>
      <c r="AM56" s="2">
        <v>6</v>
      </c>
      <c r="AN56" s="2">
        <v>2.86</v>
      </c>
      <c r="AO56" s="2" t="s">
        <v>100</v>
      </c>
      <c r="AP56" s="2">
        <v>69.7</v>
      </c>
      <c r="AQ56" s="2">
        <v>1608</v>
      </c>
      <c r="AR56" s="2">
        <v>619.76</v>
      </c>
      <c r="AS56" s="2" t="s">
        <v>141</v>
      </c>
      <c r="AT56" s="2">
        <v>6912</v>
      </c>
      <c r="AU56" s="2" t="s">
        <v>293</v>
      </c>
      <c r="AV56" s="2"/>
      <c r="AW56" s="2"/>
      <c r="AX56" s="2"/>
      <c r="AY56" s="2"/>
      <c r="AZ56" s="2"/>
      <c r="BA56" s="2"/>
      <c r="BB56" s="2"/>
      <c r="BC56" s="2"/>
      <c r="BD56" s="2"/>
      <c r="BE56" s="2"/>
      <c r="BF56" s="2"/>
      <c r="BG56" s="2"/>
      <c r="BH56" s="2"/>
      <c r="BI56" s="2"/>
      <c r="BP56" t="s">
        <v>493</v>
      </c>
      <c r="BQ56" t="s">
        <v>494</v>
      </c>
      <c r="BU56" t="s">
        <v>181</v>
      </c>
      <c r="BV56" t="s">
        <v>107</v>
      </c>
      <c r="BW56">
        <v>0</v>
      </c>
      <c r="BX56">
        <v>0</v>
      </c>
      <c r="BY56">
        <v>0</v>
      </c>
      <c r="BZ56">
        <v>0</v>
      </c>
      <c r="CA56">
        <v>0</v>
      </c>
      <c r="CB56">
        <v>1</v>
      </c>
      <c r="CC56">
        <v>0</v>
      </c>
      <c r="CD56">
        <v>1</v>
      </c>
      <c r="CE56">
        <v>25.4</v>
      </c>
      <c r="CF56">
        <v>0</v>
      </c>
    </row>
    <row r="57" spans="1:87" ht="44.1" customHeight="1" x14ac:dyDescent="0.55000000000000004">
      <c r="A57" s="2" t="s">
        <v>476</v>
      </c>
      <c r="B57" s="2" t="s">
        <v>495</v>
      </c>
      <c r="C57" s="2" t="s">
        <v>496</v>
      </c>
      <c r="D57" s="2" t="s">
        <v>497</v>
      </c>
      <c r="E57" s="2" t="s">
        <v>226</v>
      </c>
      <c r="F57" s="2">
        <v>1</v>
      </c>
      <c r="G57" s="2">
        <v>0</v>
      </c>
      <c r="H57" s="2">
        <v>1</v>
      </c>
      <c r="I57" s="2">
        <v>1</v>
      </c>
      <c r="J57" s="2" t="s">
        <v>498</v>
      </c>
      <c r="K57" s="2" t="s">
        <v>228</v>
      </c>
      <c r="L57" s="2" t="s">
        <v>94</v>
      </c>
      <c r="M57" s="2" t="s">
        <v>95</v>
      </c>
      <c r="N57" s="2" t="s">
        <v>499</v>
      </c>
      <c r="O57">
        <v>2015.6669999999999</v>
      </c>
      <c r="P57" s="2" t="s">
        <v>500</v>
      </c>
      <c r="Q57" s="2">
        <v>30.6</v>
      </c>
      <c r="R57" s="2">
        <v>20.6</v>
      </c>
      <c r="S57" s="2">
        <v>6.8</v>
      </c>
      <c r="T57" s="2">
        <v>80.5</v>
      </c>
      <c r="U57" s="2">
        <v>4.7</v>
      </c>
      <c r="V57" s="2">
        <v>26.9</v>
      </c>
      <c r="W57" s="2"/>
      <c r="X57" s="2" t="s">
        <v>501</v>
      </c>
      <c r="Y57" s="2"/>
      <c r="Z57" s="2">
        <v>403</v>
      </c>
      <c r="AA57" s="2">
        <v>396</v>
      </c>
      <c r="AB57" s="2"/>
      <c r="AC57" s="2"/>
      <c r="AD57" s="2">
        <v>1</v>
      </c>
      <c r="AE57" s="2"/>
      <c r="AF57" s="2"/>
      <c r="AG57" s="2"/>
      <c r="AH57" s="2"/>
      <c r="AI57" s="2"/>
      <c r="AJ57" s="2"/>
      <c r="AK57" s="2" t="s">
        <v>438</v>
      </c>
      <c r="AL57" s="2">
        <v>1</v>
      </c>
      <c r="AM57" s="2">
        <v>6.8</v>
      </c>
      <c r="AN57" s="2">
        <v>2.4900000000000002</v>
      </c>
      <c r="AO57" s="2" t="s">
        <v>141</v>
      </c>
      <c r="AP57" s="2">
        <v>80.2</v>
      </c>
      <c r="AQ57" s="2">
        <v>560</v>
      </c>
      <c r="AR57" s="2">
        <v>454.71</v>
      </c>
      <c r="AS57" s="2"/>
      <c r="AT57" s="2">
        <v>6572</v>
      </c>
      <c r="AU57" s="2" t="s">
        <v>293</v>
      </c>
      <c r="AV57" s="2"/>
      <c r="AW57" s="2"/>
      <c r="AX57" s="2"/>
      <c r="AY57" s="2"/>
      <c r="AZ57" s="2"/>
      <c r="BA57" s="2"/>
      <c r="BB57" s="2"/>
      <c r="BC57" s="2"/>
      <c r="BD57" s="2"/>
      <c r="BE57" s="2"/>
      <c r="BF57" s="2"/>
      <c r="BG57" s="2"/>
      <c r="BH57" s="2"/>
      <c r="BI57" s="2"/>
      <c r="BP57" t="s">
        <v>502</v>
      </c>
      <c r="BQ57" t="s">
        <v>503</v>
      </c>
      <c r="BU57" t="s">
        <v>504</v>
      </c>
      <c r="BV57" t="s">
        <v>246</v>
      </c>
      <c r="BW57">
        <v>0</v>
      </c>
      <c r="BX57">
        <v>0</v>
      </c>
      <c r="BY57">
        <v>0</v>
      </c>
      <c r="BZ57">
        <v>0</v>
      </c>
      <c r="CA57">
        <v>0</v>
      </c>
      <c r="CB57">
        <v>1</v>
      </c>
      <c r="CC57">
        <v>0</v>
      </c>
      <c r="CD57">
        <v>0</v>
      </c>
      <c r="CE57">
        <v>33.700000000000003</v>
      </c>
      <c r="CF57">
        <v>0</v>
      </c>
      <c r="CG57">
        <v>1.6</v>
      </c>
      <c r="CH57">
        <v>33.799999999999997</v>
      </c>
    </row>
    <row r="58" spans="1:87" ht="44.1" customHeight="1" x14ac:dyDescent="0.55000000000000004">
      <c r="A58" s="2" t="s">
        <v>476</v>
      </c>
      <c r="B58" s="2" t="s">
        <v>505</v>
      </c>
      <c r="C58" s="2" t="s">
        <v>506</v>
      </c>
      <c r="D58" s="2" t="s">
        <v>507</v>
      </c>
      <c r="E58" s="2" t="s">
        <v>226</v>
      </c>
      <c r="F58" s="2">
        <v>0</v>
      </c>
      <c r="G58" s="2">
        <v>0</v>
      </c>
      <c r="H58" s="2">
        <v>1</v>
      </c>
      <c r="I58" s="2">
        <v>1</v>
      </c>
      <c r="J58" s="2" t="s">
        <v>508</v>
      </c>
      <c r="K58" s="2" t="s">
        <v>228</v>
      </c>
      <c r="L58" s="2" t="s">
        <v>94</v>
      </c>
      <c r="M58" s="2" t="s">
        <v>136</v>
      </c>
      <c r="N58" s="2" t="s">
        <v>509</v>
      </c>
      <c r="O58">
        <v>2013.375</v>
      </c>
      <c r="P58" s="2" t="s">
        <v>510</v>
      </c>
      <c r="Q58" s="2">
        <v>31.7</v>
      </c>
      <c r="R58" s="2">
        <v>14.5</v>
      </c>
      <c r="S58" s="2">
        <v>6.5</v>
      </c>
      <c r="T58" s="2">
        <v>31.6</v>
      </c>
      <c r="U58" s="2">
        <v>54.7</v>
      </c>
      <c r="V58" s="2">
        <v>39</v>
      </c>
      <c r="W58" s="2"/>
      <c r="X58" s="2" t="s">
        <v>511</v>
      </c>
      <c r="Y58" s="2"/>
      <c r="Z58" s="2">
        <v>874</v>
      </c>
      <c r="AA58" s="2">
        <v>871</v>
      </c>
      <c r="AB58" s="2"/>
      <c r="AC58" s="2"/>
      <c r="AD58" s="2"/>
      <c r="AE58" s="2"/>
      <c r="AF58" s="2"/>
      <c r="AG58" s="2">
        <v>1</v>
      </c>
      <c r="AH58" s="2"/>
      <c r="AI58" s="2"/>
      <c r="AJ58" s="2"/>
      <c r="AK58" s="2" t="s">
        <v>438</v>
      </c>
      <c r="AL58" s="2">
        <v>1</v>
      </c>
      <c r="AM58" s="2">
        <v>34.1</v>
      </c>
      <c r="AN58" s="2"/>
      <c r="AO58" s="2" t="s">
        <v>141</v>
      </c>
      <c r="AP58" s="2">
        <v>57.8</v>
      </c>
      <c r="AQ58" s="2">
        <v>2716</v>
      </c>
      <c r="AR58" s="2"/>
      <c r="AS58" s="2" t="s">
        <v>141</v>
      </c>
      <c r="AT58" s="2">
        <v>4476</v>
      </c>
      <c r="AU58" s="2" t="s">
        <v>512</v>
      </c>
      <c r="AV58" s="2">
        <v>2.5</v>
      </c>
      <c r="AW58" s="2">
        <v>4.0999999999999996</v>
      </c>
      <c r="AX58" s="2">
        <v>2.15</v>
      </c>
      <c r="AY58" s="2" t="s">
        <v>112</v>
      </c>
      <c r="AZ58" s="2">
        <v>68</v>
      </c>
      <c r="BA58" s="2">
        <v>889</v>
      </c>
      <c r="BB58" s="2">
        <v>562.66</v>
      </c>
      <c r="BC58" s="2"/>
      <c r="BD58" s="2">
        <v>9777</v>
      </c>
      <c r="BE58" s="2" t="s">
        <v>513</v>
      </c>
      <c r="BF58" s="2"/>
      <c r="BG58" s="2"/>
      <c r="BH58" s="2"/>
      <c r="BI58" s="2"/>
      <c r="BP58" t="s">
        <v>514</v>
      </c>
      <c r="BQ58" t="s">
        <v>515</v>
      </c>
      <c r="BR58">
        <v>4701</v>
      </c>
      <c r="BU58" t="s">
        <v>181</v>
      </c>
      <c r="BV58" t="s">
        <v>107</v>
      </c>
      <c r="BW58">
        <v>0</v>
      </c>
      <c r="BX58">
        <v>0</v>
      </c>
      <c r="BY58">
        <v>0</v>
      </c>
      <c r="BZ58">
        <v>0</v>
      </c>
      <c r="CA58">
        <v>0</v>
      </c>
      <c r="CB58">
        <v>0</v>
      </c>
      <c r="CC58">
        <v>0</v>
      </c>
      <c r="CD58">
        <v>0</v>
      </c>
      <c r="CE58">
        <v>79</v>
      </c>
      <c r="CF58">
        <v>0</v>
      </c>
      <c r="CI58">
        <v>6</v>
      </c>
    </row>
    <row r="59" spans="1:87" ht="44.1" customHeight="1" x14ac:dyDescent="0.55000000000000004">
      <c r="A59" s="2" t="s">
        <v>476</v>
      </c>
      <c r="B59" s="2" t="s">
        <v>516</v>
      </c>
      <c r="C59" s="2" t="s">
        <v>517</v>
      </c>
      <c r="D59" s="2" t="s">
        <v>518</v>
      </c>
      <c r="E59" s="2" t="s">
        <v>226</v>
      </c>
      <c r="F59" s="2">
        <v>0</v>
      </c>
      <c r="G59" s="2">
        <v>1</v>
      </c>
      <c r="H59" s="2">
        <v>1</v>
      </c>
      <c r="I59" s="2">
        <v>1</v>
      </c>
      <c r="J59" s="2" t="s">
        <v>519</v>
      </c>
      <c r="K59" s="2" t="s">
        <v>228</v>
      </c>
      <c r="L59" s="2" t="s">
        <v>94</v>
      </c>
      <c r="M59" s="2" t="s">
        <v>136</v>
      </c>
      <c r="N59" s="2" t="s">
        <v>509</v>
      </c>
      <c r="O59">
        <v>2013.375</v>
      </c>
      <c r="P59" s="2" t="s">
        <v>510</v>
      </c>
      <c r="Q59" s="2">
        <v>31.7</v>
      </c>
      <c r="R59" s="2">
        <v>14.5</v>
      </c>
      <c r="S59" s="2">
        <v>6.5</v>
      </c>
      <c r="T59" s="2">
        <v>31.6</v>
      </c>
      <c r="U59" s="2">
        <v>54.7</v>
      </c>
      <c r="V59" s="2">
        <v>39</v>
      </c>
      <c r="W59" s="2"/>
      <c r="X59" s="2" t="s">
        <v>511</v>
      </c>
      <c r="Y59" s="2"/>
      <c r="Z59" s="2">
        <v>877</v>
      </c>
      <c r="AA59" s="2">
        <v>871</v>
      </c>
      <c r="AB59" s="2"/>
      <c r="AC59" s="2"/>
      <c r="AD59" s="2"/>
      <c r="AE59" s="2"/>
      <c r="AF59" s="2"/>
      <c r="AG59" s="2">
        <v>1</v>
      </c>
      <c r="AH59" s="2"/>
      <c r="AI59" s="2"/>
      <c r="AJ59" s="2"/>
      <c r="AK59" s="2" t="s">
        <v>438</v>
      </c>
      <c r="AL59" s="2">
        <v>1</v>
      </c>
      <c r="AM59" s="2">
        <v>18.3</v>
      </c>
      <c r="AN59" s="2"/>
      <c r="AO59" s="2" t="s">
        <v>141</v>
      </c>
      <c r="AP59" s="2">
        <v>57.8</v>
      </c>
      <c r="AQ59" s="2">
        <v>1269</v>
      </c>
      <c r="AR59" s="2"/>
      <c r="AS59" s="2" t="s">
        <v>141</v>
      </c>
      <c r="AT59" s="2">
        <v>4476</v>
      </c>
      <c r="AU59" s="2" t="s">
        <v>512</v>
      </c>
      <c r="AV59" s="2">
        <v>2.5</v>
      </c>
      <c r="AW59" s="2">
        <v>2.2999999999999998</v>
      </c>
      <c r="AX59" s="2">
        <v>2.19</v>
      </c>
      <c r="AY59" s="2"/>
      <c r="AZ59" s="2">
        <v>68</v>
      </c>
      <c r="BA59" s="2">
        <v>174</v>
      </c>
      <c r="BB59" s="2">
        <v>563.11</v>
      </c>
      <c r="BC59" s="2"/>
      <c r="BD59" s="2">
        <v>9777</v>
      </c>
      <c r="BE59" s="2" t="s">
        <v>513</v>
      </c>
      <c r="BF59" s="2"/>
      <c r="BG59" s="2"/>
      <c r="BH59" s="2"/>
      <c r="BI59" s="2"/>
      <c r="BP59" t="s">
        <v>514</v>
      </c>
      <c r="BQ59" t="s">
        <v>520</v>
      </c>
      <c r="BR59">
        <v>2046</v>
      </c>
      <c r="BU59" t="s">
        <v>181</v>
      </c>
      <c r="BV59" t="s">
        <v>107</v>
      </c>
      <c r="BW59">
        <v>0</v>
      </c>
      <c r="BX59">
        <v>0</v>
      </c>
      <c r="BY59">
        <v>0</v>
      </c>
      <c r="BZ59">
        <v>0</v>
      </c>
      <c r="CA59">
        <v>0</v>
      </c>
      <c r="CB59">
        <v>0</v>
      </c>
      <c r="CC59">
        <v>0</v>
      </c>
      <c r="CD59">
        <v>0</v>
      </c>
      <c r="CE59">
        <v>42</v>
      </c>
      <c r="CF59">
        <v>0</v>
      </c>
      <c r="CI59">
        <v>6</v>
      </c>
    </row>
    <row r="60" spans="1:87" ht="44.1" customHeight="1" x14ac:dyDescent="0.55000000000000004">
      <c r="A60" s="2" t="s">
        <v>476</v>
      </c>
      <c r="B60" s="2" t="s">
        <v>521</v>
      </c>
      <c r="C60" s="2" t="s">
        <v>522</v>
      </c>
      <c r="D60" s="2" t="s">
        <v>523</v>
      </c>
      <c r="E60" s="2" t="s">
        <v>91</v>
      </c>
      <c r="F60" s="2">
        <v>1</v>
      </c>
      <c r="G60" s="2">
        <v>1</v>
      </c>
      <c r="H60" s="2">
        <v>1</v>
      </c>
      <c r="I60" s="2">
        <v>1</v>
      </c>
      <c r="J60" s="2" t="s">
        <v>524</v>
      </c>
      <c r="K60" s="2" t="s">
        <v>93</v>
      </c>
      <c r="L60" s="2" t="s">
        <v>94</v>
      </c>
      <c r="M60" s="2" t="s">
        <v>95</v>
      </c>
      <c r="N60" s="2" t="s">
        <v>525</v>
      </c>
      <c r="O60">
        <v>2016</v>
      </c>
      <c r="P60" s="2" t="s">
        <v>526</v>
      </c>
      <c r="Q60" s="2">
        <v>18.399999999999999</v>
      </c>
      <c r="R60" s="2">
        <v>100</v>
      </c>
      <c r="S60" s="2">
        <v>0.8</v>
      </c>
      <c r="T60" s="2">
        <v>74.2</v>
      </c>
      <c r="U60" s="2">
        <v>21.6</v>
      </c>
      <c r="V60" s="2">
        <v>100</v>
      </c>
      <c r="W60" s="2"/>
      <c r="X60" s="2" t="s">
        <v>527</v>
      </c>
      <c r="Y60" s="2"/>
      <c r="Z60" s="2">
        <v>289</v>
      </c>
      <c r="AA60" s="2">
        <v>191</v>
      </c>
      <c r="AB60" s="2">
        <v>0.47599999999999998</v>
      </c>
      <c r="AC60" s="2">
        <v>0.47399999999999998</v>
      </c>
      <c r="AD60" s="2">
        <v>0.47499999999999998</v>
      </c>
      <c r="AE60" s="2"/>
      <c r="AF60" s="2"/>
      <c r="AG60" s="2"/>
      <c r="AH60" s="2"/>
      <c r="AI60" s="2"/>
      <c r="AJ60" s="2"/>
      <c r="AK60" s="2" t="s">
        <v>99</v>
      </c>
      <c r="AL60" s="2">
        <v>1</v>
      </c>
      <c r="AM60" s="2">
        <v>18.2</v>
      </c>
      <c r="AN60" s="2">
        <v>6.35</v>
      </c>
      <c r="AO60" s="2" t="s">
        <v>141</v>
      </c>
      <c r="AP60" s="2">
        <v>50.1</v>
      </c>
      <c r="AQ60" s="2"/>
      <c r="AR60" s="2"/>
      <c r="AS60" s="2"/>
      <c r="AT60" s="2"/>
      <c r="AU60" s="2"/>
      <c r="AV60" s="2"/>
      <c r="AW60" s="2"/>
      <c r="AX60" s="2"/>
      <c r="AY60" s="2"/>
      <c r="AZ60" s="2"/>
      <c r="BA60" s="2"/>
      <c r="BB60" s="2"/>
      <c r="BC60" s="2"/>
      <c r="BD60" s="2"/>
      <c r="BE60" s="2"/>
      <c r="BF60" s="2"/>
      <c r="BG60" s="2"/>
      <c r="BH60" s="2"/>
      <c r="BI60" s="2"/>
      <c r="BP60" t="s">
        <v>528</v>
      </c>
      <c r="BQ60" t="s">
        <v>529</v>
      </c>
      <c r="BU60" t="s">
        <v>185</v>
      </c>
      <c r="BV60" t="s">
        <v>107</v>
      </c>
      <c r="BW60">
        <v>0</v>
      </c>
      <c r="BX60">
        <v>0</v>
      </c>
      <c r="BY60">
        <v>1</v>
      </c>
      <c r="BZ60">
        <v>0</v>
      </c>
      <c r="CA60">
        <v>0</v>
      </c>
      <c r="CB60">
        <v>1</v>
      </c>
      <c r="CC60">
        <v>0</v>
      </c>
      <c r="CD60">
        <v>0</v>
      </c>
      <c r="CE60">
        <v>67.8</v>
      </c>
      <c r="CF60">
        <v>0</v>
      </c>
      <c r="CG60">
        <v>7.4</v>
      </c>
      <c r="CH60">
        <v>61.8</v>
      </c>
      <c r="CI60">
        <v>6</v>
      </c>
    </row>
    <row r="61" spans="1:87" ht="44.1" customHeight="1" x14ac:dyDescent="0.55000000000000004">
      <c r="A61" s="2" t="s">
        <v>530</v>
      </c>
      <c r="B61" s="2" t="s">
        <v>531</v>
      </c>
      <c r="C61" s="2" t="s">
        <v>532</v>
      </c>
      <c r="D61" s="2" t="s">
        <v>533</v>
      </c>
      <c r="E61" s="2" t="s">
        <v>91</v>
      </c>
      <c r="F61" s="2">
        <v>1</v>
      </c>
      <c r="G61" s="2">
        <v>1</v>
      </c>
      <c r="H61" s="2">
        <v>1</v>
      </c>
      <c r="I61" s="2">
        <v>1</v>
      </c>
      <c r="J61" s="2" t="s">
        <v>534</v>
      </c>
      <c r="K61" s="2" t="s">
        <v>93</v>
      </c>
      <c r="L61" s="2" t="s">
        <v>136</v>
      </c>
      <c r="M61" s="2" t="s">
        <v>95</v>
      </c>
      <c r="N61" s="2" t="s">
        <v>535</v>
      </c>
      <c r="O61">
        <v>2012.4580000000001</v>
      </c>
      <c r="P61" s="2" t="s">
        <v>536</v>
      </c>
      <c r="Q61" s="2">
        <v>31</v>
      </c>
      <c r="R61" s="2">
        <v>87</v>
      </c>
      <c r="S61" s="2">
        <v>5.2</v>
      </c>
      <c r="T61" s="2">
        <v>44.5</v>
      </c>
      <c r="U61" s="2">
        <v>36</v>
      </c>
      <c r="V61" s="2">
        <v>0.1</v>
      </c>
      <c r="W61" s="2"/>
      <c r="X61" s="2" t="s">
        <v>537</v>
      </c>
      <c r="Y61" s="2"/>
      <c r="Z61" s="2">
        <v>349</v>
      </c>
      <c r="AA61" s="2">
        <v>341</v>
      </c>
      <c r="AB61" s="2"/>
      <c r="AC61" s="2"/>
      <c r="AD61" s="2"/>
      <c r="AE61" s="2"/>
      <c r="AF61" s="2"/>
      <c r="AG61" s="2"/>
      <c r="AH61" s="2"/>
      <c r="AI61" s="2"/>
      <c r="AJ61" s="2"/>
      <c r="AK61" s="2" t="s">
        <v>438</v>
      </c>
      <c r="AL61" s="2">
        <v>1</v>
      </c>
      <c r="AM61" s="2">
        <v>6.1</v>
      </c>
      <c r="AN61" s="2">
        <v>3.7</v>
      </c>
      <c r="AO61" s="2" t="s">
        <v>112</v>
      </c>
      <c r="AP61" s="2">
        <v>71</v>
      </c>
      <c r="AQ61" s="2">
        <v>150</v>
      </c>
      <c r="AR61" s="2"/>
      <c r="AS61" s="2"/>
      <c r="AT61" s="2">
        <v>8718</v>
      </c>
      <c r="AU61" s="2" t="s">
        <v>538</v>
      </c>
      <c r="AV61" s="2">
        <v>2</v>
      </c>
      <c r="AW61" s="2">
        <v>6</v>
      </c>
      <c r="AX61" s="2">
        <v>3.1</v>
      </c>
      <c r="AY61" s="2" t="s">
        <v>100</v>
      </c>
      <c r="AZ61" s="2">
        <v>76.400000000000006</v>
      </c>
      <c r="BA61" s="2">
        <v>3747</v>
      </c>
      <c r="BB61" s="2">
        <v>1454.4</v>
      </c>
      <c r="BC61" s="2" t="s">
        <v>141</v>
      </c>
      <c r="BD61" s="2">
        <v>14471</v>
      </c>
      <c r="BE61" s="2" t="s">
        <v>539</v>
      </c>
      <c r="BF61" s="2">
        <v>6</v>
      </c>
      <c r="BG61" s="2">
        <v>-1.4</v>
      </c>
      <c r="BH61" s="2">
        <v>2.86</v>
      </c>
      <c r="BI61" s="2"/>
      <c r="BJ61">
        <v>84.6</v>
      </c>
      <c r="BK61">
        <v>6281</v>
      </c>
      <c r="BL61">
        <v>2182</v>
      </c>
      <c r="BM61" t="s">
        <v>141</v>
      </c>
      <c r="BN61">
        <v>32122</v>
      </c>
      <c r="BO61" t="s">
        <v>540</v>
      </c>
      <c r="BP61" t="s">
        <v>541</v>
      </c>
      <c r="BQ61" t="s">
        <v>542</v>
      </c>
      <c r="BR61">
        <v>3750</v>
      </c>
      <c r="BS61">
        <v>35820</v>
      </c>
      <c r="BT61" t="s">
        <v>543</v>
      </c>
      <c r="BU61" t="s">
        <v>217</v>
      </c>
      <c r="BV61" t="s">
        <v>107</v>
      </c>
      <c r="BW61">
        <v>0</v>
      </c>
      <c r="BX61">
        <v>1</v>
      </c>
      <c r="BY61">
        <v>1</v>
      </c>
      <c r="BZ61">
        <v>0</v>
      </c>
      <c r="CA61">
        <v>1</v>
      </c>
      <c r="CB61">
        <v>1</v>
      </c>
      <c r="CC61">
        <v>1</v>
      </c>
      <c r="CD61">
        <v>0</v>
      </c>
      <c r="CE61">
        <v>68.3</v>
      </c>
      <c r="CF61">
        <v>0</v>
      </c>
      <c r="CG61">
        <v>21.4</v>
      </c>
      <c r="CH61">
        <v>63</v>
      </c>
      <c r="CI61">
        <v>3.75</v>
      </c>
    </row>
    <row r="62" spans="1:87" ht="44.1" customHeight="1" x14ac:dyDescent="0.55000000000000004">
      <c r="A62" s="2" t="s">
        <v>530</v>
      </c>
      <c r="B62" s="2" t="s">
        <v>544</v>
      </c>
      <c r="C62" s="2" t="s">
        <v>545</v>
      </c>
      <c r="D62" s="2" t="s">
        <v>546</v>
      </c>
      <c r="E62" s="2" t="s">
        <v>91</v>
      </c>
      <c r="F62" s="2">
        <v>1</v>
      </c>
      <c r="G62" s="2">
        <v>0</v>
      </c>
      <c r="H62" s="2">
        <v>1</v>
      </c>
      <c r="I62" s="2">
        <v>1</v>
      </c>
      <c r="J62" s="2" t="s">
        <v>534</v>
      </c>
      <c r="K62" s="2" t="s">
        <v>93</v>
      </c>
      <c r="L62" s="2" t="s">
        <v>136</v>
      </c>
      <c r="M62" s="2" t="s">
        <v>95</v>
      </c>
      <c r="N62" s="2" t="s">
        <v>535</v>
      </c>
      <c r="O62">
        <v>2012.4580000000001</v>
      </c>
      <c r="P62" s="2" t="s">
        <v>547</v>
      </c>
      <c r="Q62" s="2">
        <v>35</v>
      </c>
      <c r="R62" s="2">
        <v>85</v>
      </c>
      <c r="S62" s="2">
        <v>6.9</v>
      </c>
      <c r="T62" s="2">
        <v>62.7</v>
      </c>
      <c r="U62" s="2">
        <v>22.8</v>
      </c>
      <c r="V62" s="2">
        <v>11.9</v>
      </c>
      <c r="W62" s="2"/>
      <c r="X62" s="2" t="s">
        <v>548</v>
      </c>
      <c r="Y62" s="2"/>
      <c r="Z62" s="2">
        <v>242</v>
      </c>
      <c r="AA62" s="2">
        <v>237</v>
      </c>
      <c r="AB62" s="2"/>
      <c r="AC62" s="2"/>
      <c r="AD62" s="2"/>
      <c r="AE62" s="2"/>
      <c r="AF62" s="2"/>
      <c r="AG62" s="2"/>
      <c r="AH62" s="2"/>
      <c r="AI62" s="2"/>
      <c r="AJ62" s="2"/>
      <c r="AK62" s="2" t="s">
        <v>438</v>
      </c>
      <c r="AL62" s="2">
        <v>1</v>
      </c>
      <c r="AM62" s="2">
        <v>7.7</v>
      </c>
      <c r="AN62" s="2">
        <v>3.9</v>
      </c>
      <c r="AO62" s="2" t="s">
        <v>100</v>
      </c>
      <c r="AP62" s="2">
        <v>70.400000000000006</v>
      </c>
      <c r="AQ62" s="2">
        <v>-253</v>
      </c>
      <c r="AR62" s="2"/>
      <c r="AS62" s="2"/>
      <c r="AT62" s="2">
        <v>9648</v>
      </c>
      <c r="AU62" s="2" t="s">
        <v>538</v>
      </c>
      <c r="AV62" s="2">
        <v>2</v>
      </c>
      <c r="AW62" s="2">
        <v>2.1</v>
      </c>
      <c r="AX62" s="2"/>
      <c r="AY62" s="2"/>
      <c r="AZ62" s="2">
        <v>72.2</v>
      </c>
      <c r="BA62" s="2">
        <v>191</v>
      </c>
      <c r="BB62" s="2"/>
      <c r="BC62" s="2"/>
      <c r="BD62" s="2">
        <v>14229</v>
      </c>
      <c r="BE62" s="2" t="s">
        <v>539</v>
      </c>
      <c r="BF62" s="2">
        <v>6</v>
      </c>
      <c r="BG62" s="2">
        <v>-2</v>
      </c>
      <c r="BH62" s="2">
        <v>3.82</v>
      </c>
      <c r="BI62" s="2"/>
      <c r="BJ62">
        <v>79.7</v>
      </c>
      <c r="BK62">
        <v>2849</v>
      </c>
      <c r="BL62">
        <v>2263</v>
      </c>
      <c r="BN62">
        <v>23822</v>
      </c>
      <c r="BO62" t="s">
        <v>540</v>
      </c>
      <c r="BP62" t="s">
        <v>549</v>
      </c>
      <c r="BQ62" t="s">
        <v>550</v>
      </c>
      <c r="BR62">
        <v>5100</v>
      </c>
      <c r="BS62">
        <v>6495</v>
      </c>
      <c r="BT62" t="s">
        <v>551</v>
      </c>
      <c r="BU62" t="s">
        <v>217</v>
      </c>
      <c r="BV62" t="s">
        <v>107</v>
      </c>
      <c r="BW62">
        <v>0</v>
      </c>
      <c r="BX62">
        <v>1</v>
      </c>
      <c r="BY62">
        <v>1</v>
      </c>
      <c r="BZ62">
        <v>0</v>
      </c>
      <c r="CA62">
        <v>1</v>
      </c>
      <c r="CB62">
        <v>1</v>
      </c>
      <c r="CC62">
        <v>1</v>
      </c>
      <c r="CD62">
        <v>0</v>
      </c>
      <c r="CE62">
        <v>53</v>
      </c>
      <c r="CF62">
        <v>1.7</v>
      </c>
      <c r="CG62">
        <v>20.6</v>
      </c>
      <c r="CH62">
        <v>60.6</v>
      </c>
      <c r="CI62">
        <v>2</v>
      </c>
    </row>
    <row r="63" spans="1:87" ht="44.1" customHeight="1" x14ac:dyDescent="0.55000000000000004">
      <c r="A63" s="2" t="s">
        <v>530</v>
      </c>
      <c r="B63" s="2" t="s">
        <v>552</v>
      </c>
      <c r="C63" s="2" t="s">
        <v>553</v>
      </c>
      <c r="D63" s="2" t="s">
        <v>554</v>
      </c>
      <c r="E63" s="2" t="s">
        <v>91</v>
      </c>
      <c r="F63" s="2">
        <v>1</v>
      </c>
      <c r="G63" s="2">
        <v>0</v>
      </c>
      <c r="H63" s="2">
        <v>1</v>
      </c>
      <c r="I63" s="2">
        <v>1</v>
      </c>
      <c r="J63" s="2" t="s">
        <v>534</v>
      </c>
      <c r="K63" s="2" t="s">
        <v>93</v>
      </c>
      <c r="L63" s="2" t="s">
        <v>136</v>
      </c>
      <c r="M63" s="2" t="s">
        <v>95</v>
      </c>
      <c r="N63" s="2" t="s">
        <v>535</v>
      </c>
      <c r="O63">
        <v>2012.4580000000001</v>
      </c>
      <c r="P63" s="2" t="s">
        <v>555</v>
      </c>
      <c r="Q63" s="2">
        <v>35</v>
      </c>
      <c r="R63" s="2">
        <v>84</v>
      </c>
      <c r="S63" s="2">
        <v>39.200000000000003</v>
      </c>
      <c r="T63" s="2">
        <v>28.4</v>
      </c>
      <c r="U63" s="2">
        <v>6.1</v>
      </c>
      <c r="V63" s="2">
        <v>6</v>
      </c>
      <c r="W63" s="2"/>
      <c r="X63" s="2" t="s">
        <v>556</v>
      </c>
      <c r="Y63" s="2"/>
      <c r="Z63" s="2">
        <v>353</v>
      </c>
      <c r="AA63" s="2">
        <v>344</v>
      </c>
      <c r="AB63" s="2"/>
      <c r="AC63" s="2"/>
      <c r="AD63" s="2"/>
      <c r="AE63" s="2"/>
      <c r="AF63" s="2"/>
      <c r="AG63" s="2"/>
      <c r="AH63" s="2"/>
      <c r="AI63" s="2"/>
      <c r="AJ63" s="2"/>
      <c r="AK63" s="2" t="s">
        <v>438</v>
      </c>
      <c r="AL63" s="2">
        <v>1</v>
      </c>
      <c r="AM63" s="2">
        <v>2.8</v>
      </c>
      <c r="AN63" s="2"/>
      <c r="AO63" s="2"/>
      <c r="AP63" s="2">
        <v>86.5</v>
      </c>
      <c r="AQ63" s="2">
        <v>328</v>
      </c>
      <c r="AR63" s="2"/>
      <c r="AS63" s="2"/>
      <c r="AT63" s="2">
        <v>12933</v>
      </c>
      <c r="AU63" s="2" t="s">
        <v>538</v>
      </c>
      <c r="AV63" s="2">
        <v>2</v>
      </c>
      <c r="AW63" s="2">
        <v>-2.5</v>
      </c>
      <c r="AX63" s="2"/>
      <c r="AY63" s="2"/>
      <c r="AZ63" s="2">
        <v>82.8</v>
      </c>
      <c r="BA63" s="2">
        <v>1837</v>
      </c>
      <c r="BB63" s="2">
        <v>1116.5999999999999</v>
      </c>
      <c r="BC63" s="2" t="s">
        <v>112</v>
      </c>
      <c r="BD63" s="2">
        <v>14804</v>
      </c>
      <c r="BE63" s="2" t="s">
        <v>539</v>
      </c>
      <c r="BF63" s="2">
        <v>6</v>
      </c>
      <c r="BG63" s="2">
        <v>-4.4000000000000004</v>
      </c>
      <c r="BH63" s="2">
        <v>3.19</v>
      </c>
      <c r="BI63" s="2"/>
      <c r="BJ63">
        <v>78.599999999999994</v>
      </c>
      <c r="BK63">
        <v>787</v>
      </c>
      <c r="BL63">
        <v>1511</v>
      </c>
      <c r="BN63">
        <v>20461</v>
      </c>
      <c r="BO63" t="s">
        <v>540</v>
      </c>
      <c r="BP63" t="s">
        <v>557</v>
      </c>
      <c r="BQ63" t="s">
        <v>558</v>
      </c>
      <c r="BR63">
        <v>6300</v>
      </c>
      <c r="BS63">
        <v>24756</v>
      </c>
      <c r="BT63" t="s">
        <v>559</v>
      </c>
      <c r="BU63" t="s">
        <v>346</v>
      </c>
      <c r="BV63" t="s">
        <v>107</v>
      </c>
      <c r="BW63">
        <v>0</v>
      </c>
      <c r="BX63">
        <v>1</v>
      </c>
      <c r="BY63">
        <v>1</v>
      </c>
      <c r="BZ63">
        <v>0</v>
      </c>
      <c r="CA63">
        <v>1</v>
      </c>
      <c r="CB63">
        <v>1</v>
      </c>
      <c r="CC63">
        <v>1</v>
      </c>
      <c r="CD63">
        <v>0</v>
      </c>
      <c r="CE63">
        <v>49.9</v>
      </c>
      <c r="CF63">
        <v>0.1</v>
      </c>
      <c r="CG63">
        <v>26.6</v>
      </c>
      <c r="CH63">
        <v>49.5</v>
      </c>
      <c r="CI63">
        <v>4.5</v>
      </c>
    </row>
    <row r="64" spans="1:87" ht="44.1" customHeight="1" x14ac:dyDescent="0.55000000000000004">
      <c r="A64" s="2" t="s">
        <v>530</v>
      </c>
      <c r="B64" s="2" t="s">
        <v>560</v>
      </c>
      <c r="C64" s="2" t="s">
        <v>561</v>
      </c>
      <c r="D64" s="2" t="s">
        <v>562</v>
      </c>
      <c r="E64" s="2" t="s">
        <v>91</v>
      </c>
      <c r="F64" s="2">
        <v>1</v>
      </c>
      <c r="G64" s="2">
        <v>0</v>
      </c>
      <c r="H64" s="2">
        <v>1</v>
      </c>
      <c r="I64" s="2">
        <v>1</v>
      </c>
      <c r="J64" s="2" t="s">
        <v>534</v>
      </c>
      <c r="K64" s="2" t="s">
        <v>93</v>
      </c>
      <c r="L64" s="2" t="s">
        <v>136</v>
      </c>
      <c r="M64" s="2" t="s">
        <v>95</v>
      </c>
      <c r="N64" s="2" t="s">
        <v>535</v>
      </c>
      <c r="O64">
        <v>2012.4580000000001</v>
      </c>
      <c r="P64" s="2" t="s">
        <v>563</v>
      </c>
      <c r="Q64" s="2">
        <v>35</v>
      </c>
      <c r="R64" s="2">
        <v>41</v>
      </c>
      <c r="S64" s="2">
        <v>18.399999999999999</v>
      </c>
      <c r="T64" s="2">
        <v>70.8</v>
      </c>
      <c r="U64" s="2">
        <v>4.5999999999999996</v>
      </c>
      <c r="V64" s="2">
        <v>5.9</v>
      </c>
      <c r="W64" s="2"/>
      <c r="X64" s="2" t="s">
        <v>564</v>
      </c>
      <c r="Y64" s="2"/>
      <c r="Z64" s="2">
        <v>349</v>
      </c>
      <c r="AA64" s="2">
        <v>349</v>
      </c>
      <c r="AB64" s="2"/>
      <c r="AC64" s="2"/>
      <c r="AD64" s="2"/>
      <c r="AE64" s="2"/>
      <c r="AF64" s="2"/>
      <c r="AG64" s="2"/>
      <c r="AH64" s="2"/>
      <c r="AI64" s="2"/>
      <c r="AJ64" s="2"/>
      <c r="AK64" s="2" t="s">
        <v>438</v>
      </c>
      <c r="AL64" s="2">
        <v>1</v>
      </c>
      <c r="AM64" s="2">
        <v>4.8</v>
      </c>
      <c r="AN64" s="2">
        <v>2.9</v>
      </c>
      <c r="AO64" s="2" t="s">
        <v>112</v>
      </c>
      <c r="AP64" s="2">
        <v>78.8</v>
      </c>
      <c r="AQ64" s="2">
        <v>12</v>
      </c>
      <c r="AR64" s="2"/>
      <c r="AS64" s="2"/>
      <c r="AT64" s="2">
        <v>9483</v>
      </c>
      <c r="AU64" s="2" t="s">
        <v>538</v>
      </c>
      <c r="AV64" s="2">
        <v>2</v>
      </c>
      <c r="AW64" s="2">
        <v>5.4</v>
      </c>
      <c r="AX64" s="2">
        <v>3.3</v>
      </c>
      <c r="AY64" s="2" t="s">
        <v>112</v>
      </c>
      <c r="AZ64" s="2">
        <v>73.7</v>
      </c>
      <c r="BA64" s="2">
        <v>1621</v>
      </c>
      <c r="BB64" s="2">
        <v>985.3</v>
      </c>
      <c r="BC64" s="2" t="s">
        <v>112</v>
      </c>
      <c r="BD64" s="2">
        <v>11602</v>
      </c>
      <c r="BE64" s="2" t="s">
        <v>539</v>
      </c>
      <c r="BF64" s="2">
        <v>6</v>
      </c>
      <c r="BG64" s="2">
        <v>0.4</v>
      </c>
      <c r="BH64" s="2">
        <v>3.01</v>
      </c>
      <c r="BI64" s="2"/>
      <c r="BJ64">
        <v>78.599999999999994</v>
      </c>
      <c r="BK64">
        <v>1404</v>
      </c>
      <c r="BL64">
        <v>1289</v>
      </c>
      <c r="BN64">
        <v>18338</v>
      </c>
      <c r="BO64" t="s">
        <v>540</v>
      </c>
      <c r="BP64" t="s">
        <v>565</v>
      </c>
      <c r="BQ64" t="s">
        <v>566</v>
      </c>
      <c r="BR64">
        <v>5100</v>
      </c>
      <c r="BS64">
        <v>15795</v>
      </c>
      <c r="BT64" t="s">
        <v>567</v>
      </c>
      <c r="BU64" t="s">
        <v>327</v>
      </c>
      <c r="BV64" t="s">
        <v>107</v>
      </c>
      <c r="BW64">
        <v>0</v>
      </c>
      <c r="BX64">
        <v>1</v>
      </c>
      <c r="BY64">
        <v>1</v>
      </c>
      <c r="BZ64">
        <v>0</v>
      </c>
      <c r="CA64">
        <v>1</v>
      </c>
      <c r="CB64">
        <v>1</v>
      </c>
      <c r="CC64">
        <v>1</v>
      </c>
      <c r="CD64">
        <v>0</v>
      </c>
      <c r="CE64">
        <v>53.2</v>
      </c>
      <c r="CF64">
        <v>1.6</v>
      </c>
      <c r="CG64">
        <v>25.6</v>
      </c>
      <c r="CH64">
        <v>54.5</v>
      </c>
      <c r="CI64">
        <v>2.4</v>
      </c>
    </row>
    <row r="65" spans="1:87" ht="44.1" customHeight="1" x14ac:dyDescent="0.55000000000000004">
      <c r="A65" s="2" t="s">
        <v>568</v>
      </c>
      <c r="B65" s="2" t="s">
        <v>569</v>
      </c>
      <c r="C65" s="2" t="s">
        <v>570</v>
      </c>
      <c r="D65" s="2" t="s">
        <v>571</v>
      </c>
      <c r="E65" s="2" t="s">
        <v>91</v>
      </c>
      <c r="F65" s="2">
        <v>1</v>
      </c>
      <c r="G65" s="2">
        <v>0</v>
      </c>
      <c r="H65" s="2">
        <v>1</v>
      </c>
      <c r="I65" s="2">
        <v>1</v>
      </c>
      <c r="J65" s="2" t="s">
        <v>572</v>
      </c>
      <c r="K65" s="2" t="s">
        <v>93</v>
      </c>
      <c r="L65" s="2" t="s">
        <v>136</v>
      </c>
      <c r="M65" s="2" t="s">
        <v>95</v>
      </c>
      <c r="N65" s="2" t="s">
        <v>573</v>
      </c>
      <c r="O65">
        <v>2004.5</v>
      </c>
      <c r="P65" s="2" t="s">
        <v>574</v>
      </c>
      <c r="Q65" s="2">
        <v>32.6</v>
      </c>
      <c r="R65" s="2">
        <v>52</v>
      </c>
      <c r="S65" s="2">
        <v>16</v>
      </c>
      <c r="T65" s="2">
        <v>78</v>
      </c>
      <c r="U65" s="2">
        <v>4</v>
      </c>
      <c r="V65" s="2">
        <v>12</v>
      </c>
      <c r="W65" s="2"/>
      <c r="X65" s="2" t="s">
        <v>575</v>
      </c>
      <c r="Y65" s="2"/>
      <c r="Z65" s="2">
        <v>173</v>
      </c>
      <c r="AA65" s="2">
        <v>168</v>
      </c>
      <c r="AB65" s="2"/>
      <c r="AC65" s="2"/>
      <c r="AD65" s="2"/>
      <c r="AE65" s="2">
        <v>0.85</v>
      </c>
      <c r="AF65" s="2">
        <v>0.88</v>
      </c>
      <c r="AG65" s="2">
        <v>0.87</v>
      </c>
      <c r="AH65" s="2"/>
      <c r="AI65" s="2"/>
      <c r="AJ65" s="2"/>
      <c r="AK65" s="2" t="s">
        <v>99</v>
      </c>
      <c r="AL65" s="2">
        <v>1</v>
      </c>
      <c r="AM65" s="2">
        <v>1.7</v>
      </c>
      <c r="AN65" s="2"/>
      <c r="AO65" s="2"/>
      <c r="AP65" s="2">
        <v>65</v>
      </c>
      <c r="AQ65" s="2">
        <v>2520</v>
      </c>
      <c r="AR65" s="2"/>
      <c r="AS65" s="2"/>
      <c r="AT65" s="2">
        <v>12675</v>
      </c>
      <c r="AU65" s="2" t="s">
        <v>576</v>
      </c>
      <c r="AV65" s="2">
        <v>2</v>
      </c>
      <c r="AW65" s="2">
        <v>2</v>
      </c>
      <c r="AX65" s="2"/>
      <c r="AY65" s="2"/>
      <c r="AZ65" s="2">
        <v>88</v>
      </c>
      <c r="BA65" s="2">
        <v>3735</v>
      </c>
      <c r="BB65" s="2"/>
      <c r="BC65" s="2" t="s">
        <v>141</v>
      </c>
      <c r="BD65" s="2">
        <v>13614</v>
      </c>
      <c r="BE65" s="2" t="s">
        <v>577</v>
      </c>
      <c r="BF65" s="2"/>
      <c r="BG65" s="2"/>
      <c r="BH65" s="2"/>
      <c r="BI65" s="2"/>
      <c r="BP65" t="s">
        <v>578</v>
      </c>
      <c r="BQ65" t="s">
        <v>579</v>
      </c>
      <c r="BU65" t="s">
        <v>399</v>
      </c>
      <c r="BV65" t="s">
        <v>107</v>
      </c>
      <c r="BW65">
        <v>0</v>
      </c>
      <c r="BX65">
        <v>1</v>
      </c>
      <c r="BY65">
        <v>1</v>
      </c>
      <c r="BZ65">
        <v>0</v>
      </c>
      <c r="CA65">
        <v>1</v>
      </c>
      <c r="CB65">
        <v>1</v>
      </c>
      <c r="CC65">
        <v>1</v>
      </c>
      <c r="CD65">
        <v>1</v>
      </c>
      <c r="CE65">
        <v>73</v>
      </c>
      <c r="CF65">
        <v>0</v>
      </c>
      <c r="CI65">
        <v>1.6</v>
      </c>
    </row>
    <row r="66" spans="1:87" ht="44.1" customHeight="1" x14ac:dyDescent="0.55000000000000004">
      <c r="A66" s="2" t="s">
        <v>568</v>
      </c>
      <c r="B66" s="2" t="s">
        <v>580</v>
      </c>
      <c r="C66" s="2" t="s">
        <v>580</v>
      </c>
      <c r="D66" s="2" t="s">
        <v>581</v>
      </c>
      <c r="E66" s="2" t="s">
        <v>91</v>
      </c>
      <c r="F66" s="2">
        <v>1</v>
      </c>
      <c r="G66" s="2">
        <v>0</v>
      </c>
      <c r="H66" s="2">
        <v>1</v>
      </c>
      <c r="I66" s="2">
        <v>1</v>
      </c>
      <c r="J66" s="2" t="s">
        <v>582</v>
      </c>
      <c r="K66" s="2" t="s">
        <v>93</v>
      </c>
      <c r="L66" s="2" t="s">
        <v>136</v>
      </c>
      <c r="M66" s="2" t="s">
        <v>95</v>
      </c>
      <c r="N66" s="2" t="s">
        <v>573</v>
      </c>
      <c r="O66">
        <v>2004.5</v>
      </c>
      <c r="P66" s="2" t="s">
        <v>583</v>
      </c>
      <c r="Q66" s="2">
        <v>31.6</v>
      </c>
      <c r="R66" s="2">
        <v>12</v>
      </c>
      <c r="S66" s="2">
        <v>17</v>
      </c>
      <c r="T66" s="2">
        <v>53</v>
      </c>
      <c r="U66" s="2">
        <v>19</v>
      </c>
      <c r="V66" s="2">
        <v>8</v>
      </c>
      <c r="W66" s="2"/>
      <c r="X66" s="2" t="s">
        <v>584</v>
      </c>
      <c r="Y66" s="2"/>
      <c r="Z66" s="2">
        <v>181</v>
      </c>
      <c r="AA66" s="2">
        <v>147</v>
      </c>
      <c r="AB66" s="2"/>
      <c r="AC66" s="2"/>
      <c r="AD66" s="2"/>
      <c r="AE66" s="2">
        <v>0.66</v>
      </c>
      <c r="AF66" s="2">
        <v>0.8</v>
      </c>
      <c r="AG66" s="2">
        <v>0.73</v>
      </c>
      <c r="AH66" s="2"/>
      <c r="AI66" s="2"/>
      <c r="AJ66" s="2"/>
      <c r="AK66" s="2" t="s">
        <v>99</v>
      </c>
      <c r="AL66" s="2">
        <v>1</v>
      </c>
      <c r="AM66" s="2">
        <v>-2.5</v>
      </c>
      <c r="AN66" s="2"/>
      <c r="AO66" s="2"/>
      <c r="AP66" s="2">
        <v>45.8</v>
      </c>
      <c r="AQ66" s="2">
        <v>102</v>
      </c>
      <c r="AR66" s="2"/>
      <c r="AS66" s="2"/>
      <c r="AT66" s="2">
        <v>8088</v>
      </c>
      <c r="AU66" s="2" t="s">
        <v>576</v>
      </c>
      <c r="AV66" s="2">
        <v>2</v>
      </c>
      <c r="AW66" s="2">
        <v>10</v>
      </c>
      <c r="AX66" s="2"/>
      <c r="AY66" s="2" t="s">
        <v>100</v>
      </c>
      <c r="AZ66" s="2">
        <v>72</v>
      </c>
      <c r="BA66" s="2">
        <v>4237</v>
      </c>
      <c r="BB66" s="2"/>
      <c r="BC66" s="2" t="s">
        <v>141</v>
      </c>
      <c r="BD66" s="2">
        <v>12098</v>
      </c>
      <c r="BE66" s="2" t="s">
        <v>577</v>
      </c>
      <c r="BF66" s="2"/>
      <c r="BG66" s="2"/>
      <c r="BH66" s="2"/>
      <c r="BI66" s="2"/>
      <c r="BP66" t="s">
        <v>585</v>
      </c>
      <c r="BQ66" t="s">
        <v>586</v>
      </c>
      <c r="BU66" t="s">
        <v>587</v>
      </c>
      <c r="BV66" t="s">
        <v>107</v>
      </c>
      <c r="BW66">
        <v>0</v>
      </c>
      <c r="BX66">
        <v>1</v>
      </c>
      <c r="BY66">
        <v>1</v>
      </c>
      <c r="BZ66">
        <v>0</v>
      </c>
      <c r="CA66">
        <v>1</v>
      </c>
      <c r="CB66">
        <v>0</v>
      </c>
      <c r="CC66">
        <v>1</v>
      </c>
      <c r="CD66">
        <v>0</v>
      </c>
      <c r="CE66">
        <v>74</v>
      </c>
      <c r="CF66">
        <v>0</v>
      </c>
      <c r="CI66">
        <v>5.2</v>
      </c>
    </row>
    <row r="67" spans="1:87" ht="44.1" customHeight="1" x14ac:dyDescent="0.55000000000000004">
      <c r="A67" s="2" t="s">
        <v>568</v>
      </c>
      <c r="B67" s="2" t="s">
        <v>588</v>
      </c>
      <c r="C67" s="2" t="s">
        <v>532</v>
      </c>
      <c r="D67" s="2" t="s">
        <v>589</v>
      </c>
      <c r="E67" s="2" t="s">
        <v>91</v>
      </c>
      <c r="F67" s="2">
        <v>1</v>
      </c>
      <c r="G67" s="2">
        <v>1</v>
      </c>
      <c r="H67" s="2">
        <v>1</v>
      </c>
      <c r="I67" s="2">
        <v>1</v>
      </c>
      <c r="J67" s="2" t="s">
        <v>590</v>
      </c>
      <c r="K67" s="2" t="s">
        <v>93</v>
      </c>
      <c r="L67" s="2" t="s">
        <v>136</v>
      </c>
      <c r="M67" s="2" t="s">
        <v>95</v>
      </c>
      <c r="N67" s="2" t="s">
        <v>573</v>
      </c>
      <c r="O67">
        <v>2004.5</v>
      </c>
      <c r="P67" s="2" t="s">
        <v>591</v>
      </c>
      <c r="Q67" s="2">
        <v>32.5</v>
      </c>
      <c r="R67" s="2">
        <v>76</v>
      </c>
      <c r="S67" s="2">
        <v>3</v>
      </c>
      <c r="T67" s="2">
        <v>50</v>
      </c>
      <c r="U67" s="2">
        <v>41</v>
      </c>
      <c r="V67" s="2">
        <v>0</v>
      </c>
      <c r="W67" s="2"/>
      <c r="X67" s="2" t="s">
        <v>592</v>
      </c>
      <c r="Y67" s="2"/>
      <c r="Z67" s="2">
        <v>175</v>
      </c>
      <c r="AA67" s="2">
        <v>170</v>
      </c>
      <c r="AB67" s="2"/>
      <c r="AC67" s="2"/>
      <c r="AD67" s="2"/>
      <c r="AE67" s="2">
        <v>0.77</v>
      </c>
      <c r="AF67" s="2">
        <v>0.79</v>
      </c>
      <c r="AG67" s="2">
        <v>0.78</v>
      </c>
      <c r="AH67" s="2"/>
      <c r="AI67" s="2"/>
      <c r="AJ67" s="2"/>
      <c r="AK67" s="2" t="s">
        <v>99</v>
      </c>
      <c r="AL67" s="2">
        <v>1</v>
      </c>
      <c r="AM67" s="2">
        <v>1.7</v>
      </c>
      <c r="AN67" s="2"/>
      <c r="AO67" s="2"/>
      <c r="AP67" s="2">
        <v>46.7</v>
      </c>
      <c r="AQ67" s="2">
        <v>-836</v>
      </c>
      <c r="AR67" s="2"/>
      <c r="AS67" s="2"/>
      <c r="AT67" s="2">
        <v>11312</v>
      </c>
      <c r="AU67" s="2" t="s">
        <v>576</v>
      </c>
      <c r="AV67" s="2">
        <v>2</v>
      </c>
      <c r="AW67" s="2">
        <v>9</v>
      </c>
      <c r="AX67" s="2"/>
      <c r="AY67" s="2" t="s">
        <v>112</v>
      </c>
      <c r="AZ67" s="2">
        <v>73</v>
      </c>
      <c r="BA67" s="2">
        <v>4663</v>
      </c>
      <c r="BB67" s="2"/>
      <c r="BC67" s="2" t="s">
        <v>141</v>
      </c>
      <c r="BD67" s="2">
        <v>14680</v>
      </c>
      <c r="BE67" s="2" t="s">
        <v>577</v>
      </c>
      <c r="BF67" s="2"/>
      <c r="BG67" s="2"/>
      <c r="BH67" s="2"/>
      <c r="BI67" s="2"/>
      <c r="BP67" t="s">
        <v>593</v>
      </c>
      <c r="BQ67" t="s">
        <v>594</v>
      </c>
      <c r="BU67" t="s">
        <v>217</v>
      </c>
      <c r="BV67" t="s">
        <v>107</v>
      </c>
      <c r="BW67">
        <v>0</v>
      </c>
      <c r="BX67">
        <v>1</v>
      </c>
      <c r="BY67">
        <v>1</v>
      </c>
      <c r="BZ67">
        <v>1</v>
      </c>
      <c r="CA67">
        <v>1</v>
      </c>
      <c r="CB67">
        <v>1</v>
      </c>
      <c r="CC67">
        <v>1</v>
      </c>
      <c r="CD67">
        <v>0</v>
      </c>
      <c r="CE67">
        <v>78</v>
      </c>
      <c r="CF67">
        <v>0</v>
      </c>
      <c r="CI67">
        <v>3.6</v>
      </c>
    </row>
    <row r="68" spans="1:87" ht="44.1" customHeight="1" x14ac:dyDescent="0.55000000000000004">
      <c r="A68" s="2" t="s">
        <v>595</v>
      </c>
      <c r="B68" s="2" t="s">
        <v>596</v>
      </c>
      <c r="C68" s="2" t="s">
        <v>597</v>
      </c>
      <c r="D68" s="2" t="s">
        <v>598</v>
      </c>
      <c r="E68" s="2" t="s">
        <v>91</v>
      </c>
      <c r="F68" s="2">
        <v>1</v>
      </c>
      <c r="G68" s="2">
        <v>0</v>
      </c>
      <c r="H68" s="2">
        <v>1</v>
      </c>
      <c r="I68" s="2">
        <v>1</v>
      </c>
      <c r="J68" s="2" t="s">
        <v>599</v>
      </c>
      <c r="K68" s="2" t="s">
        <v>93</v>
      </c>
      <c r="L68" s="2" t="s">
        <v>94</v>
      </c>
      <c r="M68" s="2" t="s">
        <v>95</v>
      </c>
      <c r="N68" s="2" t="s">
        <v>600</v>
      </c>
      <c r="O68">
        <v>2012.5</v>
      </c>
      <c r="P68" s="2" t="s">
        <v>601</v>
      </c>
      <c r="Q68" s="2">
        <v>32.200000000000003</v>
      </c>
      <c r="R68" s="2">
        <v>21.2</v>
      </c>
      <c r="S68" s="2">
        <v>18.899999999999999</v>
      </c>
      <c r="T68" s="2">
        <v>59.7</v>
      </c>
      <c r="U68" s="2">
        <v>5.9</v>
      </c>
      <c r="V68" s="2">
        <v>6.7</v>
      </c>
      <c r="W68" s="2"/>
      <c r="X68" s="2" t="s">
        <v>602</v>
      </c>
      <c r="Y68" s="2"/>
      <c r="Z68" s="2">
        <v>271</v>
      </c>
      <c r="AA68" s="2">
        <v>271</v>
      </c>
      <c r="AB68" s="2"/>
      <c r="AC68" s="2"/>
      <c r="AD68" s="2"/>
      <c r="AE68" s="2"/>
      <c r="AF68" s="2"/>
      <c r="AG68" s="2"/>
      <c r="AH68" s="2"/>
      <c r="AI68" s="2"/>
      <c r="AJ68" s="2"/>
      <c r="AK68" s="2" t="s">
        <v>438</v>
      </c>
      <c r="AL68" s="2">
        <v>1</v>
      </c>
      <c r="AM68" s="2">
        <v>-1.5</v>
      </c>
      <c r="AN68" s="2"/>
      <c r="AO68" s="2"/>
      <c r="AP68" s="2">
        <v>68.8</v>
      </c>
      <c r="AQ68" s="2">
        <v>-396</v>
      </c>
      <c r="AR68" s="2"/>
      <c r="AS68" s="2"/>
      <c r="AT68" s="2">
        <v>11960</v>
      </c>
      <c r="AU68" s="2" t="s">
        <v>603</v>
      </c>
      <c r="AV68" s="2">
        <v>1.5</v>
      </c>
      <c r="AW68" s="2">
        <v>-2.6</v>
      </c>
      <c r="AX68" s="2"/>
      <c r="AY68" s="2"/>
      <c r="AZ68" s="2">
        <v>82.5</v>
      </c>
      <c r="BA68" s="2">
        <v>-79</v>
      </c>
      <c r="BB68" s="2"/>
      <c r="BC68" s="2"/>
      <c r="BD68" s="2">
        <v>7682</v>
      </c>
      <c r="BE68" s="2" t="s">
        <v>604</v>
      </c>
      <c r="BF68" s="2"/>
      <c r="BG68" s="2"/>
      <c r="BH68" s="2"/>
      <c r="BI68" s="2"/>
      <c r="BP68" t="s">
        <v>605</v>
      </c>
      <c r="BQ68" t="s">
        <v>606</v>
      </c>
      <c r="BU68" t="s">
        <v>504</v>
      </c>
      <c r="BV68" t="s">
        <v>107</v>
      </c>
      <c r="BW68">
        <v>0</v>
      </c>
      <c r="BX68">
        <v>0</v>
      </c>
      <c r="BY68">
        <v>1</v>
      </c>
      <c r="BZ68">
        <v>0</v>
      </c>
      <c r="CA68">
        <v>0</v>
      </c>
      <c r="CB68">
        <v>1</v>
      </c>
      <c r="CC68">
        <v>1</v>
      </c>
      <c r="CD68">
        <v>0</v>
      </c>
      <c r="CE68">
        <v>25.6</v>
      </c>
      <c r="CF68">
        <v>37.9</v>
      </c>
      <c r="CG68">
        <v>26.2</v>
      </c>
      <c r="CH68">
        <v>66.599999999999994</v>
      </c>
      <c r="CI68">
        <v>2.5</v>
      </c>
    </row>
    <row r="69" spans="1:87" ht="44.1" customHeight="1" x14ac:dyDescent="0.55000000000000004">
      <c r="A69" s="2" t="s">
        <v>595</v>
      </c>
      <c r="B69" s="2" t="s">
        <v>607</v>
      </c>
      <c r="C69" s="2" t="s">
        <v>608</v>
      </c>
      <c r="D69" s="2" t="s">
        <v>609</v>
      </c>
      <c r="E69" s="2" t="s">
        <v>91</v>
      </c>
      <c r="F69" s="2">
        <v>1</v>
      </c>
      <c r="G69" s="2">
        <v>0</v>
      </c>
      <c r="H69" s="2">
        <v>1</v>
      </c>
      <c r="I69" s="2">
        <v>1</v>
      </c>
      <c r="J69" s="2" t="s">
        <v>610</v>
      </c>
      <c r="K69" s="2" t="s">
        <v>93</v>
      </c>
      <c r="L69" s="2" t="s">
        <v>94</v>
      </c>
      <c r="M69" s="2" t="s">
        <v>94</v>
      </c>
      <c r="N69" s="2" t="s">
        <v>611</v>
      </c>
      <c r="O69">
        <v>2011.9580000000001</v>
      </c>
      <c r="P69" s="2" t="s">
        <v>612</v>
      </c>
      <c r="Q69" s="2">
        <v>40.4</v>
      </c>
      <c r="R69" s="2">
        <v>68.2</v>
      </c>
      <c r="S69" s="2">
        <v>56</v>
      </c>
      <c r="T69" s="2">
        <v>35.799999999999997</v>
      </c>
      <c r="U69" s="2">
        <v>14.1</v>
      </c>
      <c r="V69" s="2">
        <v>12.6</v>
      </c>
      <c r="W69" s="2"/>
      <c r="X69" s="2" t="s">
        <v>602</v>
      </c>
      <c r="Y69" s="2"/>
      <c r="Z69" s="2">
        <v>183</v>
      </c>
      <c r="AA69" s="2">
        <v>91</v>
      </c>
      <c r="AB69" s="2"/>
      <c r="AC69" s="2"/>
      <c r="AD69" s="2"/>
      <c r="AE69" s="2"/>
      <c r="AF69" s="2"/>
      <c r="AG69" s="2"/>
      <c r="AH69" s="2"/>
      <c r="AI69" s="2"/>
      <c r="AJ69" s="2"/>
      <c r="AK69" s="2" t="s">
        <v>438</v>
      </c>
      <c r="AL69" s="2">
        <v>1</v>
      </c>
      <c r="AM69" s="2">
        <v>4.5999999999999996</v>
      </c>
      <c r="AN69" s="2"/>
      <c r="AO69" s="2"/>
      <c r="AP69" s="2">
        <v>47.5</v>
      </c>
      <c r="AQ69" s="2">
        <v>148</v>
      </c>
      <c r="AR69" s="2"/>
      <c r="AS69" s="2"/>
      <c r="AT69" s="2">
        <v>8200</v>
      </c>
      <c r="AU69" s="2" t="s">
        <v>603</v>
      </c>
      <c r="AV69" s="2">
        <v>1.5</v>
      </c>
      <c r="AW69" s="2">
        <v>6.4</v>
      </c>
      <c r="AX69" s="2"/>
      <c r="AY69" s="2"/>
      <c r="AZ69" s="2">
        <v>64.400000000000006</v>
      </c>
      <c r="BA69" s="2">
        <v>576</v>
      </c>
      <c r="BB69" s="2"/>
      <c r="BC69" s="2"/>
      <c r="BD69" s="2">
        <v>5868</v>
      </c>
      <c r="BE69" s="2" t="s">
        <v>604</v>
      </c>
      <c r="BF69" s="2"/>
      <c r="BG69" s="2"/>
      <c r="BH69" s="2"/>
      <c r="BI69" s="2"/>
      <c r="BP69" t="s">
        <v>613</v>
      </c>
      <c r="BQ69" t="s">
        <v>614</v>
      </c>
      <c r="BU69" t="s">
        <v>313</v>
      </c>
      <c r="BV69" t="s">
        <v>107</v>
      </c>
      <c r="BW69">
        <v>0</v>
      </c>
      <c r="BX69">
        <v>0</v>
      </c>
      <c r="BY69">
        <v>0</v>
      </c>
      <c r="BZ69">
        <v>1</v>
      </c>
      <c r="CA69">
        <v>1</v>
      </c>
      <c r="CB69">
        <v>1</v>
      </c>
      <c r="CC69">
        <v>1</v>
      </c>
      <c r="CD69">
        <v>1</v>
      </c>
      <c r="CE69">
        <v>33.1</v>
      </c>
      <c r="CF69">
        <v>15.9</v>
      </c>
      <c r="CG69">
        <v>50.9</v>
      </c>
      <c r="CH69">
        <v>38.9</v>
      </c>
      <c r="CI69">
        <v>3.3</v>
      </c>
    </row>
    <row r="70" spans="1:87" ht="44.1" customHeight="1" x14ac:dyDescent="0.55000000000000004">
      <c r="A70" s="2" t="s">
        <v>595</v>
      </c>
      <c r="B70" s="2" t="s">
        <v>615</v>
      </c>
      <c r="C70" s="2" t="s">
        <v>616</v>
      </c>
      <c r="D70" s="2" t="s">
        <v>617</v>
      </c>
      <c r="E70" s="2" t="s">
        <v>91</v>
      </c>
      <c r="F70" s="2">
        <v>1</v>
      </c>
      <c r="G70" s="2">
        <v>0</v>
      </c>
      <c r="H70" s="2">
        <v>1</v>
      </c>
      <c r="I70" s="2">
        <v>1</v>
      </c>
      <c r="J70" s="2" t="s">
        <v>618</v>
      </c>
      <c r="K70" s="2" t="s">
        <v>93</v>
      </c>
      <c r="L70" s="2" t="s">
        <v>94</v>
      </c>
      <c r="M70" s="2" t="s">
        <v>94</v>
      </c>
      <c r="N70" s="2" t="s">
        <v>600</v>
      </c>
      <c r="O70">
        <v>2012.5</v>
      </c>
      <c r="P70" s="2" t="s">
        <v>619</v>
      </c>
      <c r="Q70" s="2">
        <v>32</v>
      </c>
      <c r="R70" s="2">
        <v>90</v>
      </c>
      <c r="S70" s="2">
        <v>72.900000000000006</v>
      </c>
      <c r="T70" s="2">
        <v>10.9</v>
      </c>
      <c r="U70" s="2">
        <v>45</v>
      </c>
      <c r="V70" s="2">
        <v>2.7</v>
      </c>
      <c r="W70" s="2"/>
      <c r="X70" s="2" t="s">
        <v>602</v>
      </c>
      <c r="Y70" s="2"/>
      <c r="Z70" s="2">
        <v>407</v>
      </c>
      <c r="AA70" s="2">
        <v>409</v>
      </c>
      <c r="AB70" s="2"/>
      <c r="AC70" s="2"/>
      <c r="AD70" s="2"/>
      <c r="AE70" s="2"/>
      <c r="AF70" s="2"/>
      <c r="AG70" s="2"/>
      <c r="AH70" s="2"/>
      <c r="AI70" s="2"/>
      <c r="AJ70" s="2"/>
      <c r="AK70" s="2" t="s">
        <v>438</v>
      </c>
      <c r="AL70" s="2">
        <v>1</v>
      </c>
      <c r="AM70" s="2">
        <v>1</v>
      </c>
      <c r="AN70" s="2"/>
      <c r="AO70" s="2"/>
      <c r="AP70" s="2">
        <v>58.2</v>
      </c>
      <c r="AQ70" s="2">
        <v>1338</v>
      </c>
      <c r="AR70" s="2"/>
      <c r="AS70" s="2"/>
      <c r="AT70" s="2">
        <v>10892</v>
      </c>
      <c r="AU70" s="2" t="s">
        <v>603</v>
      </c>
      <c r="AV70" s="2">
        <v>1.5</v>
      </c>
      <c r="AW70" s="2">
        <v>4.7</v>
      </c>
      <c r="AX70" s="2"/>
      <c r="AY70" s="2"/>
      <c r="AZ70" s="2">
        <v>61.7</v>
      </c>
      <c r="BA70" s="2">
        <v>1520</v>
      </c>
      <c r="BB70" s="2"/>
      <c r="BC70" s="2" t="s">
        <v>100</v>
      </c>
      <c r="BD70" s="2">
        <v>7709</v>
      </c>
      <c r="BE70" s="2" t="s">
        <v>604</v>
      </c>
      <c r="BF70" s="2"/>
      <c r="BG70" s="2"/>
      <c r="BH70" s="2"/>
      <c r="BI70" s="2"/>
      <c r="BP70" t="s">
        <v>620</v>
      </c>
      <c r="BQ70" t="s">
        <v>621</v>
      </c>
      <c r="BU70" t="s">
        <v>181</v>
      </c>
      <c r="BV70" t="s">
        <v>107</v>
      </c>
      <c r="BW70">
        <v>0</v>
      </c>
      <c r="BX70">
        <v>0</v>
      </c>
      <c r="BY70">
        <v>0</v>
      </c>
      <c r="BZ70">
        <v>0</v>
      </c>
      <c r="CA70">
        <v>1</v>
      </c>
      <c r="CB70">
        <v>0</v>
      </c>
      <c r="CC70">
        <v>1</v>
      </c>
      <c r="CD70">
        <v>0</v>
      </c>
      <c r="CE70">
        <v>54.1</v>
      </c>
      <c r="CF70">
        <v>29.5</v>
      </c>
      <c r="CG70">
        <v>51.2</v>
      </c>
      <c r="CH70">
        <v>43.8</v>
      </c>
      <c r="CI70">
        <v>2.5</v>
      </c>
    </row>
    <row r="71" spans="1:87" ht="44.1" customHeight="1" x14ac:dyDescent="0.55000000000000004">
      <c r="A71" s="2" t="s">
        <v>595</v>
      </c>
      <c r="B71" s="2" t="s">
        <v>622</v>
      </c>
      <c r="C71" s="2" t="s">
        <v>623</v>
      </c>
      <c r="D71" s="2" t="s">
        <v>624</v>
      </c>
      <c r="E71" s="2" t="s">
        <v>91</v>
      </c>
      <c r="F71" s="2">
        <v>1</v>
      </c>
      <c r="G71" s="2">
        <v>0</v>
      </c>
      <c r="H71" s="2">
        <v>1</v>
      </c>
      <c r="I71" s="2">
        <v>1</v>
      </c>
      <c r="J71" s="2" t="s">
        <v>610</v>
      </c>
      <c r="K71" s="2" t="s">
        <v>93</v>
      </c>
      <c r="L71" s="2" t="s">
        <v>94</v>
      </c>
      <c r="M71" s="2" t="s">
        <v>94</v>
      </c>
      <c r="N71" s="2" t="s">
        <v>625</v>
      </c>
      <c r="O71">
        <v>2012.4169999999999</v>
      </c>
      <c r="P71" s="2" t="s">
        <v>626</v>
      </c>
      <c r="Q71" s="2">
        <v>31.1</v>
      </c>
      <c r="R71" s="2">
        <v>14.9</v>
      </c>
      <c r="S71" s="2">
        <v>69.099999999999994</v>
      </c>
      <c r="T71" s="2">
        <v>18.3</v>
      </c>
      <c r="U71" s="2">
        <v>19.8</v>
      </c>
      <c r="V71" s="2">
        <v>3.8</v>
      </c>
      <c r="W71" s="2"/>
      <c r="X71" s="2" t="s">
        <v>602</v>
      </c>
      <c r="Y71" s="2"/>
      <c r="Z71" s="2">
        <v>550</v>
      </c>
      <c r="AA71" s="2">
        <v>434</v>
      </c>
      <c r="AB71" s="2"/>
      <c r="AC71" s="2"/>
      <c r="AD71" s="2"/>
      <c r="AE71" s="2"/>
      <c r="AF71" s="2"/>
      <c r="AG71" s="2"/>
      <c r="AH71" s="2"/>
      <c r="AI71" s="2"/>
      <c r="AJ71" s="2"/>
      <c r="AK71" s="2" t="s">
        <v>438</v>
      </c>
      <c r="AL71" s="2">
        <v>1</v>
      </c>
      <c r="AM71" s="2">
        <v>-2.8</v>
      </c>
      <c r="AN71" s="2"/>
      <c r="AO71" s="2"/>
      <c r="AP71" s="2">
        <v>69.5</v>
      </c>
      <c r="AQ71" s="2">
        <v>-202</v>
      </c>
      <c r="AR71" s="2"/>
      <c r="AS71" s="2"/>
      <c r="AT71" s="2">
        <v>11937</v>
      </c>
      <c r="AU71" s="2" t="s">
        <v>603</v>
      </c>
      <c r="AV71" s="2">
        <v>1.5</v>
      </c>
      <c r="AW71" s="2">
        <v>-2.2999999999999998</v>
      </c>
      <c r="AX71" s="2"/>
      <c r="AY71" s="2"/>
      <c r="AZ71" s="2">
        <v>82.3</v>
      </c>
      <c r="BA71" s="2">
        <v>-345</v>
      </c>
      <c r="BB71" s="2"/>
      <c r="BC71" s="2"/>
      <c r="BD71" s="2">
        <v>7945</v>
      </c>
      <c r="BE71" s="2" t="s">
        <v>604</v>
      </c>
      <c r="BF71" s="2"/>
      <c r="BG71" s="2"/>
      <c r="BH71" s="2"/>
      <c r="BI71" s="2"/>
      <c r="BP71" t="s">
        <v>627</v>
      </c>
      <c r="BQ71" t="s">
        <v>628</v>
      </c>
      <c r="BU71" t="s">
        <v>204</v>
      </c>
      <c r="BV71" t="s">
        <v>246</v>
      </c>
      <c r="BW71">
        <v>0</v>
      </c>
      <c r="BX71">
        <v>0</v>
      </c>
      <c r="BY71">
        <v>0</v>
      </c>
      <c r="BZ71">
        <v>0</v>
      </c>
      <c r="CA71">
        <v>1</v>
      </c>
      <c r="CB71">
        <v>1</v>
      </c>
      <c r="CC71">
        <v>0</v>
      </c>
      <c r="CD71">
        <v>0</v>
      </c>
      <c r="CE71">
        <v>29.3</v>
      </c>
      <c r="CF71">
        <v>44</v>
      </c>
      <c r="CG71">
        <v>29.8</v>
      </c>
      <c r="CH71">
        <v>64.400000000000006</v>
      </c>
      <c r="CI71">
        <v>2.4</v>
      </c>
    </row>
    <row r="72" spans="1:87" ht="44.1" customHeight="1" x14ac:dyDescent="0.55000000000000004">
      <c r="A72" t="s">
        <v>629</v>
      </c>
      <c r="B72" t="s">
        <v>630</v>
      </c>
      <c r="C72" s="13" t="s">
        <v>631</v>
      </c>
      <c r="D72" t="s">
        <v>632</v>
      </c>
      <c r="E72" t="s">
        <v>226</v>
      </c>
      <c r="F72">
        <v>1</v>
      </c>
      <c r="G72">
        <v>1</v>
      </c>
      <c r="H72">
        <v>0</v>
      </c>
      <c r="I72">
        <v>1</v>
      </c>
      <c r="J72" t="s">
        <v>633</v>
      </c>
      <c r="K72" t="s">
        <v>93</v>
      </c>
      <c r="L72" t="s">
        <v>94</v>
      </c>
      <c r="M72" t="s">
        <v>94</v>
      </c>
      <c r="N72" t="s">
        <v>634</v>
      </c>
      <c r="O72">
        <v>1984.75</v>
      </c>
      <c r="P72" t="s">
        <v>635</v>
      </c>
      <c r="Q72">
        <v>31</v>
      </c>
      <c r="R72">
        <v>0</v>
      </c>
      <c r="S72">
        <v>27</v>
      </c>
      <c r="T72">
        <v>62</v>
      </c>
      <c r="V72">
        <v>44</v>
      </c>
      <c r="X72" t="s">
        <v>636</v>
      </c>
      <c r="Z72">
        <v>491</v>
      </c>
      <c r="AA72">
        <v>491</v>
      </c>
      <c r="AG72">
        <v>0.65</v>
      </c>
      <c r="AK72" t="s">
        <v>637</v>
      </c>
      <c r="AL72">
        <v>1.5</v>
      </c>
      <c r="AQ72">
        <v>9.1</v>
      </c>
      <c r="AR72">
        <v>11.9</v>
      </c>
      <c r="AT72">
        <v>189</v>
      </c>
      <c r="AU72" t="s">
        <v>638</v>
      </c>
      <c r="AV72">
        <v>2.5</v>
      </c>
      <c r="BA72">
        <v>91.9</v>
      </c>
      <c r="BB72">
        <v>31.9</v>
      </c>
      <c r="BC72" t="s">
        <v>141</v>
      </c>
      <c r="BD72">
        <v>211</v>
      </c>
      <c r="BE72" t="s">
        <v>638</v>
      </c>
      <c r="BP72" t="s">
        <v>639</v>
      </c>
      <c r="BQ72" t="s">
        <v>640</v>
      </c>
      <c r="BR72">
        <v>7867</v>
      </c>
      <c r="BS72">
        <v>14450</v>
      </c>
      <c r="BT72" t="s">
        <v>641</v>
      </c>
      <c r="BU72" t="s">
        <v>642</v>
      </c>
      <c r="BV72" t="s">
        <v>246</v>
      </c>
      <c r="BW72">
        <v>1</v>
      </c>
      <c r="BX72">
        <v>0</v>
      </c>
      <c r="BY72">
        <v>0</v>
      </c>
      <c r="BZ72">
        <v>0</v>
      </c>
      <c r="CA72">
        <v>0</v>
      </c>
      <c r="CB72">
        <v>0</v>
      </c>
      <c r="CC72">
        <v>0</v>
      </c>
      <c r="CD72">
        <v>0</v>
      </c>
      <c r="CE72">
        <v>91</v>
      </c>
      <c r="CF72">
        <v>0</v>
      </c>
      <c r="CH72">
        <v>20</v>
      </c>
    </row>
    <row r="73" spans="1:87" ht="44.1" customHeight="1" x14ac:dyDescent="0.55000000000000004">
      <c r="A73" t="s">
        <v>629</v>
      </c>
      <c r="B73" t="s">
        <v>643</v>
      </c>
      <c r="C73" s="13" t="s">
        <v>644</v>
      </c>
      <c r="D73" t="s">
        <v>632</v>
      </c>
      <c r="E73" t="s">
        <v>226</v>
      </c>
      <c r="F73">
        <v>1</v>
      </c>
      <c r="G73">
        <v>1</v>
      </c>
      <c r="H73">
        <v>0</v>
      </c>
      <c r="I73">
        <v>1</v>
      </c>
      <c r="J73" t="s">
        <v>633</v>
      </c>
      <c r="K73" t="s">
        <v>93</v>
      </c>
      <c r="L73" t="s">
        <v>94</v>
      </c>
      <c r="M73" t="s">
        <v>94</v>
      </c>
      <c r="N73" t="s">
        <v>645</v>
      </c>
      <c r="O73">
        <v>1984.83</v>
      </c>
      <c r="P73" t="s">
        <v>635</v>
      </c>
      <c r="Q73">
        <v>31</v>
      </c>
      <c r="R73">
        <v>0</v>
      </c>
      <c r="S73">
        <v>27</v>
      </c>
      <c r="T73">
        <v>62</v>
      </c>
      <c r="V73">
        <v>44</v>
      </c>
      <c r="X73" t="s">
        <v>636</v>
      </c>
      <c r="Z73">
        <v>449</v>
      </c>
      <c r="AA73">
        <v>449</v>
      </c>
      <c r="AG73">
        <v>0.65</v>
      </c>
      <c r="AK73" t="s">
        <v>637</v>
      </c>
      <c r="AL73">
        <v>1.5</v>
      </c>
      <c r="AQ73">
        <v>26.9</v>
      </c>
      <c r="AR73">
        <v>13</v>
      </c>
      <c r="AS73" t="s">
        <v>100</v>
      </c>
      <c r="AT73">
        <v>270</v>
      </c>
      <c r="AU73" t="s">
        <v>638</v>
      </c>
      <c r="AV73">
        <v>2.5</v>
      </c>
      <c r="BA73">
        <v>154.6</v>
      </c>
      <c r="BB73">
        <v>43.3</v>
      </c>
      <c r="BC73" t="s">
        <v>141</v>
      </c>
      <c r="BD73">
        <v>337</v>
      </c>
      <c r="BE73" t="s">
        <v>638</v>
      </c>
      <c r="BP73" t="s">
        <v>639</v>
      </c>
      <c r="BQ73" t="s">
        <v>646</v>
      </c>
      <c r="BR73">
        <v>8688</v>
      </c>
      <c r="BS73">
        <v>17089</v>
      </c>
      <c r="BT73" t="s">
        <v>647</v>
      </c>
      <c r="BU73" t="s">
        <v>648</v>
      </c>
      <c r="BV73" t="s">
        <v>246</v>
      </c>
      <c r="BW73">
        <v>1</v>
      </c>
      <c r="BX73">
        <v>0</v>
      </c>
      <c r="BY73">
        <v>0</v>
      </c>
      <c r="BZ73">
        <v>0</v>
      </c>
      <c r="CA73">
        <v>0</v>
      </c>
      <c r="CB73">
        <v>0</v>
      </c>
      <c r="CC73">
        <v>0</v>
      </c>
      <c r="CD73">
        <v>0</v>
      </c>
      <c r="CE73">
        <v>96</v>
      </c>
      <c r="CF73">
        <v>0</v>
      </c>
      <c r="CH73">
        <v>20</v>
      </c>
    </row>
    <row r="74" spans="1:87" ht="44.1" customHeight="1" x14ac:dyDescent="0.55000000000000004">
      <c r="A74" t="s">
        <v>629</v>
      </c>
      <c r="B74" t="s">
        <v>649</v>
      </c>
      <c r="C74" s="13" t="s">
        <v>650</v>
      </c>
      <c r="D74" t="s">
        <v>632</v>
      </c>
      <c r="E74" t="s">
        <v>226</v>
      </c>
      <c r="F74">
        <v>1</v>
      </c>
      <c r="G74">
        <v>1</v>
      </c>
      <c r="H74">
        <v>0</v>
      </c>
      <c r="I74">
        <v>1</v>
      </c>
      <c r="J74" t="s">
        <v>633</v>
      </c>
      <c r="K74" t="s">
        <v>93</v>
      </c>
      <c r="L74" t="s">
        <v>94</v>
      </c>
      <c r="M74" t="s">
        <v>94</v>
      </c>
      <c r="N74" t="s">
        <v>645</v>
      </c>
      <c r="O74">
        <v>1984.83</v>
      </c>
      <c r="P74" t="s">
        <v>635</v>
      </c>
      <c r="Q74">
        <v>31</v>
      </c>
      <c r="R74">
        <v>0</v>
      </c>
      <c r="S74">
        <v>27</v>
      </c>
      <c r="T74">
        <v>62</v>
      </c>
      <c r="V74">
        <v>44</v>
      </c>
      <c r="X74" t="s">
        <v>636</v>
      </c>
      <c r="Z74">
        <v>997</v>
      </c>
      <c r="AA74">
        <v>997</v>
      </c>
      <c r="AG74">
        <v>0.65</v>
      </c>
      <c r="AK74" t="s">
        <v>637</v>
      </c>
      <c r="AL74">
        <v>1.5</v>
      </c>
      <c r="AQ74">
        <v>72.099999999999994</v>
      </c>
      <c r="AR74">
        <v>12.2</v>
      </c>
      <c r="AS74" t="s">
        <v>141</v>
      </c>
      <c r="AT74">
        <v>191</v>
      </c>
      <c r="AU74" t="s">
        <v>638</v>
      </c>
      <c r="AV74">
        <v>2.5</v>
      </c>
      <c r="BA74">
        <v>112.1</v>
      </c>
      <c r="BB74">
        <v>28.7</v>
      </c>
      <c r="BC74" t="s">
        <v>141</v>
      </c>
      <c r="BD74">
        <v>269</v>
      </c>
      <c r="BE74" t="s">
        <v>638</v>
      </c>
      <c r="BP74" t="s">
        <v>639</v>
      </c>
      <c r="BQ74" t="s">
        <v>651</v>
      </c>
      <c r="BR74">
        <v>7343</v>
      </c>
      <c r="BS74">
        <v>28355</v>
      </c>
      <c r="BT74" t="s">
        <v>652</v>
      </c>
      <c r="BU74" t="s">
        <v>653</v>
      </c>
      <c r="BV74" t="s">
        <v>107</v>
      </c>
      <c r="BW74">
        <v>1</v>
      </c>
      <c r="BX74">
        <v>0</v>
      </c>
      <c r="BY74">
        <v>0</v>
      </c>
      <c r="BZ74">
        <v>0</v>
      </c>
      <c r="CA74">
        <v>0</v>
      </c>
      <c r="CB74">
        <v>0</v>
      </c>
      <c r="CC74">
        <v>0</v>
      </c>
      <c r="CD74">
        <v>0</v>
      </c>
      <c r="CE74">
        <v>89</v>
      </c>
      <c r="CF74">
        <v>0</v>
      </c>
      <c r="CH74">
        <v>20</v>
      </c>
    </row>
    <row r="75" spans="1:87" ht="44.1" customHeight="1" x14ac:dyDescent="0.55000000000000004">
      <c r="A75" t="s">
        <v>629</v>
      </c>
      <c r="B75" t="s">
        <v>654</v>
      </c>
      <c r="C75" s="13" t="s">
        <v>655</v>
      </c>
      <c r="D75" t="s">
        <v>632</v>
      </c>
      <c r="E75" t="s">
        <v>226</v>
      </c>
      <c r="F75">
        <v>1</v>
      </c>
      <c r="G75">
        <v>1</v>
      </c>
      <c r="H75">
        <v>0</v>
      </c>
      <c r="I75">
        <v>1</v>
      </c>
      <c r="J75" t="s">
        <v>633</v>
      </c>
      <c r="K75" t="s">
        <v>93</v>
      </c>
      <c r="L75" t="s">
        <v>94</v>
      </c>
      <c r="M75" t="s">
        <v>94</v>
      </c>
      <c r="N75" t="s">
        <v>656</v>
      </c>
      <c r="O75">
        <v>1985.04</v>
      </c>
      <c r="P75" t="s">
        <v>635</v>
      </c>
      <c r="Q75">
        <v>31</v>
      </c>
      <c r="R75">
        <v>0</v>
      </c>
      <c r="S75">
        <v>27</v>
      </c>
      <c r="T75">
        <v>62</v>
      </c>
      <c r="V75">
        <v>44</v>
      </c>
      <c r="X75" t="s">
        <v>636</v>
      </c>
      <c r="Z75">
        <v>386</v>
      </c>
      <c r="AA75">
        <v>386</v>
      </c>
      <c r="AG75">
        <v>0.65</v>
      </c>
      <c r="AK75" t="s">
        <v>637</v>
      </c>
      <c r="AL75">
        <v>1.5</v>
      </c>
      <c r="AQ75">
        <v>-33.1</v>
      </c>
      <c r="AR75">
        <v>21.6</v>
      </c>
      <c r="AT75">
        <v>265</v>
      </c>
      <c r="AU75" t="s">
        <v>638</v>
      </c>
      <c r="AV75">
        <v>2.5</v>
      </c>
      <c r="BA75">
        <v>11</v>
      </c>
      <c r="BB75">
        <v>74.2</v>
      </c>
      <c r="BD75">
        <v>256</v>
      </c>
      <c r="BE75" t="s">
        <v>638</v>
      </c>
      <c r="BP75" t="s">
        <v>639</v>
      </c>
      <c r="BQ75" t="s">
        <v>657</v>
      </c>
      <c r="BR75">
        <v>5230</v>
      </c>
      <c r="BS75">
        <v>3295</v>
      </c>
      <c r="BT75" t="s">
        <v>658</v>
      </c>
      <c r="BU75" t="s">
        <v>217</v>
      </c>
      <c r="BV75" t="s">
        <v>107</v>
      </c>
      <c r="BW75">
        <v>1</v>
      </c>
      <c r="BX75">
        <v>0</v>
      </c>
      <c r="BY75">
        <v>0</v>
      </c>
      <c r="BZ75">
        <v>0</v>
      </c>
      <c r="CA75">
        <v>0</v>
      </c>
      <c r="CB75">
        <v>0</v>
      </c>
      <c r="CC75">
        <v>0</v>
      </c>
      <c r="CD75">
        <v>0</v>
      </c>
      <c r="CE75">
        <v>92</v>
      </c>
      <c r="CF75">
        <v>0</v>
      </c>
      <c r="CH75">
        <v>20</v>
      </c>
    </row>
    <row r="76" spans="1:87" ht="44.1" customHeight="1" x14ac:dyDescent="0.55000000000000004">
      <c r="A76" t="s">
        <v>629</v>
      </c>
      <c r="B76" t="s">
        <v>659</v>
      </c>
      <c r="C76" s="13" t="s">
        <v>660</v>
      </c>
      <c r="D76" t="s">
        <v>632</v>
      </c>
      <c r="E76" t="s">
        <v>226</v>
      </c>
      <c r="F76">
        <v>1</v>
      </c>
      <c r="G76">
        <v>1</v>
      </c>
      <c r="H76">
        <v>0</v>
      </c>
      <c r="I76">
        <v>1</v>
      </c>
      <c r="J76" t="s">
        <v>633</v>
      </c>
      <c r="K76" t="s">
        <v>93</v>
      </c>
      <c r="L76" t="s">
        <v>94</v>
      </c>
      <c r="M76" t="s">
        <v>94</v>
      </c>
      <c r="N76" t="s">
        <v>661</v>
      </c>
      <c r="O76">
        <v>1984.88</v>
      </c>
      <c r="P76" t="s">
        <v>635</v>
      </c>
      <c r="Q76">
        <v>31</v>
      </c>
      <c r="R76">
        <v>0</v>
      </c>
      <c r="S76">
        <v>27</v>
      </c>
      <c r="T76">
        <v>62</v>
      </c>
      <c r="V76">
        <v>44</v>
      </c>
      <c r="X76" t="s">
        <v>636</v>
      </c>
      <c r="Z76">
        <v>789</v>
      </c>
      <c r="AA76">
        <v>789</v>
      </c>
      <c r="AG76">
        <v>0.65</v>
      </c>
      <c r="AK76" t="s">
        <v>637</v>
      </c>
      <c r="AL76">
        <v>1.5</v>
      </c>
      <c r="AQ76">
        <v>60.7</v>
      </c>
      <c r="AR76">
        <v>13.6</v>
      </c>
      <c r="AS76" t="s">
        <v>141</v>
      </c>
      <c r="AT76">
        <v>248</v>
      </c>
      <c r="AU76" t="s">
        <v>638</v>
      </c>
      <c r="AV76">
        <v>2.5</v>
      </c>
      <c r="BA76">
        <v>92.4</v>
      </c>
      <c r="BB76">
        <v>31</v>
      </c>
      <c r="BC76" t="s">
        <v>141</v>
      </c>
      <c r="BD76">
        <v>278</v>
      </c>
      <c r="BE76" t="s">
        <v>638</v>
      </c>
      <c r="BP76" t="s">
        <v>639</v>
      </c>
      <c r="BQ76" t="s">
        <v>662</v>
      </c>
      <c r="BR76">
        <v>4299</v>
      </c>
      <c r="BS76">
        <v>23376</v>
      </c>
      <c r="BT76" t="s">
        <v>663</v>
      </c>
      <c r="BU76" t="s">
        <v>327</v>
      </c>
      <c r="BV76" t="s">
        <v>107</v>
      </c>
      <c r="BW76">
        <v>1</v>
      </c>
      <c r="BX76">
        <v>0</v>
      </c>
      <c r="BY76">
        <v>0</v>
      </c>
      <c r="BZ76">
        <v>0</v>
      </c>
      <c r="CA76">
        <v>0</v>
      </c>
      <c r="CB76">
        <v>0</v>
      </c>
      <c r="CC76">
        <v>0</v>
      </c>
      <c r="CD76">
        <v>0</v>
      </c>
      <c r="CE76">
        <v>88</v>
      </c>
      <c r="CF76">
        <v>0</v>
      </c>
      <c r="CH76">
        <v>20</v>
      </c>
    </row>
    <row r="77" spans="1:87" ht="44.1" customHeight="1" x14ac:dyDescent="0.55000000000000004">
      <c r="A77" t="s">
        <v>629</v>
      </c>
      <c r="B77" t="s">
        <v>664</v>
      </c>
      <c r="C77" s="13" t="s">
        <v>665</v>
      </c>
      <c r="D77" t="s">
        <v>632</v>
      </c>
      <c r="E77" t="s">
        <v>226</v>
      </c>
      <c r="F77">
        <v>1</v>
      </c>
      <c r="G77">
        <v>1</v>
      </c>
      <c r="H77">
        <v>0</v>
      </c>
      <c r="I77">
        <v>1</v>
      </c>
      <c r="J77" t="s">
        <v>633</v>
      </c>
      <c r="K77" t="s">
        <v>93</v>
      </c>
      <c r="L77" t="s">
        <v>94</v>
      </c>
      <c r="M77" t="s">
        <v>94</v>
      </c>
      <c r="N77" t="s">
        <v>661</v>
      </c>
      <c r="O77">
        <v>1984.88</v>
      </c>
      <c r="P77" t="s">
        <v>635</v>
      </c>
      <c r="Q77">
        <v>31</v>
      </c>
      <c r="R77">
        <v>0</v>
      </c>
      <c r="S77">
        <v>27</v>
      </c>
      <c r="T77">
        <v>62</v>
      </c>
      <c r="V77">
        <v>44</v>
      </c>
      <c r="X77" t="s">
        <v>636</v>
      </c>
      <c r="Z77">
        <v>489</v>
      </c>
      <c r="AA77">
        <v>489</v>
      </c>
      <c r="AG77">
        <v>0.65</v>
      </c>
      <c r="AK77" t="s">
        <v>637</v>
      </c>
      <c r="AL77">
        <v>1.5</v>
      </c>
      <c r="AQ77">
        <v>24.2</v>
      </c>
      <c r="AR77">
        <v>11.2</v>
      </c>
      <c r="AS77" t="s">
        <v>100</v>
      </c>
      <c r="AT77">
        <v>139</v>
      </c>
      <c r="AU77" t="s">
        <v>638</v>
      </c>
      <c r="AV77">
        <v>2.5</v>
      </c>
      <c r="BA77">
        <v>20.5</v>
      </c>
      <c r="BB77">
        <v>22.3</v>
      </c>
      <c r="BD77">
        <v>182</v>
      </c>
      <c r="BE77" t="s">
        <v>638</v>
      </c>
      <c r="BP77" t="s">
        <v>639</v>
      </c>
      <c r="BQ77" t="s">
        <v>666</v>
      </c>
      <c r="BR77">
        <v>4902</v>
      </c>
      <c r="BS77">
        <v>17267</v>
      </c>
      <c r="BT77" t="s">
        <v>667</v>
      </c>
      <c r="BU77" t="s">
        <v>668</v>
      </c>
      <c r="BV77" t="s">
        <v>246</v>
      </c>
      <c r="BW77">
        <v>1</v>
      </c>
      <c r="BX77">
        <v>0</v>
      </c>
      <c r="BY77">
        <v>0</v>
      </c>
      <c r="BZ77">
        <v>0</v>
      </c>
      <c r="CA77">
        <v>0</v>
      </c>
      <c r="CB77">
        <v>0</v>
      </c>
      <c r="CC77">
        <v>0</v>
      </c>
      <c r="CD77">
        <v>0</v>
      </c>
      <c r="CE77">
        <v>93</v>
      </c>
      <c r="CF77">
        <v>0</v>
      </c>
      <c r="CH77">
        <v>20</v>
      </c>
    </row>
    <row r="78" spans="1:87" ht="44.1" customHeight="1" x14ac:dyDescent="0.55000000000000004">
      <c r="A78" t="s">
        <v>629</v>
      </c>
      <c r="B78" t="s">
        <v>669</v>
      </c>
      <c r="C78" s="13" t="s">
        <v>670</v>
      </c>
      <c r="D78" t="s">
        <v>632</v>
      </c>
      <c r="E78" t="s">
        <v>226</v>
      </c>
      <c r="F78">
        <v>1</v>
      </c>
      <c r="G78">
        <v>1</v>
      </c>
      <c r="H78">
        <v>0</v>
      </c>
      <c r="I78">
        <v>1</v>
      </c>
      <c r="J78" t="s">
        <v>633</v>
      </c>
      <c r="K78" t="s">
        <v>93</v>
      </c>
      <c r="L78" t="s">
        <v>94</v>
      </c>
      <c r="M78" t="s">
        <v>94</v>
      </c>
      <c r="N78" t="s">
        <v>645</v>
      </c>
      <c r="O78">
        <v>1984.83</v>
      </c>
      <c r="P78" t="s">
        <v>635</v>
      </c>
      <c r="Q78">
        <v>31</v>
      </c>
      <c r="R78">
        <v>0</v>
      </c>
      <c r="S78">
        <v>27</v>
      </c>
      <c r="T78">
        <v>62</v>
      </c>
      <c r="V78">
        <v>44</v>
      </c>
      <c r="X78" t="s">
        <v>636</v>
      </c>
      <c r="Z78">
        <v>1001</v>
      </c>
      <c r="AA78">
        <v>1001</v>
      </c>
      <c r="AG78">
        <v>0.65</v>
      </c>
      <c r="AK78" t="s">
        <v>637</v>
      </c>
      <c r="AL78">
        <v>1.5</v>
      </c>
      <c r="AQ78">
        <v>6</v>
      </c>
      <c r="AR78">
        <v>7.9</v>
      </c>
      <c r="AT78">
        <v>230</v>
      </c>
      <c r="AU78" t="s">
        <v>638</v>
      </c>
      <c r="AV78">
        <v>2.5</v>
      </c>
      <c r="BA78">
        <v>161.19999999999999</v>
      </c>
      <c r="BB78">
        <v>26.4</v>
      </c>
      <c r="BC78" t="s">
        <v>141</v>
      </c>
      <c r="BD78">
        <v>208</v>
      </c>
      <c r="BE78" t="s">
        <v>638</v>
      </c>
      <c r="BP78" t="s">
        <v>639</v>
      </c>
      <c r="BQ78" t="s">
        <v>671</v>
      </c>
      <c r="BR78">
        <v>8592</v>
      </c>
      <c r="BS78">
        <v>18736</v>
      </c>
      <c r="BT78" t="s">
        <v>672</v>
      </c>
      <c r="BU78" t="s">
        <v>204</v>
      </c>
      <c r="BV78" t="s">
        <v>107</v>
      </c>
      <c r="BW78">
        <v>1</v>
      </c>
      <c r="BX78">
        <v>0</v>
      </c>
      <c r="BY78">
        <v>0</v>
      </c>
      <c r="BZ78">
        <v>0</v>
      </c>
      <c r="CA78">
        <v>0</v>
      </c>
      <c r="CB78">
        <v>0</v>
      </c>
      <c r="CC78">
        <v>0</v>
      </c>
      <c r="CD78">
        <v>0</v>
      </c>
      <c r="CE78">
        <v>75</v>
      </c>
      <c r="CF78">
        <v>0</v>
      </c>
      <c r="CH78">
        <v>20</v>
      </c>
    </row>
    <row r="79" spans="1:87" ht="44.1" customHeight="1" x14ac:dyDescent="0.55000000000000004">
      <c r="A79" t="s">
        <v>673</v>
      </c>
      <c r="B79" t="s">
        <v>674</v>
      </c>
      <c r="C79" s="13" t="s">
        <v>675</v>
      </c>
      <c r="D79" t="s">
        <v>676</v>
      </c>
      <c r="E79" t="s">
        <v>91</v>
      </c>
      <c r="F79">
        <v>1</v>
      </c>
      <c r="G79">
        <v>0</v>
      </c>
      <c r="H79">
        <v>1</v>
      </c>
      <c r="I79">
        <v>1</v>
      </c>
      <c r="J79" t="s">
        <v>677</v>
      </c>
      <c r="K79" t="s">
        <v>93</v>
      </c>
      <c r="L79" t="s">
        <v>95</v>
      </c>
      <c r="M79" t="s">
        <v>95</v>
      </c>
      <c r="N79" t="s">
        <v>678</v>
      </c>
      <c r="O79">
        <v>1986.4169999999999</v>
      </c>
      <c r="P79" t="s">
        <v>679</v>
      </c>
      <c r="Q79">
        <v>28</v>
      </c>
      <c r="R79">
        <v>0</v>
      </c>
      <c r="S79">
        <v>0</v>
      </c>
      <c r="T79">
        <v>97</v>
      </c>
      <c r="U79">
        <v>2</v>
      </c>
      <c r="V79">
        <v>56</v>
      </c>
      <c r="X79" t="s">
        <v>680</v>
      </c>
      <c r="Z79">
        <v>299</v>
      </c>
      <c r="AA79">
        <v>373</v>
      </c>
      <c r="AE79">
        <v>0.73699999999999999</v>
      </c>
      <c r="AF79">
        <v>0.71899999999999997</v>
      </c>
      <c r="AG79">
        <v>0.72699999999999998</v>
      </c>
      <c r="AK79" t="s">
        <v>99</v>
      </c>
      <c r="AV79">
        <v>2</v>
      </c>
      <c r="AW79">
        <v>1.2</v>
      </c>
      <c r="AX79">
        <v>3.2</v>
      </c>
      <c r="AZ79">
        <v>49.7</v>
      </c>
      <c r="BA79">
        <v>6</v>
      </c>
      <c r="BB79">
        <v>37</v>
      </c>
      <c r="BD79">
        <v>425</v>
      </c>
      <c r="BE79" t="s">
        <v>681</v>
      </c>
      <c r="BP79" t="s">
        <v>682</v>
      </c>
      <c r="BQ79" t="s">
        <v>683</v>
      </c>
      <c r="BR79">
        <v>3791</v>
      </c>
      <c r="BU79" t="s">
        <v>176</v>
      </c>
      <c r="BV79" t="s">
        <v>107</v>
      </c>
      <c r="BW79">
        <v>0</v>
      </c>
      <c r="BX79">
        <v>0</v>
      </c>
      <c r="BY79">
        <v>1</v>
      </c>
      <c r="BZ79">
        <v>0</v>
      </c>
      <c r="CA79">
        <v>0</v>
      </c>
      <c r="CB79">
        <v>0</v>
      </c>
      <c r="CC79">
        <v>0</v>
      </c>
      <c r="CD79">
        <v>0</v>
      </c>
      <c r="CF79">
        <v>0</v>
      </c>
      <c r="CG79">
        <v>33.4</v>
      </c>
      <c r="CH79">
        <v>48.2</v>
      </c>
      <c r="CI79">
        <v>3</v>
      </c>
    </row>
    <row r="80" spans="1:87" ht="44.1" customHeight="1" x14ac:dyDescent="0.55000000000000004">
      <c r="A80" t="s">
        <v>673</v>
      </c>
      <c r="B80" t="s">
        <v>684</v>
      </c>
      <c r="C80" s="13" t="s">
        <v>685</v>
      </c>
      <c r="D80" t="s">
        <v>676</v>
      </c>
      <c r="E80" t="s">
        <v>91</v>
      </c>
      <c r="F80">
        <v>1</v>
      </c>
      <c r="G80">
        <v>0</v>
      </c>
      <c r="H80">
        <v>1</v>
      </c>
      <c r="I80">
        <v>1</v>
      </c>
      <c r="J80" t="s">
        <v>677</v>
      </c>
      <c r="K80" t="s">
        <v>93</v>
      </c>
      <c r="L80" t="s">
        <v>95</v>
      </c>
      <c r="M80" t="s">
        <v>95</v>
      </c>
      <c r="N80" t="s">
        <v>678</v>
      </c>
      <c r="O80">
        <v>1986.4169999999999</v>
      </c>
      <c r="P80" t="s">
        <v>679</v>
      </c>
      <c r="Q80">
        <v>29</v>
      </c>
      <c r="R80">
        <v>0</v>
      </c>
      <c r="S80">
        <v>0</v>
      </c>
      <c r="T80">
        <v>14</v>
      </c>
      <c r="U80">
        <v>78</v>
      </c>
      <c r="V80">
        <v>68</v>
      </c>
      <c r="X80" t="s">
        <v>680</v>
      </c>
      <c r="Z80">
        <v>329</v>
      </c>
      <c r="AA80">
        <v>440</v>
      </c>
      <c r="AE80">
        <v>0.79700000000000004</v>
      </c>
      <c r="AF80">
        <v>0.80200000000000005</v>
      </c>
      <c r="AG80">
        <v>0.79900000000000004</v>
      </c>
      <c r="AK80" t="s">
        <v>99</v>
      </c>
      <c r="AV80">
        <v>2</v>
      </c>
      <c r="AW80">
        <v>4.0999999999999996</v>
      </c>
      <c r="AX80">
        <v>2.9</v>
      </c>
      <c r="AZ80">
        <v>42</v>
      </c>
      <c r="BA80">
        <v>101</v>
      </c>
      <c r="BB80">
        <v>38</v>
      </c>
      <c r="BC80" t="s">
        <v>100</v>
      </c>
      <c r="BD80">
        <v>405</v>
      </c>
      <c r="BE80" t="s">
        <v>681</v>
      </c>
      <c r="BP80" t="s">
        <v>682</v>
      </c>
      <c r="BQ80" t="s">
        <v>686</v>
      </c>
      <c r="BR80">
        <v>3888</v>
      </c>
      <c r="BU80" t="s">
        <v>181</v>
      </c>
      <c r="BV80" t="s">
        <v>107</v>
      </c>
      <c r="BW80">
        <v>0</v>
      </c>
      <c r="BX80">
        <v>1</v>
      </c>
      <c r="BY80">
        <v>1</v>
      </c>
      <c r="BZ80">
        <v>0</v>
      </c>
      <c r="CA80">
        <v>1</v>
      </c>
      <c r="CB80">
        <v>1</v>
      </c>
      <c r="CC80">
        <v>1</v>
      </c>
      <c r="CD80">
        <v>0</v>
      </c>
      <c r="CF80">
        <v>0</v>
      </c>
      <c r="CG80">
        <v>30.6</v>
      </c>
      <c r="CH80">
        <v>55.7</v>
      </c>
    </row>
    <row r="81" spans="1:87" ht="44.1" customHeight="1" x14ac:dyDescent="0.55000000000000004">
      <c r="A81" t="s">
        <v>673</v>
      </c>
      <c r="B81" t="s">
        <v>687</v>
      </c>
      <c r="C81" s="13" t="s">
        <v>688</v>
      </c>
      <c r="D81" t="s">
        <v>676</v>
      </c>
      <c r="E81" t="s">
        <v>91</v>
      </c>
      <c r="F81">
        <v>1</v>
      </c>
      <c r="G81">
        <v>0</v>
      </c>
      <c r="H81">
        <v>1</v>
      </c>
      <c r="I81">
        <v>1</v>
      </c>
      <c r="J81" t="s">
        <v>677</v>
      </c>
      <c r="K81" t="s">
        <v>93</v>
      </c>
      <c r="L81" t="s">
        <v>95</v>
      </c>
      <c r="M81" t="s">
        <v>95</v>
      </c>
      <c r="N81" t="s">
        <v>678</v>
      </c>
      <c r="O81">
        <v>1986.4169999999999</v>
      </c>
      <c r="P81" t="s">
        <v>679</v>
      </c>
      <c r="Q81">
        <v>27</v>
      </c>
      <c r="R81">
        <v>0</v>
      </c>
      <c r="S81">
        <v>0</v>
      </c>
      <c r="T81">
        <v>60</v>
      </c>
      <c r="U81">
        <v>29</v>
      </c>
      <c r="V81">
        <v>56</v>
      </c>
      <c r="X81" t="s">
        <v>680</v>
      </c>
      <c r="Z81">
        <v>163</v>
      </c>
      <c r="AA81">
        <v>346</v>
      </c>
      <c r="AE81">
        <v>0.79500000000000004</v>
      </c>
      <c r="AF81">
        <v>0.75600000000000001</v>
      </c>
      <c r="AG81">
        <v>0.76800000000000002</v>
      </c>
      <c r="AK81" t="s">
        <v>99</v>
      </c>
      <c r="AV81">
        <v>2</v>
      </c>
      <c r="AW81">
        <v>-1.1000000000000001</v>
      </c>
      <c r="AX81">
        <v>3.7</v>
      </c>
      <c r="AZ81">
        <v>38.9</v>
      </c>
      <c r="BA81">
        <v>20</v>
      </c>
      <c r="BB81">
        <v>40</v>
      </c>
      <c r="BD81">
        <v>323</v>
      </c>
      <c r="BE81" t="s">
        <v>681</v>
      </c>
      <c r="BP81" t="s">
        <v>682</v>
      </c>
      <c r="BQ81" t="s">
        <v>689</v>
      </c>
      <c r="BR81">
        <v>5692</v>
      </c>
      <c r="BU81" t="s">
        <v>189</v>
      </c>
      <c r="BV81" t="s">
        <v>107</v>
      </c>
      <c r="BW81">
        <v>0</v>
      </c>
      <c r="BX81">
        <v>0</v>
      </c>
      <c r="BY81">
        <v>1</v>
      </c>
      <c r="BZ81">
        <v>0</v>
      </c>
      <c r="CA81">
        <v>0</v>
      </c>
      <c r="CB81">
        <v>0</v>
      </c>
      <c r="CC81">
        <v>0</v>
      </c>
      <c r="CD81">
        <v>0</v>
      </c>
      <c r="CF81">
        <v>0</v>
      </c>
      <c r="CG81">
        <v>34.700000000000003</v>
      </c>
      <c r="CH81">
        <v>50.3</v>
      </c>
      <c r="CI81">
        <v>2</v>
      </c>
    </row>
    <row r="82" spans="1:87" ht="44.1" customHeight="1" x14ac:dyDescent="0.55000000000000004">
      <c r="A82" t="s">
        <v>673</v>
      </c>
      <c r="B82" t="s">
        <v>690</v>
      </c>
      <c r="C82" s="13" t="s">
        <v>691</v>
      </c>
      <c r="D82" t="s">
        <v>676</v>
      </c>
      <c r="E82" t="s">
        <v>91</v>
      </c>
      <c r="F82">
        <v>1</v>
      </c>
      <c r="G82">
        <v>0</v>
      </c>
      <c r="H82">
        <v>1</v>
      </c>
      <c r="I82">
        <v>1</v>
      </c>
      <c r="J82" t="s">
        <v>677</v>
      </c>
      <c r="K82" t="s">
        <v>93</v>
      </c>
      <c r="L82" t="s">
        <v>95</v>
      </c>
      <c r="M82" t="s">
        <v>95</v>
      </c>
      <c r="N82" t="s">
        <v>678</v>
      </c>
      <c r="O82">
        <v>1986.4169999999999</v>
      </c>
      <c r="P82" t="s">
        <v>679</v>
      </c>
      <c r="Q82">
        <v>28</v>
      </c>
      <c r="R82">
        <v>0</v>
      </c>
      <c r="S82">
        <v>0</v>
      </c>
      <c r="T82">
        <v>94</v>
      </c>
      <c r="U82">
        <v>4</v>
      </c>
      <c r="V82">
        <v>57</v>
      </c>
      <c r="X82" t="s">
        <v>680</v>
      </c>
      <c r="Z82">
        <v>543</v>
      </c>
      <c r="AA82">
        <v>682</v>
      </c>
      <c r="AE82">
        <v>0.84799999999999998</v>
      </c>
      <c r="AF82">
        <v>0.88</v>
      </c>
      <c r="AG82">
        <v>0.86599999999999999</v>
      </c>
      <c r="AK82" t="s">
        <v>99</v>
      </c>
      <c r="AV82">
        <v>2</v>
      </c>
      <c r="AW82">
        <v>5.0999999999999996</v>
      </c>
      <c r="AX82">
        <v>2.4</v>
      </c>
      <c r="AY82" t="s">
        <v>100</v>
      </c>
      <c r="AZ82">
        <v>49.7</v>
      </c>
      <c r="BA82">
        <v>43</v>
      </c>
      <c r="BB82">
        <v>28</v>
      </c>
      <c r="BD82">
        <v>477</v>
      </c>
      <c r="BE82" t="s">
        <v>681</v>
      </c>
      <c r="BP82" t="s">
        <v>682</v>
      </c>
      <c r="BQ82" t="s">
        <v>692</v>
      </c>
      <c r="BR82">
        <v>2448</v>
      </c>
      <c r="BU82" t="s">
        <v>693</v>
      </c>
      <c r="BV82" t="s">
        <v>107</v>
      </c>
      <c r="BW82">
        <v>0</v>
      </c>
      <c r="BX82">
        <v>0</v>
      </c>
      <c r="BY82">
        <v>1</v>
      </c>
      <c r="BZ82">
        <v>0</v>
      </c>
      <c r="CA82">
        <v>0</v>
      </c>
      <c r="CB82">
        <v>0</v>
      </c>
      <c r="CC82">
        <v>0</v>
      </c>
      <c r="CD82">
        <v>0</v>
      </c>
      <c r="CF82">
        <v>0</v>
      </c>
      <c r="CG82">
        <v>33.5</v>
      </c>
      <c r="CH82">
        <v>48.6</v>
      </c>
    </row>
    <row r="83" spans="1:87" ht="44.1" customHeight="1" x14ac:dyDescent="0.55000000000000004">
      <c r="A83" t="s">
        <v>694</v>
      </c>
      <c r="B83" t="s">
        <v>695</v>
      </c>
      <c r="C83" s="13" t="s">
        <v>696</v>
      </c>
      <c r="D83" t="s">
        <v>697</v>
      </c>
      <c r="E83" t="s">
        <v>91</v>
      </c>
      <c r="F83">
        <v>1</v>
      </c>
      <c r="G83">
        <v>0</v>
      </c>
      <c r="H83">
        <v>1</v>
      </c>
      <c r="I83">
        <v>1</v>
      </c>
      <c r="J83" t="s">
        <v>698</v>
      </c>
      <c r="K83" t="s">
        <v>93</v>
      </c>
      <c r="L83" t="s">
        <v>94</v>
      </c>
      <c r="M83" t="s">
        <v>95</v>
      </c>
      <c r="N83" t="s">
        <v>699</v>
      </c>
      <c r="O83">
        <v>1997.5</v>
      </c>
      <c r="P83" t="s">
        <v>700</v>
      </c>
      <c r="Q83">
        <v>19</v>
      </c>
      <c r="R83">
        <v>51.6</v>
      </c>
      <c r="S83">
        <v>4.8</v>
      </c>
      <c r="T83">
        <v>1.9</v>
      </c>
      <c r="U83">
        <v>91</v>
      </c>
      <c r="V83">
        <v>60.1</v>
      </c>
      <c r="X83" t="s">
        <v>701</v>
      </c>
      <c r="Z83">
        <v>174</v>
      </c>
      <c r="AA83">
        <v>158</v>
      </c>
      <c r="AH83">
        <v>0.8</v>
      </c>
      <c r="AI83">
        <v>0.74</v>
      </c>
      <c r="AJ83">
        <v>0.77</v>
      </c>
      <c r="AK83" t="s">
        <v>99</v>
      </c>
      <c r="BF83">
        <v>5</v>
      </c>
      <c r="BK83">
        <v>1331.5</v>
      </c>
      <c r="BL83">
        <v>1599.3</v>
      </c>
      <c r="BN83">
        <v>14671</v>
      </c>
      <c r="BO83" t="s">
        <v>702</v>
      </c>
      <c r="BP83" t="s">
        <v>703</v>
      </c>
      <c r="BQ83" t="s">
        <v>704</v>
      </c>
      <c r="BU83" t="s">
        <v>106</v>
      </c>
      <c r="BV83" t="s">
        <v>107</v>
      </c>
      <c r="BW83">
        <v>0</v>
      </c>
      <c r="BX83">
        <v>1</v>
      </c>
      <c r="BY83">
        <v>1</v>
      </c>
      <c r="BZ83">
        <v>0</v>
      </c>
      <c r="CA83">
        <v>1</v>
      </c>
      <c r="CB83">
        <v>1</v>
      </c>
      <c r="CC83">
        <v>1</v>
      </c>
      <c r="CD83">
        <v>0</v>
      </c>
      <c r="CE83">
        <v>12.9</v>
      </c>
      <c r="CF83">
        <v>28.2</v>
      </c>
      <c r="CI83">
        <v>6.5</v>
      </c>
    </row>
    <row r="84" spans="1:87" ht="44.1" customHeight="1" x14ac:dyDescent="0.55000000000000004">
      <c r="A84" t="s">
        <v>694</v>
      </c>
      <c r="B84" t="s">
        <v>705</v>
      </c>
      <c r="C84" s="13" t="s">
        <v>696</v>
      </c>
      <c r="D84" t="s">
        <v>697</v>
      </c>
      <c r="E84" t="s">
        <v>91</v>
      </c>
      <c r="F84">
        <v>1</v>
      </c>
      <c r="G84">
        <v>0</v>
      </c>
      <c r="H84">
        <v>1</v>
      </c>
      <c r="I84">
        <v>1</v>
      </c>
      <c r="J84" t="s">
        <v>698</v>
      </c>
      <c r="K84" t="s">
        <v>93</v>
      </c>
      <c r="L84" t="s">
        <v>94</v>
      </c>
      <c r="M84" t="s">
        <v>95</v>
      </c>
      <c r="N84" t="s">
        <v>699</v>
      </c>
      <c r="O84">
        <v>1997.5</v>
      </c>
      <c r="P84" t="s">
        <v>700</v>
      </c>
      <c r="Q84">
        <v>19.2</v>
      </c>
      <c r="R84">
        <v>37</v>
      </c>
      <c r="S84">
        <v>7.5</v>
      </c>
      <c r="T84">
        <v>71.5</v>
      </c>
      <c r="U84">
        <v>18.2</v>
      </c>
      <c r="V84">
        <v>55.2</v>
      </c>
      <c r="X84" t="s">
        <v>701</v>
      </c>
      <c r="Z84">
        <v>421</v>
      </c>
      <c r="AA84">
        <v>383</v>
      </c>
      <c r="AH84">
        <v>0.8</v>
      </c>
      <c r="AI84">
        <v>0.74</v>
      </c>
      <c r="AJ84">
        <v>0.77</v>
      </c>
      <c r="AK84" t="s">
        <v>99</v>
      </c>
      <c r="BF84">
        <v>5</v>
      </c>
      <c r="BK84">
        <v>-719</v>
      </c>
      <c r="BL84">
        <v>997.8</v>
      </c>
      <c r="BN84">
        <v>12078</v>
      </c>
      <c r="BO84" t="s">
        <v>702</v>
      </c>
      <c r="BP84" t="s">
        <v>703</v>
      </c>
      <c r="BQ84" t="s">
        <v>706</v>
      </c>
      <c r="BU84" t="s">
        <v>106</v>
      </c>
      <c r="BV84" t="s">
        <v>107</v>
      </c>
      <c r="BW84">
        <v>0</v>
      </c>
      <c r="BX84">
        <v>1</v>
      </c>
      <c r="BY84">
        <v>1</v>
      </c>
      <c r="BZ84">
        <v>0</v>
      </c>
      <c r="CA84">
        <v>1</v>
      </c>
      <c r="CB84">
        <v>1</v>
      </c>
      <c r="CC84">
        <v>1</v>
      </c>
      <c r="CD84">
        <v>0</v>
      </c>
      <c r="CE84">
        <v>3</v>
      </c>
      <c r="CF84">
        <v>34</v>
      </c>
      <c r="CI84">
        <v>6</v>
      </c>
    </row>
    <row r="85" spans="1:87" ht="44.1" customHeight="1" x14ac:dyDescent="0.55000000000000004">
      <c r="A85" t="s">
        <v>707</v>
      </c>
      <c r="B85" t="s">
        <v>708</v>
      </c>
      <c r="C85" s="13" t="s">
        <v>709</v>
      </c>
      <c r="D85" t="s">
        <v>710</v>
      </c>
      <c r="E85" t="s">
        <v>226</v>
      </c>
      <c r="F85">
        <v>1</v>
      </c>
      <c r="G85">
        <v>0</v>
      </c>
      <c r="H85">
        <v>1</v>
      </c>
      <c r="I85">
        <v>1</v>
      </c>
      <c r="J85" t="s">
        <v>711</v>
      </c>
      <c r="K85" t="s">
        <v>228</v>
      </c>
      <c r="L85" t="s">
        <v>94</v>
      </c>
      <c r="M85" t="s">
        <v>94</v>
      </c>
      <c r="N85" t="s">
        <v>712</v>
      </c>
      <c r="O85">
        <v>1983.4169999999999</v>
      </c>
      <c r="P85" t="s">
        <v>713</v>
      </c>
      <c r="Q85">
        <v>31.9</v>
      </c>
      <c r="R85">
        <v>10.1</v>
      </c>
      <c r="S85">
        <v>29.5</v>
      </c>
      <c r="T85">
        <v>69.2</v>
      </c>
      <c r="U85">
        <v>0.3</v>
      </c>
      <c r="V85">
        <v>56.4</v>
      </c>
      <c r="W85">
        <v>10.5</v>
      </c>
      <c r="X85" t="s">
        <v>714</v>
      </c>
      <c r="Z85">
        <v>1331</v>
      </c>
      <c r="AA85">
        <v>1372</v>
      </c>
      <c r="AK85" t="s">
        <v>232</v>
      </c>
      <c r="AL85">
        <v>1.25</v>
      </c>
      <c r="AM85">
        <v>5</v>
      </c>
      <c r="AO85" t="s">
        <v>141</v>
      </c>
      <c r="AP85">
        <v>31.6</v>
      </c>
      <c r="AQ85">
        <v>176.41</v>
      </c>
      <c r="AT85">
        <v>1758.74</v>
      </c>
      <c r="AU85" t="s">
        <v>715</v>
      </c>
      <c r="AV85">
        <v>2</v>
      </c>
      <c r="AW85">
        <v>2.4</v>
      </c>
      <c r="AZ85">
        <v>34.9</v>
      </c>
      <c r="BA85">
        <v>668.22</v>
      </c>
      <c r="BC85" t="s">
        <v>112</v>
      </c>
      <c r="BD85">
        <v>3223.29</v>
      </c>
      <c r="BE85" t="s">
        <v>716</v>
      </c>
      <c r="BP85" t="s">
        <v>717</v>
      </c>
      <c r="BQ85" t="s">
        <v>718</v>
      </c>
      <c r="BR85">
        <v>1000</v>
      </c>
      <c r="BU85" t="s">
        <v>719</v>
      </c>
      <c r="BV85" t="s">
        <v>107</v>
      </c>
      <c r="BW85">
        <v>0</v>
      </c>
      <c r="BX85">
        <v>0</v>
      </c>
      <c r="BY85">
        <v>0</v>
      </c>
      <c r="BZ85">
        <v>0</v>
      </c>
      <c r="CA85">
        <v>0</v>
      </c>
      <c r="CB85">
        <v>0</v>
      </c>
      <c r="CC85">
        <v>0</v>
      </c>
      <c r="CD85">
        <v>0</v>
      </c>
      <c r="CE85">
        <v>41.1</v>
      </c>
      <c r="CF85">
        <v>3.4</v>
      </c>
      <c r="CG85">
        <v>17.600000000000001</v>
      </c>
      <c r="CH85">
        <v>1</v>
      </c>
      <c r="CI85">
        <v>4</v>
      </c>
    </row>
    <row r="86" spans="1:87" ht="44.1" customHeight="1" x14ac:dyDescent="0.55000000000000004">
      <c r="A86" t="s">
        <v>720</v>
      </c>
      <c r="B86" t="s">
        <v>721</v>
      </c>
      <c r="C86" s="13" t="s">
        <v>722</v>
      </c>
      <c r="D86" t="s">
        <v>723</v>
      </c>
      <c r="E86" t="s">
        <v>91</v>
      </c>
      <c r="F86">
        <v>1</v>
      </c>
      <c r="G86">
        <v>1</v>
      </c>
      <c r="H86">
        <v>1</v>
      </c>
      <c r="I86">
        <v>1</v>
      </c>
      <c r="J86" t="s">
        <v>724</v>
      </c>
      <c r="K86" t="s">
        <v>93</v>
      </c>
      <c r="L86" t="s">
        <v>94</v>
      </c>
      <c r="M86" t="s">
        <v>94</v>
      </c>
      <c r="N86" t="s">
        <v>725</v>
      </c>
      <c r="O86">
        <v>1984</v>
      </c>
      <c r="P86" t="s">
        <v>726</v>
      </c>
      <c r="Q86">
        <v>30.1</v>
      </c>
      <c r="R86">
        <v>0</v>
      </c>
      <c r="S86">
        <v>97.9</v>
      </c>
      <c r="T86">
        <v>1.2</v>
      </c>
      <c r="U86">
        <v>0.5</v>
      </c>
      <c r="V86">
        <v>25.5</v>
      </c>
      <c r="W86">
        <v>11.3</v>
      </c>
      <c r="X86" t="s">
        <v>727</v>
      </c>
      <c r="Z86">
        <v>297</v>
      </c>
      <c r="AA86">
        <v>147</v>
      </c>
      <c r="AK86" t="s">
        <v>232</v>
      </c>
      <c r="AL86">
        <v>1.5</v>
      </c>
      <c r="AQ86">
        <v>555</v>
      </c>
      <c r="AT86">
        <v>2300</v>
      </c>
      <c r="AU86" t="s">
        <v>728</v>
      </c>
      <c r="AV86">
        <v>2.75</v>
      </c>
      <c r="BA86">
        <v>1190</v>
      </c>
      <c r="BC86" t="s">
        <v>100</v>
      </c>
      <c r="BD86">
        <v>3298</v>
      </c>
      <c r="BE86" t="s">
        <v>729</v>
      </c>
      <c r="BP86" t="s">
        <v>730</v>
      </c>
      <c r="BQ86" t="s">
        <v>731</v>
      </c>
      <c r="BR86">
        <v>2627</v>
      </c>
      <c r="BU86" t="s">
        <v>732</v>
      </c>
      <c r="BV86" t="s">
        <v>246</v>
      </c>
      <c r="BW86">
        <v>0</v>
      </c>
      <c r="BX86">
        <v>0</v>
      </c>
      <c r="BY86">
        <v>0</v>
      </c>
      <c r="BZ86">
        <v>0</v>
      </c>
      <c r="CA86">
        <v>0</v>
      </c>
      <c r="CB86">
        <v>0</v>
      </c>
      <c r="CC86">
        <v>0</v>
      </c>
      <c r="CD86">
        <v>0</v>
      </c>
      <c r="CE86">
        <v>67.2</v>
      </c>
      <c r="CF86">
        <v>22.4</v>
      </c>
      <c r="CG86">
        <v>41.2</v>
      </c>
      <c r="CH86">
        <v>51.7</v>
      </c>
      <c r="CI86">
        <v>8</v>
      </c>
    </row>
    <row r="87" spans="1:87" ht="44.1" customHeight="1" x14ac:dyDescent="0.55000000000000004">
      <c r="A87" t="s">
        <v>733</v>
      </c>
      <c r="B87" t="s">
        <v>649</v>
      </c>
      <c r="C87" s="13" t="s">
        <v>734</v>
      </c>
      <c r="D87" t="s">
        <v>735</v>
      </c>
      <c r="E87" t="s">
        <v>91</v>
      </c>
      <c r="F87">
        <v>0</v>
      </c>
      <c r="G87">
        <v>1</v>
      </c>
      <c r="H87">
        <v>0</v>
      </c>
      <c r="I87">
        <v>0</v>
      </c>
      <c r="J87" t="s">
        <v>736</v>
      </c>
      <c r="K87" t="s">
        <v>93</v>
      </c>
      <c r="L87" t="s">
        <v>94</v>
      </c>
      <c r="M87" t="s">
        <v>94</v>
      </c>
      <c r="N87" t="s">
        <v>737</v>
      </c>
      <c r="O87">
        <v>1985.625</v>
      </c>
      <c r="P87" t="s">
        <v>738</v>
      </c>
      <c r="Q87">
        <v>32.1</v>
      </c>
      <c r="R87">
        <v>3.9</v>
      </c>
      <c r="S87">
        <v>16.2</v>
      </c>
      <c r="T87">
        <v>70.3</v>
      </c>
      <c r="U87">
        <v>13.1</v>
      </c>
      <c r="V87">
        <v>40.1</v>
      </c>
      <c r="W87">
        <v>11.3</v>
      </c>
      <c r="X87" t="s">
        <v>739</v>
      </c>
      <c r="Z87">
        <v>814</v>
      </c>
      <c r="AA87">
        <v>790</v>
      </c>
      <c r="AK87" t="s">
        <v>232</v>
      </c>
      <c r="AL87">
        <v>1</v>
      </c>
      <c r="AM87">
        <v>7.4</v>
      </c>
      <c r="AO87" t="s">
        <v>141</v>
      </c>
      <c r="AP87">
        <v>74.7</v>
      </c>
      <c r="AQ87">
        <v>634.28</v>
      </c>
      <c r="AS87" t="s">
        <v>141</v>
      </c>
      <c r="AT87">
        <v>2865.78</v>
      </c>
      <c r="AU87" t="s">
        <v>740</v>
      </c>
      <c r="AV87">
        <v>1.75</v>
      </c>
      <c r="BA87">
        <v>468.32</v>
      </c>
      <c r="BC87" t="s">
        <v>112</v>
      </c>
      <c r="BD87">
        <v>3159.1</v>
      </c>
      <c r="BE87" t="s">
        <v>741</v>
      </c>
      <c r="BP87" t="s">
        <v>742</v>
      </c>
      <c r="BQ87" t="s">
        <v>743</v>
      </c>
      <c r="BR87">
        <v>860</v>
      </c>
      <c r="BU87" t="s">
        <v>653</v>
      </c>
      <c r="BV87" t="s">
        <v>107</v>
      </c>
      <c r="BW87">
        <v>0</v>
      </c>
      <c r="BX87">
        <v>0</v>
      </c>
      <c r="BY87">
        <v>0</v>
      </c>
      <c r="BZ87">
        <v>0</v>
      </c>
      <c r="CA87">
        <v>0</v>
      </c>
      <c r="CB87">
        <v>0</v>
      </c>
      <c r="CC87">
        <v>0</v>
      </c>
      <c r="CD87">
        <v>0</v>
      </c>
      <c r="CE87">
        <v>43</v>
      </c>
      <c r="CF87">
        <v>0</v>
      </c>
      <c r="CG87">
        <v>10.9</v>
      </c>
      <c r="CH87">
        <v>73</v>
      </c>
      <c r="CI87">
        <v>6</v>
      </c>
    </row>
    <row r="88" spans="1:87" ht="44.1" customHeight="1" x14ac:dyDescent="0.55000000000000004">
      <c r="A88" t="s">
        <v>744</v>
      </c>
      <c r="B88" t="s">
        <v>745</v>
      </c>
      <c r="C88" s="13" t="s">
        <v>746</v>
      </c>
      <c r="D88" t="s">
        <v>747</v>
      </c>
      <c r="E88" t="s">
        <v>226</v>
      </c>
      <c r="F88">
        <v>1</v>
      </c>
      <c r="G88">
        <v>0</v>
      </c>
      <c r="H88">
        <v>1</v>
      </c>
      <c r="I88">
        <v>1</v>
      </c>
      <c r="J88" t="s">
        <v>748</v>
      </c>
      <c r="K88" t="s">
        <v>228</v>
      </c>
      <c r="L88" t="s">
        <v>94</v>
      </c>
      <c r="M88" t="s">
        <v>94</v>
      </c>
      <c r="N88" t="s">
        <v>749</v>
      </c>
      <c r="O88">
        <v>1984</v>
      </c>
      <c r="P88" t="s">
        <v>708</v>
      </c>
      <c r="R88">
        <v>0</v>
      </c>
      <c r="S88">
        <v>33</v>
      </c>
      <c r="T88">
        <v>67</v>
      </c>
      <c r="V88">
        <v>50</v>
      </c>
      <c r="X88" t="s">
        <v>750</v>
      </c>
      <c r="Z88">
        <v>1592</v>
      </c>
      <c r="AA88">
        <v>1592</v>
      </c>
      <c r="AK88" t="s">
        <v>232</v>
      </c>
      <c r="AL88">
        <v>0.75</v>
      </c>
      <c r="AM88">
        <v>3.3</v>
      </c>
      <c r="AO88" t="s">
        <v>112</v>
      </c>
      <c r="AP88">
        <v>40.5</v>
      </c>
      <c r="AQ88">
        <v>80.89</v>
      </c>
      <c r="AT88">
        <v>1038.1600000000001</v>
      </c>
      <c r="AU88" t="s">
        <v>751</v>
      </c>
      <c r="BP88" t="s">
        <v>752</v>
      </c>
      <c r="BQ88" t="s">
        <v>753</v>
      </c>
      <c r="BR88">
        <v>388</v>
      </c>
      <c r="BU88" t="s">
        <v>754</v>
      </c>
      <c r="BV88" t="s">
        <v>107</v>
      </c>
      <c r="BW88">
        <v>0</v>
      </c>
      <c r="BX88">
        <v>0</v>
      </c>
      <c r="BY88">
        <v>0</v>
      </c>
      <c r="BZ88">
        <v>0</v>
      </c>
      <c r="CA88">
        <v>0</v>
      </c>
      <c r="CB88">
        <v>0</v>
      </c>
      <c r="CC88">
        <v>0</v>
      </c>
      <c r="CD88">
        <v>0</v>
      </c>
      <c r="CE88">
        <v>58.3</v>
      </c>
      <c r="CF88">
        <v>0</v>
      </c>
      <c r="CG88">
        <v>3.1</v>
      </c>
      <c r="CH88">
        <v>12.7</v>
      </c>
    </row>
    <row r="89" spans="1:87" ht="44.1" customHeight="1" x14ac:dyDescent="0.55000000000000004">
      <c r="A89" t="s">
        <v>755</v>
      </c>
      <c r="B89" t="s">
        <v>756</v>
      </c>
      <c r="C89" s="13" t="s">
        <v>757</v>
      </c>
      <c r="D89" t="s">
        <v>758</v>
      </c>
      <c r="E89" t="s">
        <v>91</v>
      </c>
      <c r="F89">
        <v>1</v>
      </c>
      <c r="G89">
        <v>0</v>
      </c>
      <c r="H89">
        <v>1</v>
      </c>
      <c r="I89">
        <v>1</v>
      </c>
      <c r="J89" t="s">
        <v>759</v>
      </c>
      <c r="K89" t="s">
        <v>93</v>
      </c>
      <c r="L89" t="s">
        <v>136</v>
      </c>
      <c r="M89" t="s">
        <v>95</v>
      </c>
      <c r="N89" t="s">
        <v>760</v>
      </c>
      <c r="O89">
        <v>2007.5419999999999</v>
      </c>
      <c r="P89" t="s">
        <v>761</v>
      </c>
      <c r="R89">
        <v>11.7</v>
      </c>
      <c r="S89">
        <v>9.5</v>
      </c>
      <c r="T89">
        <v>13.9</v>
      </c>
      <c r="U89">
        <v>74.099999999999994</v>
      </c>
      <c r="V89">
        <v>0</v>
      </c>
      <c r="X89" t="s">
        <v>762</v>
      </c>
      <c r="Z89">
        <v>207</v>
      </c>
      <c r="AA89">
        <v>203</v>
      </c>
      <c r="AK89" t="s">
        <v>763</v>
      </c>
      <c r="AL89">
        <v>1</v>
      </c>
      <c r="AM89">
        <v>-2.4</v>
      </c>
      <c r="AN89">
        <v>3.5</v>
      </c>
      <c r="AQ89">
        <v>-2905</v>
      </c>
      <c r="AR89">
        <v>962</v>
      </c>
      <c r="AS89" t="s">
        <v>141</v>
      </c>
      <c r="AT89">
        <v>13575</v>
      </c>
      <c r="AU89" t="s">
        <v>764</v>
      </c>
      <c r="AV89">
        <v>2</v>
      </c>
      <c r="AW89">
        <v>-2.8</v>
      </c>
      <c r="AX89">
        <v>3.8</v>
      </c>
      <c r="BA89">
        <v>-2866</v>
      </c>
      <c r="BB89">
        <v>1238</v>
      </c>
      <c r="BC89" t="s">
        <v>100</v>
      </c>
      <c r="BD89">
        <v>16215</v>
      </c>
      <c r="BE89" t="s">
        <v>764</v>
      </c>
      <c r="BF89">
        <v>6</v>
      </c>
      <c r="BG89">
        <v>3.5</v>
      </c>
      <c r="BH89">
        <v>3.6</v>
      </c>
      <c r="BK89">
        <v>5754</v>
      </c>
      <c r="BL89">
        <v>2132</v>
      </c>
      <c r="BM89" t="s">
        <v>141</v>
      </c>
      <c r="BN89">
        <v>22400</v>
      </c>
      <c r="BO89" t="s">
        <v>764</v>
      </c>
      <c r="BP89" t="s">
        <v>765</v>
      </c>
      <c r="BQ89" t="s">
        <v>766</v>
      </c>
      <c r="BR89">
        <v>12464</v>
      </c>
      <c r="BS89">
        <v>31395</v>
      </c>
      <c r="BT89" t="s">
        <v>767</v>
      </c>
      <c r="BU89" t="s">
        <v>204</v>
      </c>
      <c r="BV89" t="s">
        <v>107</v>
      </c>
      <c r="BW89">
        <v>0</v>
      </c>
      <c r="BX89">
        <v>1</v>
      </c>
      <c r="BY89">
        <v>1</v>
      </c>
      <c r="BZ89">
        <v>0</v>
      </c>
      <c r="CA89">
        <v>1</v>
      </c>
      <c r="CB89">
        <v>1</v>
      </c>
      <c r="CC89">
        <v>1</v>
      </c>
      <c r="CD89">
        <v>0</v>
      </c>
      <c r="CF89">
        <v>0</v>
      </c>
      <c r="CG89">
        <v>8.1</v>
      </c>
      <c r="CH89">
        <v>66.7</v>
      </c>
      <c r="CI89">
        <v>12.4</v>
      </c>
    </row>
    <row r="90" spans="1:87" ht="44.1" customHeight="1" x14ac:dyDescent="0.55000000000000004">
      <c r="A90" t="s">
        <v>768</v>
      </c>
      <c r="B90" t="s">
        <v>769</v>
      </c>
      <c r="C90" s="13" t="s">
        <v>770</v>
      </c>
      <c r="D90" t="s">
        <v>771</v>
      </c>
      <c r="E90" t="s">
        <v>91</v>
      </c>
      <c r="F90">
        <v>1</v>
      </c>
      <c r="G90">
        <v>0</v>
      </c>
      <c r="H90">
        <v>1</v>
      </c>
      <c r="I90">
        <v>1</v>
      </c>
      <c r="J90" t="s">
        <v>772</v>
      </c>
      <c r="K90" t="s">
        <v>93</v>
      </c>
      <c r="L90" t="s">
        <v>94</v>
      </c>
      <c r="M90" t="s">
        <v>94</v>
      </c>
      <c r="N90" t="s">
        <v>773</v>
      </c>
      <c r="O90">
        <v>2012.5</v>
      </c>
      <c r="P90" t="s">
        <v>774</v>
      </c>
      <c r="R90">
        <v>39</v>
      </c>
      <c r="S90">
        <v>34</v>
      </c>
      <c r="T90">
        <v>44</v>
      </c>
      <c r="U90">
        <v>14</v>
      </c>
      <c r="V90">
        <v>10</v>
      </c>
      <c r="X90" t="s">
        <v>775</v>
      </c>
      <c r="Z90">
        <v>18558</v>
      </c>
      <c r="AA90">
        <v>1214</v>
      </c>
      <c r="AK90" t="s">
        <v>776</v>
      </c>
      <c r="AL90">
        <v>1</v>
      </c>
      <c r="AM90">
        <v>-4.3</v>
      </c>
      <c r="AP90">
        <v>63.7</v>
      </c>
      <c r="AQ90">
        <v>-323</v>
      </c>
      <c r="AR90">
        <v>194.6</v>
      </c>
      <c r="AT90">
        <v>3209</v>
      </c>
      <c r="AU90" t="s">
        <v>777</v>
      </c>
      <c r="AV90">
        <v>2</v>
      </c>
      <c r="AW90">
        <v>-1.5</v>
      </c>
      <c r="AZ90">
        <v>67.099999999999994</v>
      </c>
      <c r="BA90">
        <v>-420</v>
      </c>
      <c r="BB90">
        <v>207.5</v>
      </c>
      <c r="BC90" t="s">
        <v>112</v>
      </c>
      <c r="BD90">
        <v>4125</v>
      </c>
      <c r="BE90" t="s">
        <v>777</v>
      </c>
      <c r="BF90">
        <v>3</v>
      </c>
      <c r="BG90">
        <v>0.7</v>
      </c>
      <c r="BJ90">
        <v>67.7</v>
      </c>
      <c r="BK90">
        <v>-143</v>
      </c>
      <c r="BL90">
        <v>272.2</v>
      </c>
      <c r="BN90">
        <v>4432</v>
      </c>
      <c r="BO90" t="s">
        <v>777</v>
      </c>
      <c r="BP90" t="s">
        <v>778</v>
      </c>
      <c r="BQ90" t="s">
        <v>779</v>
      </c>
      <c r="BR90">
        <v>980</v>
      </c>
      <c r="BS90">
        <v>6660</v>
      </c>
      <c r="BT90" t="s">
        <v>780</v>
      </c>
      <c r="BU90" t="s">
        <v>106</v>
      </c>
      <c r="BV90" t="s">
        <v>107</v>
      </c>
      <c r="BW90">
        <v>0</v>
      </c>
      <c r="BX90">
        <v>0</v>
      </c>
      <c r="BY90">
        <v>0</v>
      </c>
      <c r="BZ90">
        <v>0</v>
      </c>
      <c r="CA90">
        <v>0</v>
      </c>
      <c r="CB90">
        <v>0</v>
      </c>
      <c r="CC90">
        <v>0</v>
      </c>
      <c r="CD90">
        <v>0</v>
      </c>
      <c r="CG90">
        <v>7</v>
      </c>
      <c r="CH90">
        <v>40</v>
      </c>
      <c r="CI90">
        <v>5</v>
      </c>
    </row>
    <row r="91" spans="1:87" ht="44.1" customHeight="1" x14ac:dyDescent="0.55000000000000004">
      <c r="A91" t="s">
        <v>768</v>
      </c>
      <c r="B91" t="s">
        <v>781</v>
      </c>
      <c r="C91" s="13" t="s">
        <v>782</v>
      </c>
      <c r="D91" t="s">
        <v>783</v>
      </c>
      <c r="E91" t="s">
        <v>91</v>
      </c>
      <c r="F91">
        <v>1</v>
      </c>
      <c r="G91">
        <v>0</v>
      </c>
      <c r="H91">
        <v>1</v>
      </c>
      <c r="I91">
        <v>1</v>
      </c>
      <c r="J91" t="s">
        <v>772</v>
      </c>
      <c r="K91" t="s">
        <v>93</v>
      </c>
      <c r="L91" t="s">
        <v>94</v>
      </c>
      <c r="M91" t="s">
        <v>94</v>
      </c>
      <c r="N91" t="s">
        <v>773</v>
      </c>
      <c r="O91">
        <v>2012.5</v>
      </c>
      <c r="P91" t="s">
        <v>784</v>
      </c>
      <c r="R91">
        <v>40</v>
      </c>
      <c r="S91">
        <v>42</v>
      </c>
      <c r="T91">
        <v>44</v>
      </c>
      <c r="U91">
        <v>9</v>
      </c>
      <c r="V91">
        <v>4</v>
      </c>
      <c r="X91" t="s">
        <v>785</v>
      </c>
      <c r="Z91">
        <v>11152</v>
      </c>
      <c r="AA91">
        <v>820</v>
      </c>
      <c r="AK91" t="s">
        <v>776</v>
      </c>
      <c r="AL91">
        <v>1</v>
      </c>
      <c r="AM91">
        <v>-2.2999999999999998</v>
      </c>
      <c r="AP91">
        <v>57.6</v>
      </c>
      <c r="AQ91">
        <v>95</v>
      </c>
      <c r="AR91">
        <v>184.3</v>
      </c>
      <c r="AT91">
        <v>4184</v>
      </c>
      <c r="AU91" t="s">
        <v>777</v>
      </c>
      <c r="AV91">
        <v>2</v>
      </c>
      <c r="AW91">
        <v>-1.9</v>
      </c>
      <c r="AZ91">
        <v>72.599999999999994</v>
      </c>
      <c r="BA91">
        <v>360</v>
      </c>
      <c r="BB91">
        <v>348.1</v>
      </c>
      <c r="BD91">
        <v>4932</v>
      </c>
      <c r="BE91" t="s">
        <v>777</v>
      </c>
      <c r="BF91">
        <v>3</v>
      </c>
      <c r="BG91">
        <v>-2.2000000000000002</v>
      </c>
      <c r="BJ91">
        <v>76.400000000000006</v>
      </c>
      <c r="BK91">
        <v>526</v>
      </c>
      <c r="BL91">
        <v>439.1</v>
      </c>
      <c r="BN91">
        <v>5374</v>
      </c>
      <c r="BO91" t="s">
        <v>777</v>
      </c>
      <c r="BP91" t="s">
        <v>786</v>
      </c>
      <c r="BQ91" t="s">
        <v>787</v>
      </c>
      <c r="BR91">
        <v>980</v>
      </c>
      <c r="BS91">
        <v>1217</v>
      </c>
      <c r="BT91" t="s">
        <v>788</v>
      </c>
      <c r="BU91" t="s">
        <v>106</v>
      </c>
      <c r="BV91" t="s">
        <v>107</v>
      </c>
      <c r="BW91">
        <v>0</v>
      </c>
      <c r="BX91">
        <v>0</v>
      </c>
      <c r="BY91">
        <v>0</v>
      </c>
      <c r="BZ91">
        <v>0</v>
      </c>
      <c r="CA91">
        <v>0</v>
      </c>
      <c r="CB91">
        <v>0</v>
      </c>
      <c r="CC91">
        <v>0</v>
      </c>
      <c r="CD91">
        <v>0</v>
      </c>
      <c r="CG91">
        <v>11</v>
      </c>
      <c r="CH91">
        <v>43</v>
      </c>
      <c r="CI91">
        <v>5</v>
      </c>
    </row>
    <row r="92" spans="1:87" ht="44.1" customHeight="1" x14ac:dyDescent="0.55000000000000004">
      <c r="A92" t="s">
        <v>789</v>
      </c>
      <c r="B92" t="s">
        <v>790</v>
      </c>
      <c r="C92" s="13" t="s">
        <v>791</v>
      </c>
      <c r="D92" t="s">
        <v>792</v>
      </c>
      <c r="E92" t="s">
        <v>226</v>
      </c>
      <c r="F92">
        <v>0</v>
      </c>
      <c r="G92">
        <v>0</v>
      </c>
      <c r="H92">
        <v>1</v>
      </c>
      <c r="I92">
        <v>1</v>
      </c>
      <c r="J92" t="s">
        <v>793</v>
      </c>
      <c r="K92" t="s">
        <v>228</v>
      </c>
      <c r="L92" t="s">
        <v>94</v>
      </c>
      <c r="M92" t="s">
        <v>95</v>
      </c>
      <c r="N92" t="s">
        <v>794</v>
      </c>
      <c r="O92">
        <v>2002.9580000000001</v>
      </c>
      <c r="P92" t="s">
        <v>795</v>
      </c>
      <c r="Q92">
        <v>33.299999999999997</v>
      </c>
      <c r="R92">
        <v>0.7</v>
      </c>
      <c r="S92">
        <v>3.9</v>
      </c>
      <c r="T92">
        <v>87.5</v>
      </c>
      <c r="U92">
        <v>8</v>
      </c>
      <c r="V92">
        <v>55.8</v>
      </c>
      <c r="X92" t="s">
        <v>796</v>
      </c>
      <c r="Z92">
        <v>854</v>
      </c>
      <c r="AA92">
        <v>874</v>
      </c>
      <c r="AK92" t="s">
        <v>232</v>
      </c>
      <c r="AL92">
        <v>1</v>
      </c>
      <c r="AM92">
        <v>2.4</v>
      </c>
      <c r="AN92">
        <v>1.4</v>
      </c>
      <c r="AO92" t="s">
        <v>112</v>
      </c>
      <c r="AP92">
        <v>55.3</v>
      </c>
      <c r="AQ92">
        <v>214</v>
      </c>
      <c r="AR92">
        <v>231</v>
      </c>
      <c r="AT92">
        <v>6008</v>
      </c>
      <c r="AU92" t="s">
        <v>142</v>
      </c>
      <c r="AV92">
        <v>2</v>
      </c>
      <c r="AW92">
        <v>4.9000000000000004</v>
      </c>
      <c r="AX92">
        <v>1.8</v>
      </c>
      <c r="AY92" t="s">
        <v>141</v>
      </c>
      <c r="AZ92">
        <v>50.1</v>
      </c>
      <c r="BA92">
        <v>591</v>
      </c>
      <c r="BB92">
        <v>298</v>
      </c>
      <c r="BC92" t="s">
        <v>100</v>
      </c>
      <c r="BD92">
        <v>5973</v>
      </c>
      <c r="BE92" t="s">
        <v>142</v>
      </c>
      <c r="BF92">
        <v>4</v>
      </c>
      <c r="BG92">
        <v>1.7</v>
      </c>
      <c r="BH92">
        <v>1.9</v>
      </c>
      <c r="BJ92">
        <v>53.8</v>
      </c>
      <c r="BK92">
        <v>624</v>
      </c>
      <c r="BL92">
        <v>387</v>
      </c>
      <c r="BN92">
        <v>7511</v>
      </c>
      <c r="BO92" t="s">
        <v>142</v>
      </c>
      <c r="BP92" t="s">
        <v>797</v>
      </c>
      <c r="BQ92" t="s">
        <v>798</v>
      </c>
      <c r="BS92">
        <v>2566</v>
      </c>
      <c r="BT92" t="s">
        <v>799</v>
      </c>
      <c r="BU92" t="s">
        <v>185</v>
      </c>
      <c r="BV92" t="s">
        <v>107</v>
      </c>
      <c r="BW92">
        <v>0</v>
      </c>
      <c r="BX92">
        <v>0</v>
      </c>
      <c r="BY92">
        <v>0</v>
      </c>
      <c r="BZ92">
        <v>0</v>
      </c>
      <c r="CA92">
        <v>0</v>
      </c>
      <c r="CB92">
        <v>0</v>
      </c>
      <c r="CC92">
        <v>0</v>
      </c>
      <c r="CD92">
        <v>0</v>
      </c>
      <c r="CE92">
        <v>24.5</v>
      </c>
      <c r="CF92">
        <v>12.6</v>
      </c>
      <c r="CG92">
        <v>-1.6</v>
      </c>
      <c r="CH92">
        <v>24.9</v>
      </c>
    </row>
    <row r="93" spans="1:87" ht="44.1" customHeight="1" x14ac:dyDescent="0.55000000000000004">
      <c r="A93" t="s">
        <v>789</v>
      </c>
      <c r="B93" t="s">
        <v>800</v>
      </c>
      <c r="C93" s="13" t="s">
        <v>801</v>
      </c>
      <c r="D93" t="s">
        <v>802</v>
      </c>
      <c r="E93" t="s">
        <v>226</v>
      </c>
      <c r="F93">
        <v>0</v>
      </c>
      <c r="G93">
        <v>0</v>
      </c>
      <c r="H93">
        <v>1</v>
      </c>
      <c r="I93">
        <v>1</v>
      </c>
      <c r="J93" t="s">
        <v>803</v>
      </c>
      <c r="K93" t="s">
        <v>93</v>
      </c>
      <c r="L93" t="s">
        <v>94</v>
      </c>
      <c r="M93" t="s">
        <v>94</v>
      </c>
      <c r="N93" t="s">
        <v>804</v>
      </c>
      <c r="O93">
        <v>2003.5</v>
      </c>
      <c r="P93" t="s">
        <v>805</v>
      </c>
      <c r="Q93">
        <v>30.8</v>
      </c>
      <c r="R93">
        <v>5.9</v>
      </c>
      <c r="S93">
        <v>5.2</v>
      </c>
      <c r="T93">
        <v>50.5</v>
      </c>
      <c r="U93">
        <v>40.700000000000003</v>
      </c>
      <c r="V93">
        <v>50</v>
      </c>
      <c r="X93" t="s">
        <v>796</v>
      </c>
      <c r="Z93">
        <v>2857</v>
      </c>
      <c r="AA93">
        <v>2843</v>
      </c>
      <c r="AK93" t="s">
        <v>232</v>
      </c>
      <c r="AL93">
        <v>1</v>
      </c>
      <c r="AM93">
        <v>0.5</v>
      </c>
      <c r="AN93">
        <v>0.9</v>
      </c>
      <c r="AP93">
        <v>67.5</v>
      </c>
      <c r="AQ93">
        <v>103</v>
      </c>
      <c r="AR93">
        <v>202</v>
      </c>
      <c r="AT93">
        <v>9037</v>
      </c>
      <c r="AU93" t="s">
        <v>142</v>
      </c>
      <c r="AV93">
        <v>2</v>
      </c>
      <c r="AW93">
        <v>-1.1000000000000001</v>
      </c>
      <c r="AX93">
        <v>1</v>
      </c>
      <c r="AZ93">
        <v>62.9</v>
      </c>
      <c r="BA93">
        <v>-200</v>
      </c>
      <c r="BB93">
        <v>246</v>
      </c>
      <c r="BD93">
        <v>9799</v>
      </c>
      <c r="BE93" t="s">
        <v>142</v>
      </c>
      <c r="BF93">
        <v>3</v>
      </c>
      <c r="BG93">
        <v>-1.2</v>
      </c>
      <c r="BH93">
        <v>1.1000000000000001</v>
      </c>
      <c r="BJ93">
        <v>62.2</v>
      </c>
      <c r="BK93">
        <v>85</v>
      </c>
      <c r="BL93">
        <v>282</v>
      </c>
      <c r="BN93">
        <v>10677</v>
      </c>
      <c r="BO93" t="s">
        <v>142</v>
      </c>
      <c r="BP93" t="s">
        <v>806</v>
      </c>
      <c r="BQ93" t="s">
        <v>807</v>
      </c>
      <c r="BT93" t="s">
        <v>808</v>
      </c>
      <c r="BU93" t="s">
        <v>181</v>
      </c>
      <c r="BV93" t="s">
        <v>107</v>
      </c>
      <c r="BW93">
        <v>0</v>
      </c>
      <c r="BX93">
        <v>0</v>
      </c>
      <c r="BY93">
        <v>0</v>
      </c>
      <c r="BZ93">
        <v>0</v>
      </c>
      <c r="CA93">
        <v>0</v>
      </c>
      <c r="CB93">
        <v>0</v>
      </c>
      <c r="CC93">
        <v>0</v>
      </c>
      <c r="CD93">
        <v>0</v>
      </c>
      <c r="CE93">
        <v>4.0999999999999996</v>
      </c>
      <c r="CF93">
        <v>17.5</v>
      </c>
      <c r="CG93">
        <v>1.7</v>
      </c>
      <c r="CH93">
        <v>34.200000000000003</v>
      </c>
    </row>
    <row r="94" spans="1:87" ht="44.1" customHeight="1" x14ac:dyDescent="0.55000000000000004">
      <c r="A94" t="s">
        <v>789</v>
      </c>
      <c r="B94" t="s">
        <v>809</v>
      </c>
      <c r="C94" s="13" t="s">
        <v>810</v>
      </c>
      <c r="D94" t="s">
        <v>811</v>
      </c>
      <c r="E94" t="s">
        <v>226</v>
      </c>
      <c r="F94">
        <v>1</v>
      </c>
      <c r="G94">
        <v>0</v>
      </c>
      <c r="H94">
        <v>1</v>
      </c>
      <c r="I94">
        <v>1</v>
      </c>
      <c r="J94" t="s">
        <v>812</v>
      </c>
      <c r="K94" t="s">
        <v>228</v>
      </c>
      <c r="L94" t="s">
        <v>94</v>
      </c>
      <c r="M94" t="s">
        <v>94</v>
      </c>
      <c r="N94" t="s">
        <v>813</v>
      </c>
      <c r="O94">
        <v>2002.4169999999999</v>
      </c>
      <c r="P94" t="s">
        <v>814</v>
      </c>
      <c r="Q94">
        <v>30.2</v>
      </c>
      <c r="R94">
        <v>7.8</v>
      </c>
      <c r="S94">
        <v>31.2</v>
      </c>
      <c r="T94">
        <v>20.5</v>
      </c>
      <c r="U94">
        <v>45.4</v>
      </c>
      <c r="V94">
        <v>41.8</v>
      </c>
      <c r="X94" t="s">
        <v>796</v>
      </c>
      <c r="Z94">
        <v>744</v>
      </c>
      <c r="AA94">
        <v>753</v>
      </c>
      <c r="AK94" t="s">
        <v>232</v>
      </c>
      <c r="AL94">
        <v>1</v>
      </c>
      <c r="AM94">
        <v>-4.5</v>
      </c>
      <c r="AN94">
        <v>1.8</v>
      </c>
      <c r="AO94" t="s">
        <v>100</v>
      </c>
      <c r="AP94">
        <v>72.5</v>
      </c>
      <c r="AQ94">
        <v>-263</v>
      </c>
      <c r="AR94">
        <v>355</v>
      </c>
      <c r="AT94">
        <v>8344</v>
      </c>
      <c r="AU94" t="s">
        <v>142</v>
      </c>
      <c r="AV94">
        <v>2</v>
      </c>
      <c r="AW94">
        <v>-2</v>
      </c>
      <c r="AX94">
        <v>2.1</v>
      </c>
      <c r="AZ94">
        <v>61.5</v>
      </c>
      <c r="BA94">
        <v>452</v>
      </c>
      <c r="BB94">
        <v>445</v>
      </c>
      <c r="BD94">
        <v>8308</v>
      </c>
      <c r="BE94" t="s">
        <v>142</v>
      </c>
      <c r="BF94">
        <v>4</v>
      </c>
      <c r="BG94">
        <v>1.1000000000000001</v>
      </c>
      <c r="BH94">
        <v>2.2000000000000002</v>
      </c>
      <c r="BJ94">
        <v>56</v>
      </c>
      <c r="BK94">
        <v>222</v>
      </c>
      <c r="BL94">
        <v>565</v>
      </c>
      <c r="BN94">
        <v>9736</v>
      </c>
      <c r="BO94" t="s">
        <v>142</v>
      </c>
      <c r="BP94" t="s">
        <v>815</v>
      </c>
      <c r="BQ94" t="s">
        <v>816</v>
      </c>
      <c r="BT94" t="s">
        <v>817</v>
      </c>
      <c r="BU94" t="s">
        <v>181</v>
      </c>
      <c r="BV94" t="s">
        <v>107</v>
      </c>
      <c r="BW94">
        <v>0</v>
      </c>
      <c r="BX94">
        <v>0</v>
      </c>
      <c r="BY94">
        <v>0</v>
      </c>
      <c r="BZ94">
        <v>0</v>
      </c>
      <c r="CA94">
        <v>0</v>
      </c>
      <c r="CB94">
        <v>0</v>
      </c>
      <c r="CC94">
        <v>0</v>
      </c>
      <c r="CD94">
        <v>0</v>
      </c>
      <c r="CE94">
        <v>2.6</v>
      </c>
      <c r="CF94">
        <v>21.5</v>
      </c>
      <c r="CG94">
        <v>9.5</v>
      </c>
      <c r="CH94">
        <v>31.9</v>
      </c>
    </row>
    <row r="95" spans="1:87" ht="44.1" customHeight="1" x14ac:dyDescent="0.55000000000000004">
      <c r="A95" t="s">
        <v>789</v>
      </c>
      <c r="B95" t="s">
        <v>818</v>
      </c>
      <c r="C95" s="13" t="s">
        <v>819</v>
      </c>
      <c r="D95" t="s">
        <v>820</v>
      </c>
      <c r="E95" t="s">
        <v>226</v>
      </c>
      <c r="F95">
        <v>1</v>
      </c>
      <c r="G95">
        <v>0</v>
      </c>
      <c r="H95">
        <v>1</v>
      </c>
      <c r="I95">
        <v>1</v>
      </c>
      <c r="J95" t="s">
        <v>821</v>
      </c>
      <c r="K95" t="s">
        <v>228</v>
      </c>
      <c r="L95" t="s">
        <v>94</v>
      </c>
      <c r="M95" t="s">
        <v>94</v>
      </c>
      <c r="N95" t="s">
        <v>813</v>
      </c>
      <c r="O95">
        <v>2002.4169999999999</v>
      </c>
      <c r="P95" t="s">
        <v>814</v>
      </c>
      <c r="Q95">
        <v>30.2</v>
      </c>
      <c r="R95">
        <v>7.8</v>
      </c>
      <c r="S95">
        <v>31.2</v>
      </c>
      <c r="T95">
        <v>20.5</v>
      </c>
      <c r="U95">
        <v>45.4</v>
      </c>
      <c r="V95">
        <v>41.8</v>
      </c>
      <c r="X95" t="s">
        <v>796</v>
      </c>
      <c r="Z95">
        <v>1532</v>
      </c>
      <c r="AA95">
        <v>753</v>
      </c>
      <c r="AK95" t="s">
        <v>232</v>
      </c>
      <c r="AL95">
        <v>1</v>
      </c>
      <c r="AM95">
        <v>-2.4</v>
      </c>
      <c r="AN95">
        <v>1.5</v>
      </c>
      <c r="AP95">
        <v>72.5</v>
      </c>
      <c r="AQ95">
        <v>-265</v>
      </c>
      <c r="AR95">
        <v>306</v>
      </c>
      <c r="AT95">
        <v>8344</v>
      </c>
      <c r="AU95" t="s">
        <v>142</v>
      </c>
      <c r="AV95">
        <v>2</v>
      </c>
      <c r="AW95">
        <v>-1.5</v>
      </c>
      <c r="AX95">
        <v>1.8</v>
      </c>
      <c r="AZ95">
        <v>61.5</v>
      </c>
      <c r="BA95">
        <v>-170</v>
      </c>
      <c r="BB95">
        <v>383</v>
      </c>
      <c r="BD95">
        <v>8308</v>
      </c>
      <c r="BE95" t="s">
        <v>142</v>
      </c>
      <c r="BF95">
        <v>4</v>
      </c>
      <c r="BG95">
        <v>-2.2999999999999998</v>
      </c>
      <c r="BH95">
        <v>1.9</v>
      </c>
      <c r="BJ95">
        <v>56</v>
      </c>
      <c r="BK95">
        <v>-502</v>
      </c>
      <c r="BL95">
        <v>487</v>
      </c>
      <c r="BN95">
        <v>9736</v>
      </c>
      <c r="BO95" t="s">
        <v>142</v>
      </c>
      <c r="BP95" t="s">
        <v>815</v>
      </c>
      <c r="BQ95" t="s">
        <v>822</v>
      </c>
      <c r="BT95" t="s">
        <v>823</v>
      </c>
      <c r="BU95" t="s">
        <v>181</v>
      </c>
      <c r="BV95" t="s">
        <v>107</v>
      </c>
      <c r="BW95">
        <v>0</v>
      </c>
      <c r="BX95">
        <v>0</v>
      </c>
      <c r="BY95">
        <v>0</v>
      </c>
      <c r="BZ95">
        <v>0</v>
      </c>
      <c r="CA95">
        <v>0</v>
      </c>
      <c r="CB95">
        <v>0</v>
      </c>
      <c r="CC95">
        <v>0</v>
      </c>
      <c r="CD95">
        <v>0</v>
      </c>
      <c r="CE95">
        <v>7.4</v>
      </c>
      <c r="CF95">
        <v>21.5</v>
      </c>
      <c r="CG95">
        <v>5.4</v>
      </c>
      <c r="CH95">
        <v>31.9</v>
      </c>
    </row>
    <row r="96" spans="1:87" ht="44.1" customHeight="1" x14ac:dyDescent="0.55000000000000004">
      <c r="A96" t="s">
        <v>789</v>
      </c>
      <c r="B96" t="s">
        <v>824</v>
      </c>
      <c r="C96" s="13" t="s">
        <v>825</v>
      </c>
      <c r="D96" t="s">
        <v>826</v>
      </c>
      <c r="E96" t="s">
        <v>226</v>
      </c>
      <c r="F96">
        <v>0</v>
      </c>
      <c r="G96">
        <v>0</v>
      </c>
      <c r="H96">
        <v>0</v>
      </c>
      <c r="I96">
        <v>1</v>
      </c>
      <c r="J96" t="s">
        <v>827</v>
      </c>
      <c r="K96" t="s">
        <v>93</v>
      </c>
      <c r="L96" t="s">
        <v>94</v>
      </c>
      <c r="M96" t="s">
        <v>95</v>
      </c>
      <c r="N96" t="s">
        <v>828</v>
      </c>
      <c r="O96">
        <v>2003.4169999999999</v>
      </c>
      <c r="P96" t="s">
        <v>829</v>
      </c>
      <c r="Q96">
        <v>32.700000000000003</v>
      </c>
      <c r="R96">
        <v>18.100000000000001</v>
      </c>
      <c r="S96">
        <v>34.4</v>
      </c>
      <c r="T96">
        <v>56.4</v>
      </c>
      <c r="U96">
        <v>5.7</v>
      </c>
      <c r="V96">
        <v>26.3</v>
      </c>
      <c r="X96" t="s">
        <v>830</v>
      </c>
      <c r="Z96">
        <v>381</v>
      </c>
      <c r="AA96">
        <v>316</v>
      </c>
      <c r="AK96" t="s">
        <v>232</v>
      </c>
      <c r="AL96">
        <v>1</v>
      </c>
      <c r="AM96">
        <v>2.8</v>
      </c>
      <c r="AN96">
        <v>1.7</v>
      </c>
      <c r="AP96">
        <v>87.7</v>
      </c>
      <c r="AQ96">
        <v>317</v>
      </c>
      <c r="AR96">
        <v>569</v>
      </c>
      <c r="AT96">
        <v>15018</v>
      </c>
      <c r="AU96" t="s">
        <v>142</v>
      </c>
      <c r="AV96">
        <v>2</v>
      </c>
      <c r="AW96">
        <v>-0.2</v>
      </c>
      <c r="AX96">
        <v>2.5</v>
      </c>
      <c r="AZ96">
        <v>82.1</v>
      </c>
      <c r="BA96">
        <v>-263</v>
      </c>
      <c r="BB96">
        <v>719</v>
      </c>
      <c r="BD96">
        <v>14536</v>
      </c>
      <c r="BE96" t="s">
        <v>142</v>
      </c>
      <c r="BF96">
        <v>3</v>
      </c>
      <c r="BG96">
        <v>1.4</v>
      </c>
      <c r="BH96">
        <v>2.8</v>
      </c>
      <c r="BJ96">
        <v>76</v>
      </c>
      <c r="BK96">
        <v>-368</v>
      </c>
      <c r="BL96">
        <v>781</v>
      </c>
      <c r="BN96">
        <v>14146</v>
      </c>
      <c r="BO96" t="s">
        <v>142</v>
      </c>
      <c r="BP96" t="s">
        <v>831</v>
      </c>
      <c r="BQ96" t="s">
        <v>832</v>
      </c>
      <c r="BT96" t="s">
        <v>833</v>
      </c>
      <c r="BU96" t="s">
        <v>327</v>
      </c>
      <c r="BV96" t="s">
        <v>107</v>
      </c>
      <c r="BW96">
        <v>0</v>
      </c>
      <c r="BX96">
        <v>0</v>
      </c>
      <c r="BY96">
        <v>1</v>
      </c>
      <c r="BZ96">
        <v>0</v>
      </c>
      <c r="CA96">
        <v>0</v>
      </c>
      <c r="CB96">
        <v>0</v>
      </c>
      <c r="CC96">
        <v>0</v>
      </c>
      <c r="CD96">
        <v>0</v>
      </c>
      <c r="CE96">
        <v>11</v>
      </c>
      <c r="CF96">
        <v>27.5</v>
      </c>
      <c r="CG96">
        <v>-8.3000000000000007</v>
      </c>
      <c r="CH96">
        <v>37.299999999999997</v>
      </c>
    </row>
    <row r="97" spans="1:87" ht="44.1" customHeight="1" x14ac:dyDescent="0.55000000000000004">
      <c r="A97" t="s">
        <v>789</v>
      </c>
      <c r="B97" t="s">
        <v>834</v>
      </c>
      <c r="C97" s="13" t="s">
        <v>835</v>
      </c>
      <c r="D97" t="s">
        <v>836</v>
      </c>
      <c r="E97" t="s">
        <v>226</v>
      </c>
      <c r="F97">
        <v>0</v>
      </c>
      <c r="G97">
        <v>0</v>
      </c>
      <c r="H97">
        <v>1</v>
      </c>
      <c r="I97">
        <v>1</v>
      </c>
      <c r="J97" t="s">
        <v>837</v>
      </c>
      <c r="K97" t="s">
        <v>93</v>
      </c>
      <c r="L97" t="s">
        <v>94</v>
      </c>
      <c r="M97" t="s">
        <v>136</v>
      </c>
      <c r="N97" t="s">
        <v>838</v>
      </c>
      <c r="O97">
        <v>2002.5</v>
      </c>
      <c r="P97" t="s">
        <v>839</v>
      </c>
      <c r="Q97">
        <v>29.4</v>
      </c>
      <c r="R97">
        <v>7.5</v>
      </c>
      <c r="S97">
        <v>84.8</v>
      </c>
      <c r="T97">
        <v>3.1</v>
      </c>
      <c r="U97">
        <v>6.3</v>
      </c>
      <c r="V97">
        <v>19.5</v>
      </c>
      <c r="X97" t="s">
        <v>840</v>
      </c>
      <c r="Z97">
        <v>585</v>
      </c>
      <c r="AA97">
        <v>594</v>
      </c>
      <c r="AK97" t="s">
        <v>232</v>
      </c>
      <c r="AL97">
        <v>1</v>
      </c>
      <c r="AM97">
        <v>2.1</v>
      </c>
      <c r="AN97">
        <v>2</v>
      </c>
      <c r="AP97">
        <v>69</v>
      </c>
      <c r="AQ97">
        <v>40</v>
      </c>
      <c r="AR97">
        <v>398</v>
      </c>
      <c r="AT97">
        <v>8365</v>
      </c>
      <c r="AU97" t="s">
        <v>142</v>
      </c>
      <c r="AV97">
        <v>2</v>
      </c>
      <c r="AW97">
        <v>-0.1</v>
      </c>
      <c r="AX97">
        <v>2.2999999999999998</v>
      </c>
      <c r="AZ97">
        <v>61.4</v>
      </c>
      <c r="BA97">
        <v>176</v>
      </c>
      <c r="BB97">
        <v>474</v>
      </c>
      <c r="BD97">
        <v>8303</v>
      </c>
      <c r="BE97" t="s">
        <v>142</v>
      </c>
      <c r="BF97">
        <v>3</v>
      </c>
      <c r="BG97">
        <v>-6.5</v>
      </c>
      <c r="BH97">
        <v>2.4</v>
      </c>
      <c r="BI97" t="s">
        <v>141</v>
      </c>
      <c r="BJ97">
        <v>57.8</v>
      </c>
      <c r="BK97">
        <v>-854</v>
      </c>
      <c r="BL97">
        <v>526</v>
      </c>
      <c r="BN97">
        <v>8543</v>
      </c>
      <c r="BO97" t="s">
        <v>142</v>
      </c>
      <c r="BP97" t="s">
        <v>841</v>
      </c>
      <c r="BQ97" t="s">
        <v>842</v>
      </c>
      <c r="BT97" t="s">
        <v>843</v>
      </c>
      <c r="BU97" t="s">
        <v>354</v>
      </c>
      <c r="BV97" t="s">
        <v>107</v>
      </c>
      <c r="BW97">
        <v>0</v>
      </c>
      <c r="BX97">
        <v>0</v>
      </c>
      <c r="BY97">
        <v>0</v>
      </c>
      <c r="BZ97">
        <v>0</v>
      </c>
      <c r="CA97">
        <v>0</v>
      </c>
      <c r="CB97">
        <v>0</v>
      </c>
      <c r="CC97">
        <v>0</v>
      </c>
      <c r="CD97">
        <v>0</v>
      </c>
      <c r="CE97">
        <v>16</v>
      </c>
      <c r="CF97">
        <v>22</v>
      </c>
      <c r="CG97">
        <v>-3.4</v>
      </c>
      <c r="CH97">
        <v>25.1</v>
      </c>
    </row>
    <row r="98" spans="1:87" ht="44.1" customHeight="1" x14ac:dyDescent="0.55000000000000004">
      <c r="A98" t="s">
        <v>789</v>
      </c>
      <c r="B98" t="s">
        <v>844</v>
      </c>
      <c r="C98" s="13" t="s">
        <v>845</v>
      </c>
      <c r="D98" t="s">
        <v>846</v>
      </c>
      <c r="E98" t="s">
        <v>226</v>
      </c>
      <c r="F98">
        <v>0</v>
      </c>
      <c r="G98">
        <v>0</v>
      </c>
      <c r="H98">
        <v>1</v>
      </c>
      <c r="I98">
        <v>1</v>
      </c>
      <c r="J98" t="s">
        <v>847</v>
      </c>
      <c r="K98" t="s">
        <v>93</v>
      </c>
      <c r="L98" t="s">
        <v>94</v>
      </c>
      <c r="M98" t="s">
        <v>136</v>
      </c>
      <c r="N98" t="s">
        <v>838</v>
      </c>
      <c r="O98">
        <v>2002.5</v>
      </c>
      <c r="P98" t="s">
        <v>848</v>
      </c>
      <c r="Q98">
        <v>31.3</v>
      </c>
      <c r="R98">
        <v>8.9</v>
      </c>
      <c r="S98">
        <v>89.9</v>
      </c>
      <c r="T98">
        <v>1.4</v>
      </c>
      <c r="U98">
        <v>4.5999999999999996</v>
      </c>
      <c r="V98">
        <v>21</v>
      </c>
      <c r="X98" t="s">
        <v>849</v>
      </c>
      <c r="Z98">
        <v>590</v>
      </c>
      <c r="AA98">
        <v>574</v>
      </c>
      <c r="AK98" t="s">
        <v>232</v>
      </c>
      <c r="AL98">
        <v>1</v>
      </c>
      <c r="AM98">
        <v>-2.7</v>
      </c>
      <c r="AN98">
        <v>1.8</v>
      </c>
      <c r="AP98">
        <v>79.400000000000006</v>
      </c>
      <c r="AQ98">
        <v>-416</v>
      </c>
      <c r="AR98">
        <v>377</v>
      </c>
      <c r="AT98">
        <v>10351</v>
      </c>
      <c r="AU98" t="s">
        <v>142</v>
      </c>
      <c r="AV98">
        <v>2</v>
      </c>
      <c r="AW98">
        <v>-0.8</v>
      </c>
      <c r="AX98">
        <v>2.2000000000000002</v>
      </c>
      <c r="AZ98">
        <v>71.3</v>
      </c>
      <c r="BA98">
        <v>-496</v>
      </c>
      <c r="BB98">
        <v>464</v>
      </c>
      <c r="BD98">
        <v>10259</v>
      </c>
      <c r="BE98" t="s">
        <v>142</v>
      </c>
      <c r="BF98">
        <v>3</v>
      </c>
      <c r="BG98">
        <v>-0.3</v>
      </c>
      <c r="BH98">
        <v>2.2999999999999998</v>
      </c>
      <c r="BJ98">
        <v>67.8</v>
      </c>
      <c r="BK98">
        <v>-517</v>
      </c>
      <c r="BL98">
        <v>538</v>
      </c>
      <c r="BN98">
        <v>10851</v>
      </c>
      <c r="BO98" t="s">
        <v>142</v>
      </c>
      <c r="BP98" t="s">
        <v>850</v>
      </c>
      <c r="BQ98" t="s">
        <v>851</v>
      </c>
      <c r="BT98" t="s">
        <v>852</v>
      </c>
      <c r="BU98" t="s">
        <v>354</v>
      </c>
      <c r="BV98" t="s">
        <v>246</v>
      </c>
      <c r="BW98">
        <v>0</v>
      </c>
      <c r="BX98">
        <v>0</v>
      </c>
      <c r="BY98">
        <v>0</v>
      </c>
      <c r="BZ98">
        <v>0</v>
      </c>
      <c r="CA98">
        <v>0</v>
      </c>
      <c r="CB98">
        <v>0</v>
      </c>
      <c r="CC98">
        <v>0</v>
      </c>
      <c r="CD98">
        <v>0</v>
      </c>
      <c r="CE98">
        <v>8.8000000000000007</v>
      </c>
      <c r="CF98">
        <v>16.100000000000001</v>
      </c>
      <c r="CG98">
        <v>8.6999999999999993</v>
      </c>
      <c r="CH98">
        <v>21.6</v>
      </c>
    </row>
    <row r="99" spans="1:87" ht="44.1" customHeight="1" x14ac:dyDescent="0.55000000000000004">
      <c r="A99" t="s">
        <v>789</v>
      </c>
      <c r="B99" t="s">
        <v>853</v>
      </c>
      <c r="C99" s="13" t="s">
        <v>854</v>
      </c>
      <c r="D99" t="s">
        <v>855</v>
      </c>
      <c r="E99" t="s">
        <v>226</v>
      </c>
      <c r="F99">
        <v>0</v>
      </c>
      <c r="G99">
        <v>0</v>
      </c>
      <c r="H99">
        <v>1</v>
      </c>
      <c r="I99">
        <v>1</v>
      </c>
      <c r="J99" t="s">
        <v>856</v>
      </c>
      <c r="K99" t="s">
        <v>93</v>
      </c>
      <c r="L99" t="s">
        <v>94</v>
      </c>
      <c r="M99" t="s">
        <v>136</v>
      </c>
      <c r="N99" t="s">
        <v>838</v>
      </c>
      <c r="O99">
        <v>2002.5</v>
      </c>
      <c r="P99" t="s">
        <v>857</v>
      </c>
      <c r="Q99">
        <v>31.5</v>
      </c>
      <c r="R99">
        <v>10</v>
      </c>
      <c r="S99">
        <v>31.6</v>
      </c>
      <c r="T99">
        <v>16.399999999999999</v>
      </c>
      <c r="U99">
        <v>49.4</v>
      </c>
      <c r="V99">
        <v>42.7</v>
      </c>
      <c r="X99" t="s">
        <v>858</v>
      </c>
      <c r="Z99">
        <v>1627</v>
      </c>
      <c r="AA99">
        <v>1143</v>
      </c>
      <c r="AK99" t="s">
        <v>232</v>
      </c>
      <c r="AL99">
        <v>1</v>
      </c>
      <c r="AM99">
        <v>2.6</v>
      </c>
      <c r="AN99">
        <v>1.4</v>
      </c>
      <c r="AO99" t="s">
        <v>112</v>
      </c>
      <c r="AP99">
        <v>61.9</v>
      </c>
      <c r="AQ99">
        <v>852</v>
      </c>
      <c r="AR99">
        <v>287</v>
      </c>
      <c r="AS99" t="s">
        <v>141</v>
      </c>
      <c r="AT99">
        <v>8269</v>
      </c>
      <c r="AU99" t="s">
        <v>142</v>
      </c>
      <c r="AV99">
        <v>2</v>
      </c>
      <c r="AW99">
        <v>4.2</v>
      </c>
      <c r="AX99">
        <v>1.6</v>
      </c>
      <c r="AY99" t="s">
        <v>141</v>
      </c>
      <c r="AZ99">
        <v>55.5</v>
      </c>
      <c r="BA99">
        <v>869</v>
      </c>
      <c r="BB99">
        <v>356</v>
      </c>
      <c r="BC99" t="s">
        <v>100</v>
      </c>
      <c r="BD99">
        <v>8385</v>
      </c>
      <c r="BE99" t="s">
        <v>142</v>
      </c>
      <c r="BF99">
        <v>4</v>
      </c>
      <c r="BG99">
        <v>3.4</v>
      </c>
      <c r="BH99">
        <v>1.7</v>
      </c>
      <c r="BI99" t="s">
        <v>100</v>
      </c>
      <c r="BJ99">
        <v>53.4</v>
      </c>
      <c r="BK99">
        <v>967</v>
      </c>
      <c r="BL99">
        <v>451</v>
      </c>
      <c r="BM99" t="s">
        <v>100</v>
      </c>
      <c r="BN99">
        <v>9643</v>
      </c>
      <c r="BO99" t="s">
        <v>142</v>
      </c>
      <c r="BP99" t="s">
        <v>859</v>
      </c>
      <c r="BQ99" t="s">
        <v>860</v>
      </c>
      <c r="BR99">
        <v>1031</v>
      </c>
      <c r="BS99">
        <v>5082</v>
      </c>
      <c r="BT99" t="s">
        <v>861</v>
      </c>
      <c r="BU99" t="s">
        <v>181</v>
      </c>
      <c r="BV99" t="s">
        <v>107</v>
      </c>
      <c r="BW99">
        <v>0</v>
      </c>
      <c r="BX99">
        <v>0</v>
      </c>
      <c r="BY99">
        <v>1</v>
      </c>
      <c r="BZ99">
        <v>0</v>
      </c>
      <c r="CA99">
        <v>0</v>
      </c>
      <c r="CB99">
        <v>0</v>
      </c>
      <c r="CC99">
        <v>0</v>
      </c>
      <c r="CD99">
        <v>0</v>
      </c>
      <c r="CE99">
        <v>4.4000000000000004</v>
      </c>
      <c r="CF99">
        <v>20</v>
      </c>
      <c r="CG99">
        <v>2.2000000000000002</v>
      </c>
      <c r="CH99">
        <v>39.9</v>
      </c>
    </row>
    <row r="100" spans="1:87" ht="44.1" customHeight="1" x14ac:dyDescent="0.55000000000000004">
      <c r="A100" t="s">
        <v>862</v>
      </c>
      <c r="B100" t="s">
        <v>863</v>
      </c>
      <c r="C100" s="13" t="s">
        <v>864</v>
      </c>
      <c r="D100" t="s">
        <v>865</v>
      </c>
      <c r="E100" t="s">
        <v>226</v>
      </c>
      <c r="F100">
        <v>0</v>
      </c>
      <c r="G100">
        <v>1</v>
      </c>
      <c r="H100">
        <v>1</v>
      </c>
      <c r="I100">
        <v>1</v>
      </c>
      <c r="J100" t="s">
        <v>866</v>
      </c>
      <c r="K100" t="s">
        <v>93</v>
      </c>
      <c r="L100" t="s">
        <v>136</v>
      </c>
      <c r="M100" t="s">
        <v>95</v>
      </c>
      <c r="N100" t="s">
        <v>867</v>
      </c>
      <c r="O100">
        <v>2007.875</v>
      </c>
      <c r="P100" t="s">
        <v>868</v>
      </c>
      <c r="Q100">
        <v>35.1</v>
      </c>
      <c r="R100">
        <v>100</v>
      </c>
      <c r="S100">
        <v>3.2</v>
      </c>
      <c r="T100">
        <v>89.7</v>
      </c>
      <c r="U100">
        <v>6.5</v>
      </c>
      <c r="V100">
        <v>39.299999999999997</v>
      </c>
      <c r="X100" t="s">
        <v>869</v>
      </c>
      <c r="Z100">
        <v>189</v>
      </c>
      <c r="AA100">
        <v>185</v>
      </c>
      <c r="AK100" t="s">
        <v>232</v>
      </c>
      <c r="AL100">
        <v>1</v>
      </c>
      <c r="AM100">
        <v>-12.9</v>
      </c>
      <c r="AN100">
        <v>5.4</v>
      </c>
      <c r="AO100" t="s">
        <v>100</v>
      </c>
      <c r="AP100">
        <v>54.4</v>
      </c>
      <c r="AQ100">
        <v>-540</v>
      </c>
      <c r="AR100">
        <v>474.4</v>
      </c>
      <c r="AT100">
        <v>2369</v>
      </c>
      <c r="AU100" t="s">
        <v>142</v>
      </c>
      <c r="BP100" t="s">
        <v>870</v>
      </c>
      <c r="BQ100" t="s">
        <v>871</v>
      </c>
      <c r="BR100">
        <v>4756</v>
      </c>
      <c r="BU100" t="s">
        <v>185</v>
      </c>
      <c r="BV100" t="s">
        <v>107</v>
      </c>
      <c r="BW100">
        <v>0</v>
      </c>
      <c r="BX100">
        <v>0</v>
      </c>
      <c r="BY100">
        <v>1</v>
      </c>
      <c r="BZ100">
        <v>1</v>
      </c>
      <c r="CA100">
        <v>0</v>
      </c>
      <c r="CB100">
        <v>1</v>
      </c>
      <c r="CC100">
        <v>0</v>
      </c>
      <c r="CD100">
        <v>0</v>
      </c>
      <c r="CE100">
        <v>87.3</v>
      </c>
      <c r="CF100">
        <v>0</v>
      </c>
      <c r="CI100">
        <v>4</v>
      </c>
    </row>
    <row r="101" spans="1:87" ht="44.1" customHeight="1" x14ac:dyDescent="0.55000000000000004">
      <c r="A101" t="s">
        <v>862</v>
      </c>
      <c r="B101" t="s">
        <v>872</v>
      </c>
      <c r="C101" s="13" t="s">
        <v>873</v>
      </c>
      <c r="D101" t="s">
        <v>865</v>
      </c>
      <c r="E101" t="s">
        <v>226</v>
      </c>
      <c r="F101">
        <v>0</v>
      </c>
      <c r="G101">
        <v>1</v>
      </c>
      <c r="H101">
        <v>1</v>
      </c>
      <c r="I101">
        <v>1</v>
      </c>
      <c r="J101" t="s">
        <v>866</v>
      </c>
      <c r="K101" t="s">
        <v>93</v>
      </c>
      <c r="L101" t="s">
        <v>136</v>
      </c>
      <c r="M101" t="s">
        <v>95</v>
      </c>
      <c r="N101" t="s">
        <v>867</v>
      </c>
      <c r="O101">
        <v>2007.875</v>
      </c>
      <c r="P101" t="s">
        <v>868</v>
      </c>
      <c r="Q101">
        <v>36.6</v>
      </c>
      <c r="R101">
        <v>100</v>
      </c>
      <c r="S101">
        <v>6.6</v>
      </c>
      <c r="T101">
        <v>88.6</v>
      </c>
      <c r="U101">
        <v>2.8</v>
      </c>
      <c r="V101">
        <v>21.4</v>
      </c>
      <c r="X101" t="s">
        <v>869</v>
      </c>
      <c r="Z101">
        <v>233</v>
      </c>
      <c r="AA101">
        <v>193</v>
      </c>
      <c r="AK101" t="s">
        <v>232</v>
      </c>
      <c r="AL101">
        <v>1</v>
      </c>
      <c r="AM101">
        <v>5.4</v>
      </c>
      <c r="AN101">
        <v>5</v>
      </c>
      <c r="AP101">
        <v>33.1</v>
      </c>
      <c r="AQ101">
        <v>448</v>
      </c>
      <c r="AR101">
        <v>520.20000000000005</v>
      </c>
      <c r="AT101">
        <v>1252</v>
      </c>
      <c r="AU101" t="s">
        <v>142</v>
      </c>
      <c r="BP101" t="s">
        <v>870</v>
      </c>
      <c r="BQ101" t="s">
        <v>874</v>
      </c>
      <c r="BR101">
        <v>4041</v>
      </c>
      <c r="BU101" t="s">
        <v>313</v>
      </c>
      <c r="BV101" t="s">
        <v>107</v>
      </c>
      <c r="BW101">
        <v>0</v>
      </c>
      <c r="BX101">
        <v>0</v>
      </c>
      <c r="BY101">
        <v>1</v>
      </c>
      <c r="BZ101">
        <v>0</v>
      </c>
      <c r="CA101">
        <v>0</v>
      </c>
      <c r="CB101">
        <v>1</v>
      </c>
      <c r="CC101">
        <v>0</v>
      </c>
      <c r="CD101">
        <v>0</v>
      </c>
      <c r="CE101">
        <v>87.7</v>
      </c>
      <c r="CF101">
        <v>0</v>
      </c>
      <c r="CI101">
        <v>4</v>
      </c>
    </row>
    <row r="102" spans="1:87" ht="44.1" customHeight="1" x14ac:dyDescent="0.55000000000000004">
      <c r="A102" t="s">
        <v>862</v>
      </c>
      <c r="B102" t="s">
        <v>875</v>
      </c>
      <c r="C102" s="13" t="s">
        <v>876</v>
      </c>
      <c r="D102" t="s">
        <v>865</v>
      </c>
      <c r="E102" t="s">
        <v>226</v>
      </c>
      <c r="F102">
        <v>0</v>
      </c>
      <c r="G102">
        <v>1</v>
      </c>
      <c r="H102">
        <v>1</v>
      </c>
      <c r="I102">
        <v>1</v>
      </c>
      <c r="J102" t="s">
        <v>866</v>
      </c>
      <c r="K102" t="s">
        <v>93</v>
      </c>
      <c r="L102" t="s">
        <v>136</v>
      </c>
      <c r="M102" t="s">
        <v>95</v>
      </c>
      <c r="N102" t="s">
        <v>867</v>
      </c>
      <c r="O102">
        <v>2007.875</v>
      </c>
      <c r="P102" t="s">
        <v>868</v>
      </c>
      <c r="Q102">
        <v>33.200000000000003</v>
      </c>
      <c r="R102">
        <v>100</v>
      </c>
      <c r="S102">
        <v>6.9</v>
      </c>
      <c r="T102">
        <v>88.6</v>
      </c>
      <c r="U102">
        <v>2.4</v>
      </c>
      <c r="V102">
        <v>24.3</v>
      </c>
      <c r="X102" t="s">
        <v>869</v>
      </c>
      <c r="Z102">
        <v>257</v>
      </c>
      <c r="AA102">
        <v>250</v>
      </c>
      <c r="AK102" t="s">
        <v>232</v>
      </c>
      <c r="AL102">
        <v>1</v>
      </c>
      <c r="AM102">
        <v>-8.3000000000000007</v>
      </c>
      <c r="AN102">
        <v>4.3</v>
      </c>
      <c r="AO102" t="s">
        <v>112</v>
      </c>
      <c r="AP102">
        <v>66.5</v>
      </c>
      <c r="AQ102">
        <v>-98</v>
      </c>
      <c r="AR102">
        <v>533.6</v>
      </c>
      <c r="AT102">
        <v>3004</v>
      </c>
      <c r="AU102" t="s">
        <v>142</v>
      </c>
      <c r="BP102" t="s">
        <v>870</v>
      </c>
      <c r="BQ102" t="s">
        <v>877</v>
      </c>
      <c r="BR102">
        <v>3551</v>
      </c>
      <c r="BU102" t="s">
        <v>399</v>
      </c>
      <c r="BV102" t="s">
        <v>107</v>
      </c>
      <c r="BW102">
        <v>0</v>
      </c>
      <c r="BX102">
        <v>0</v>
      </c>
      <c r="BY102">
        <v>1</v>
      </c>
      <c r="BZ102">
        <v>0</v>
      </c>
      <c r="CA102">
        <v>0</v>
      </c>
      <c r="CB102">
        <v>1</v>
      </c>
      <c r="CC102">
        <v>0</v>
      </c>
      <c r="CD102">
        <v>0</v>
      </c>
      <c r="CE102">
        <v>69.900000000000006</v>
      </c>
      <c r="CF102">
        <v>0</v>
      </c>
      <c r="CI102">
        <v>4</v>
      </c>
    </row>
    <row r="103" spans="1:87" ht="44.1" customHeight="1" x14ac:dyDescent="0.55000000000000004">
      <c r="A103" t="s">
        <v>862</v>
      </c>
      <c r="B103" t="s">
        <v>878</v>
      </c>
      <c r="C103" s="13" t="s">
        <v>879</v>
      </c>
      <c r="D103" t="s">
        <v>865</v>
      </c>
      <c r="E103" t="s">
        <v>226</v>
      </c>
      <c r="F103">
        <v>0</v>
      </c>
      <c r="G103">
        <v>1</v>
      </c>
      <c r="H103">
        <v>1</v>
      </c>
      <c r="I103">
        <v>1</v>
      </c>
      <c r="J103" t="s">
        <v>866</v>
      </c>
      <c r="K103" t="s">
        <v>93</v>
      </c>
      <c r="L103" t="s">
        <v>136</v>
      </c>
      <c r="M103" t="s">
        <v>95</v>
      </c>
      <c r="N103" t="s">
        <v>867</v>
      </c>
      <c r="O103">
        <v>2007.875</v>
      </c>
      <c r="P103" t="s">
        <v>868</v>
      </c>
      <c r="Q103">
        <v>34.200000000000003</v>
      </c>
      <c r="R103">
        <v>100</v>
      </c>
      <c r="S103">
        <v>20.2</v>
      </c>
      <c r="T103">
        <v>65.5</v>
      </c>
      <c r="U103">
        <v>4.8</v>
      </c>
      <c r="V103">
        <v>17.100000000000001</v>
      </c>
      <c r="X103" t="s">
        <v>869</v>
      </c>
      <c r="Z103">
        <v>253</v>
      </c>
      <c r="AA103">
        <v>253</v>
      </c>
      <c r="AK103" t="s">
        <v>232</v>
      </c>
      <c r="AL103">
        <v>1</v>
      </c>
      <c r="AM103">
        <v>-15.5</v>
      </c>
      <c r="AN103">
        <v>4.2</v>
      </c>
      <c r="AO103" t="s">
        <v>141</v>
      </c>
      <c r="AP103">
        <v>74.5</v>
      </c>
      <c r="AQ103">
        <v>-1813</v>
      </c>
      <c r="AR103">
        <v>507.8</v>
      </c>
      <c r="AS103" t="s">
        <v>141</v>
      </c>
      <c r="AT103">
        <v>4394</v>
      </c>
      <c r="AU103" t="s">
        <v>142</v>
      </c>
      <c r="BP103" t="s">
        <v>880</v>
      </c>
      <c r="BQ103" t="s">
        <v>881</v>
      </c>
      <c r="BR103">
        <v>4889</v>
      </c>
      <c r="BU103" t="s">
        <v>504</v>
      </c>
      <c r="BV103" t="s">
        <v>107</v>
      </c>
      <c r="BW103">
        <v>0</v>
      </c>
      <c r="BX103">
        <v>0</v>
      </c>
      <c r="BY103">
        <v>1</v>
      </c>
      <c r="BZ103">
        <v>0</v>
      </c>
      <c r="CA103">
        <v>0</v>
      </c>
      <c r="CB103">
        <v>1</v>
      </c>
      <c r="CC103">
        <v>0</v>
      </c>
      <c r="CD103">
        <v>0</v>
      </c>
      <c r="CE103">
        <v>97.2</v>
      </c>
      <c r="CF103">
        <v>0</v>
      </c>
      <c r="CI103">
        <v>4</v>
      </c>
    </row>
    <row r="104" spans="1:87" ht="44.1" customHeight="1" x14ac:dyDescent="0.55000000000000004">
      <c r="A104" t="s">
        <v>882</v>
      </c>
      <c r="B104" t="s">
        <v>471</v>
      </c>
      <c r="C104" s="13" t="s">
        <v>883</v>
      </c>
      <c r="D104" t="s">
        <v>884</v>
      </c>
      <c r="E104" t="s">
        <v>226</v>
      </c>
      <c r="F104">
        <v>0</v>
      </c>
      <c r="G104">
        <v>1</v>
      </c>
      <c r="H104">
        <v>1</v>
      </c>
      <c r="I104">
        <v>1</v>
      </c>
      <c r="J104" t="s">
        <v>885</v>
      </c>
      <c r="K104" t="s">
        <v>93</v>
      </c>
      <c r="L104" t="s">
        <v>94</v>
      </c>
      <c r="M104" t="s">
        <v>95</v>
      </c>
      <c r="N104" t="s">
        <v>886</v>
      </c>
      <c r="O104">
        <v>2004.9169999999999</v>
      </c>
      <c r="P104" t="s">
        <v>887</v>
      </c>
      <c r="Q104">
        <v>33.700000000000003</v>
      </c>
      <c r="R104">
        <v>93</v>
      </c>
      <c r="S104">
        <v>1.8</v>
      </c>
      <c r="T104">
        <v>64.400000000000006</v>
      </c>
      <c r="U104">
        <v>30.6</v>
      </c>
      <c r="V104">
        <v>42.3</v>
      </c>
      <c r="X104" t="s">
        <v>888</v>
      </c>
      <c r="Z104">
        <v>568</v>
      </c>
      <c r="AA104">
        <v>409</v>
      </c>
      <c r="AK104" t="s">
        <v>889</v>
      </c>
      <c r="AV104">
        <v>3</v>
      </c>
      <c r="AW104">
        <v>1.1000000000000001</v>
      </c>
      <c r="AX104">
        <v>2.2000000000000002</v>
      </c>
      <c r="AZ104">
        <v>27.2</v>
      </c>
      <c r="BA104">
        <v>486</v>
      </c>
      <c r="BB104">
        <v>1332.6</v>
      </c>
      <c r="BD104">
        <v>9834</v>
      </c>
      <c r="BE104" t="s">
        <v>890</v>
      </c>
      <c r="BP104" t="s">
        <v>891</v>
      </c>
      <c r="BQ104" t="s">
        <v>892</v>
      </c>
      <c r="BR104">
        <v>4807</v>
      </c>
      <c r="BU104" t="s">
        <v>217</v>
      </c>
      <c r="BV104" t="s">
        <v>107</v>
      </c>
      <c r="BW104">
        <v>0</v>
      </c>
      <c r="BX104">
        <v>0</v>
      </c>
      <c r="BY104">
        <v>1</v>
      </c>
      <c r="BZ104">
        <v>0</v>
      </c>
      <c r="CA104">
        <v>0</v>
      </c>
      <c r="CB104">
        <v>1</v>
      </c>
      <c r="CC104">
        <v>0</v>
      </c>
      <c r="CD104">
        <v>0</v>
      </c>
      <c r="CE104">
        <v>68.3</v>
      </c>
      <c r="CF104">
        <v>2.2000000000000002</v>
      </c>
      <c r="CG104">
        <v>-2.6</v>
      </c>
      <c r="CH104">
        <v>29.1</v>
      </c>
      <c r="CI104">
        <v>2</v>
      </c>
    </row>
    <row r="105" spans="1:87" ht="44.1" customHeight="1" x14ac:dyDescent="0.55000000000000004">
      <c r="A105" t="s">
        <v>893</v>
      </c>
      <c r="B105" t="s">
        <v>894</v>
      </c>
      <c r="C105" s="13" t="s">
        <v>895</v>
      </c>
      <c r="D105" t="s">
        <v>896</v>
      </c>
      <c r="E105" t="s">
        <v>226</v>
      </c>
      <c r="F105">
        <v>1</v>
      </c>
      <c r="G105">
        <v>1</v>
      </c>
      <c r="H105">
        <v>1</v>
      </c>
      <c r="I105">
        <v>1</v>
      </c>
      <c r="J105" t="s">
        <v>897</v>
      </c>
      <c r="K105" t="s">
        <v>228</v>
      </c>
      <c r="L105" t="s">
        <v>94</v>
      </c>
      <c r="M105" t="s">
        <v>95</v>
      </c>
      <c r="N105" t="s">
        <v>898</v>
      </c>
      <c r="O105">
        <v>2005.5830000000001</v>
      </c>
      <c r="P105" t="s">
        <v>899</v>
      </c>
      <c r="Q105">
        <v>29.5</v>
      </c>
      <c r="R105">
        <v>0</v>
      </c>
      <c r="S105">
        <v>2.6</v>
      </c>
      <c r="T105">
        <v>78.8</v>
      </c>
      <c r="U105">
        <v>17.100000000000001</v>
      </c>
      <c r="V105">
        <v>55.1</v>
      </c>
      <c r="X105" t="s">
        <v>900</v>
      </c>
      <c r="Z105">
        <v>731</v>
      </c>
      <c r="AA105">
        <v>486</v>
      </c>
      <c r="AK105" t="s">
        <v>438</v>
      </c>
      <c r="AL105">
        <v>1</v>
      </c>
      <c r="AM105">
        <v>4.2</v>
      </c>
      <c r="AN105">
        <v>2.7</v>
      </c>
      <c r="AP105">
        <v>31</v>
      </c>
      <c r="AQ105">
        <v>110</v>
      </c>
      <c r="AR105">
        <v>93.8</v>
      </c>
      <c r="AT105">
        <v>801</v>
      </c>
      <c r="AU105" t="s">
        <v>777</v>
      </c>
      <c r="AV105">
        <v>2</v>
      </c>
      <c r="AW105">
        <v>-0.2</v>
      </c>
      <c r="AX105">
        <v>2.9</v>
      </c>
      <c r="AZ105">
        <v>40.5</v>
      </c>
      <c r="BA105">
        <v>-68</v>
      </c>
      <c r="BB105">
        <v>114.7</v>
      </c>
      <c r="BD105">
        <v>1181</v>
      </c>
      <c r="BE105" t="s">
        <v>777</v>
      </c>
      <c r="BF105">
        <v>4</v>
      </c>
      <c r="BG105">
        <v>-2.6</v>
      </c>
      <c r="BH105">
        <v>2.8</v>
      </c>
      <c r="BJ105">
        <v>37.700000000000003</v>
      </c>
      <c r="BK105">
        <v>-217</v>
      </c>
      <c r="BL105">
        <v>137.30000000000001</v>
      </c>
      <c r="BN105">
        <v>1484</v>
      </c>
      <c r="BO105" t="s">
        <v>777</v>
      </c>
      <c r="BP105" t="s">
        <v>901</v>
      </c>
      <c r="BQ105" t="s">
        <v>902</v>
      </c>
      <c r="BR105">
        <v>3500</v>
      </c>
      <c r="BT105" t="s">
        <v>903</v>
      </c>
      <c r="BU105" t="s">
        <v>189</v>
      </c>
      <c r="BV105" t="s">
        <v>107</v>
      </c>
      <c r="BW105">
        <v>0</v>
      </c>
      <c r="BX105">
        <v>0</v>
      </c>
      <c r="BY105">
        <v>1</v>
      </c>
      <c r="BZ105">
        <v>0</v>
      </c>
      <c r="CA105">
        <v>0</v>
      </c>
      <c r="CB105">
        <v>1</v>
      </c>
      <c r="CC105">
        <v>0</v>
      </c>
      <c r="CD105">
        <v>0</v>
      </c>
      <c r="CE105">
        <v>41.7</v>
      </c>
      <c r="CF105">
        <v>23.1</v>
      </c>
      <c r="CG105">
        <v>-4.2</v>
      </c>
      <c r="CH105">
        <v>38.1</v>
      </c>
      <c r="CI105">
        <v>6</v>
      </c>
    </row>
    <row r="106" spans="1:87" ht="44.1" customHeight="1" x14ac:dyDescent="0.55000000000000004">
      <c r="A106" t="s">
        <v>893</v>
      </c>
      <c r="B106" t="s">
        <v>904</v>
      </c>
      <c r="C106" s="13" t="s">
        <v>905</v>
      </c>
      <c r="D106" t="s">
        <v>906</v>
      </c>
      <c r="E106" t="s">
        <v>226</v>
      </c>
      <c r="F106">
        <v>1</v>
      </c>
      <c r="G106">
        <v>0</v>
      </c>
      <c r="H106">
        <v>1</v>
      </c>
      <c r="I106">
        <v>1</v>
      </c>
      <c r="J106" t="s">
        <v>907</v>
      </c>
      <c r="K106" t="s">
        <v>228</v>
      </c>
      <c r="L106" t="s">
        <v>94</v>
      </c>
      <c r="M106" t="s">
        <v>95</v>
      </c>
      <c r="N106" t="s">
        <v>898</v>
      </c>
      <c r="O106">
        <v>2005.5830000000001</v>
      </c>
      <c r="P106" t="s">
        <v>899</v>
      </c>
      <c r="Q106">
        <v>29.3</v>
      </c>
      <c r="R106">
        <v>0</v>
      </c>
      <c r="S106">
        <v>2.9</v>
      </c>
      <c r="T106">
        <v>84.2</v>
      </c>
      <c r="U106">
        <v>11.8</v>
      </c>
      <c r="V106">
        <v>53.3</v>
      </c>
      <c r="X106" t="s">
        <v>900</v>
      </c>
      <c r="Z106">
        <v>725</v>
      </c>
      <c r="AA106">
        <v>486</v>
      </c>
      <c r="AK106" t="s">
        <v>438</v>
      </c>
      <c r="AL106">
        <v>1</v>
      </c>
      <c r="AM106">
        <v>2</v>
      </c>
      <c r="AN106">
        <v>2.7</v>
      </c>
      <c r="AP106">
        <v>31</v>
      </c>
      <c r="AQ106">
        <v>-65</v>
      </c>
      <c r="AR106">
        <v>94.2</v>
      </c>
      <c r="AT106">
        <v>801</v>
      </c>
      <c r="AU106" t="s">
        <v>777</v>
      </c>
      <c r="AV106">
        <v>2</v>
      </c>
      <c r="AW106">
        <v>0.1</v>
      </c>
      <c r="AX106">
        <v>2.4</v>
      </c>
      <c r="AZ106">
        <v>40.5</v>
      </c>
      <c r="BA106">
        <v>-126</v>
      </c>
      <c r="BB106">
        <v>114.5</v>
      </c>
      <c r="BD106">
        <v>1181</v>
      </c>
      <c r="BE106" t="s">
        <v>777</v>
      </c>
      <c r="BF106">
        <v>4</v>
      </c>
      <c r="BG106">
        <v>0</v>
      </c>
      <c r="BJ106">
        <v>37.700000000000003</v>
      </c>
      <c r="BK106">
        <v>-191</v>
      </c>
      <c r="BL106">
        <v>137.5</v>
      </c>
      <c r="BN106">
        <v>1484</v>
      </c>
      <c r="BO106" t="s">
        <v>777</v>
      </c>
      <c r="BP106" t="s">
        <v>908</v>
      </c>
      <c r="BQ106" t="s">
        <v>909</v>
      </c>
      <c r="BU106" t="s">
        <v>189</v>
      </c>
      <c r="BV106" t="s">
        <v>107</v>
      </c>
      <c r="BW106">
        <v>0</v>
      </c>
      <c r="BX106">
        <v>0</v>
      </c>
      <c r="BY106">
        <v>1</v>
      </c>
      <c r="BZ106">
        <v>0</v>
      </c>
      <c r="CA106">
        <v>0</v>
      </c>
      <c r="CB106">
        <v>1</v>
      </c>
      <c r="CC106">
        <v>0</v>
      </c>
      <c r="CD106">
        <v>0</v>
      </c>
      <c r="CE106">
        <v>77</v>
      </c>
      <c r="CF106">
        <v>0</v>
      </c>
      <c r="CG106">
        <v>3</v>
      </c>
      <c r="CH106">
        <v>38.1</v>
      </c>
    </row>
    <row r="107" spans="1:87" ht="44.1" customHeight="1" x14ac:dyDescent="0.55000000000000004">
      <c r="A107" t="s">
        <v>910</v>
      </c>
      <c r="B107" t="s">
        <v>911</v>
      </c>
      <c r="C107" s="13" t="s">
        <v>912</v>
      </c>
      <c r="D107" t="s">
        <v>913</v>
      </c>
      <c r="E107" t="s">
        <v>91</v>
      </c>
      <c r="F107">
        <v>0</v>
      </c>
      <c r="G107">
        <v>1</v>
      </c>
      <c r="H107">
        <v>1</v>
      </c>
      <c r="I107">
        <v>1</v>
      </c>
      <c r="J107" t="s">
        <v>914</v>
      </c>
      <c r="K107" t="s">
        <v>93</v>
      </c>
      <c r="L107" t="s">
        <v>94</v>
      </c>
      <c r="M107" t="s">
        <v>95</v>
      </c>
      <c r="N107" t="s">
        <v>915</v>
      </c>
      <c r="O107">
        <v>1986.5</v>
      </c>
      <c r="P107" t="s">
        <v>916</v>
      </c>
      <c r="Q107">
        <v>26.5</v>
      </c>
      <c r="R107">
        <v>59.2</v>
      </c>
      <c r="S107">
        <v>69.7</v>
      </c>
      <c r="T107">
        <v>30.3</v>
      </c>
      <c r="X107" t="s">
        <v>917</v>
      </c>
      <c r="Z107">
        <v>375</v>
      </c>
      <c r="AA107">
        <v>370</v>
      </c>
      <c r="AJ107">
        <v>0.88</v>
      </c>
      <c r="AK107" t="s">
        <v>918</v>
      </c>
      <c r="AL107">
        <v>1</v>
      </c>
      <c r="AM107">
        <v>14.6</v>
      </c>
      <c r="AN107">
        <v>4.5</v>
      </c>
      <c r="AO107" t="s">
        <v>141</v>
      </c>
      <c r="AP107">
        <v>39.6</v>
      </c>
      <c r="AQ107">
        <v>678</v>
      </c>
      <c r="AR107">
        <v>96</v>
      </c>
      <c r="AS107" t="s">
        <v>141</v>
      </c>
      <c r="AT107">
        <v>615</v>
      </c>
      <c r="AU107" t="s">
        <v>142</v>
      </c>
      <c r="AV107">
        <v>2</v>
      </c>
      <c r="AW107">
        <v>12.2</v>
      </c>
      <c r="AX107">
        <v>4.3</v>
      </c>
      <c r="AY107" t="s">
        <v>141</v>
      </c>
      <c r="AZ107">
        <v>44.8</v>
      </c>
      <c r="BA107">
        <v>835</v>
      </c>
      <c r="BB107">
        <v>137</v>
      </c>
      <c r="BC107" t="s">
        <v>141</v>
      </c>
      <c r="BD107">
        <v>921</v>
      </c>
      <c r="BE107" t="s">
        <v>142</v>
      </c>
      <c r="BF107">
        <v>6</v>
      </c>
      <c r="BG107">
        <v>8.1</v>
      </c>
      <c r="BH107">
        <v>4.3</v>
      </c>
      <c r="BI107" t="s">
        <v>112</v>
      </c>
      <c r="BJ107">
        <v>48.6</v>
      </c>
      <c r="BK107">
        <v>637</v>
      </c>
      <c r="BL107">
        <v>182</v>
      </c>
      <c r="BM107" t="s">
        <v>141</v>
      </c>
      <c r="BN107">
        <v>1131</v>
      </c>
      <c r="BO107" t="s">
        <v>142</v>
      </c>
      <c r="BP107" t="s">
        <v>919</v>
      </c>
      <c r="BQ107" t="s">
        <v>920</v>
      </c>
      <c r="BR107">
        <v>5600</v>
      </c>
      <c r="BT107" t="s">
        <v>921</v>
      </c>
      <c r="BU107" t="s">
        <v>106</v>
      </c>
      <c r="BV107" t="s">
        <v>107</v>
      </c>
      <c r="BW107">
        <v>1</v>
      </c>
      <c r="BX107">
        <v>0</v>
      </c>
      <c r="BY107">
        <v>1</v>
      </c>
      <c r="BZ107">
        <v>0</v>
      </c>
      <c r="CA107">
        <v>0</v>
      </c>
      <c r="CB107">
        <v>1</v>
      </c>
      <c r="CC107">
        <v>0</v>
      </c>
      <c r="CD107">
        <v>0</v>
      </c>
      <c r="CE107">
        <v>67</v>
      </c>
      <c r="CF107">
        <v>0</v>
      </c>
      <c r="CI107">
        <v>12</v>
      </c>
    </row>
    <row r="108" spans="1:87" ht="44.1" customHeight="1" x14ac:dyDescent="0.55000000000000004">
      <c r="A108" t="s">
        <v>922</v>
      </c>
      <c r="B108" t="s">
        <v>923</v>
      </c>
      <c r="C108" s="13" t="s">
        <v>924</v>
      </c>
      <c r="D108" t="s">
        <v>925</v>
      </c>
      <c r="E108" t="s">
        <v>91</v>
      </c>
      <c r="F108">
        <v>1</v>
      </c>
      <c r="G108">
        <v>0</v>
      </c>
      <c r="H108">
        <v>1</v>
      </c>
      <c r="I108">
        <v>1</v>
      </c>
      <c r="J108" t="s">
        <v>926</v>
      </c>
      <c r="K108" t="s">
        <v>93</v>
      </c>
      <c r="L108" t="s">
        <v>136</v>
      </c>
      <c r="M108" t="s">
        <v>95</v>
      </c>
      <c r="N108" t="s">
        <v>927</v>
      </c>
      <c r="O108">
        <v>1991</v>
      </c>
      <c r="P108" t="s">
        <v>928</v>
      </c>
      <c r="Q108">
        <v>18.8</v>
      </c>
      <c r="R108">
        <v>0</v>
      </c>
      <c r="S108">
        <v>22.5</v>
      </c>
      <c r="T108">
        <v>52.4</v>
      </c>
      <c r="U108">
        <v>22.8</v>
      </c>
      <c r="V108">
        <v>93.9</v>
      </c>
      <c r="W108">
        <v>9.9</v>
      </c>
      <c r="X108" t="s">
        <v>929</v>
      </c>
      <c r="Z108">
        <v>1401</v>
      </c>
      <c r="AA108">
        <v>678</v>
      </c>
      <c r="AH108">
        <v>0.89200000000000002</v>
      </c>
      <c r="AI108">
        <v>0.91300000000000003</v>
      </c>
      <c r="AJ108">
        <v>0.90600000000000003</v>
      </c>
      <c r="AK108" t="s">
        <v>99</v>
      </c>
      <c r="BF108">
        <v>3.5</v>
      </c>
      <c r="BG108">
        <v>-3.1</v>
      </c>
      <c r="BJ108">
        <v>30.9</v>
      </c>
      <c r="BK108">
        <v>-33</v>
      </c>
      <c r="BN108">
        <v>3045</v>
      </c>
      <c r="BO108" t="s">
        <v>142</v>
      </c>
      <c r="BP108" t="s">
        <v>930</v>
      </c>
      <c r="BQ108" t="s">
        <v>931</v>
      </c>
      <c r="BR108">
        <v>7445</v>
      </c>
      <c r="BU108" t="s">
        <v>106</v>
      </c>
      <c r="BV108" t="s">
        <v>107</v>
      </c>
      <c r="BW108">
        <v>0</v>
      </c>
      <c r="BX108">
        <v>0</v>
      </c>
      <c r="BY108">
        <v>1</v>
      </c>
      <c r="BZ108">
        <v>0</v>
      </c>
      <c r="CA108">
        <v>0</v>
      </c>
      <c r="CB108">
        <v>1</v>
      </c>
      <c r="CC108">
        <v>0</v>
      </c>
      <c r="CD108">
        <v>0</v>
      </c>
      <c r="CE108">
        <v>89</v>
      </c>
      <c r="CF108">
        <v>0</v>
      </c>
      <c r="CG108">
        <v>8.6</v>
      </c>
      <c r="CH108">
        <v>85.9</v>
      </c>
      <c r="CI108">
        <v>6.4</v>
      </c>
    </row>
    <row r="109" spans="1:87" ht="44.1" customHeight="1" x14ac:dyDescent="0.55000000000000004">
      <c r="A109" t="s">
        <v>789</v>
      </c>
      <c r="B109" t="s">
        <v>932</v>
      </c>
      <c r="C109" s="13" t="s">
        <v>933</v>
      </c>
      <c r="D109" t="s">
        <v>934</v>
      </c>
      <c r="E109" t="s">
        <v>226</v>
      </c>
      <c r="F109">
        <v>1</v>
      </c>
      <c r="G109">
        <v>1</v>
      </c>
      <c r="H109">
        <v>1</v>
      </c>
      <c r="I109">
        <v>1</v>
      </c>
      <c r="J109" t="s">
        <v>935</v>
      </c>
      <c r="K109" t="s">
        <v>228</v>
      </c>
      <c r="L109" t="s">
        <v>94</v>
      </c>
      <c r="M109" t="s">
        <v>94</v>
      </c>
      <c r="N109" t="s">
        <v>936</v>
      </c>
      <c r="O109">
        <v>2001.5</v>
      </c>
      <c r="P109" t="s">
        <v>937</v>
      </c>
      <c r="Q109">
        <v>39</v>
      </c>
      <c r="R109">
        <v>0</v>
      </c>
      <c r="S109">
        <v>10.5</v>
      </c>
      <c r="T109">
        <v>36.6</v>
      </c>
      <c r="U109">
        <v>49.5</v>
      </c>
      <c r="X109" t="s">
        <v>938</v>
      </c>
      <c r="Z109">
        <v>1553</v>
      </c>
      <c r="AA109">
        <v>1095</v>
      </c>
      <c r="AG109">
        <v>1</v>
      </c>
      <c r="AK109" t="s">
        <v>232</v>
      </c>
      <c r="AL109">
        <v>1</v>
      </c>
      <c r="AM109">
        <v>4.3</v>
      </c>
      <c r="AN109">
        <v>1.49</v>
      </c>
      <c r="AO109" t="s">
        <v>141</v>
      </c>
      <c r="AP109">
        <v>18.7</v>
      </c>
      <c r="AQ109">
        <v>163</v>
      </c>
      <c r="AT109">
        <v>1167</v>
      </c>
      <c r="AU109" t="s">
        <v>142</v>
      </c>
      <c r="AV109">
        <v>2</v>
      </c>
      <c r="AW109">
        <v>5.0999999999999996</v>
      </c>
      <c r="AX109">
        <v>1.65</v>
      </c>
      <c r="AY109" t="s">
        <v>141</v>
      </c>
      <c r="AZ109">
        <v>22</v>
      </c>
      <c r="BA109">
        <v>391</v>
      </c>
      <c r="BD109">
        <v>1815</v>
      </c>
      <c r="BE109" t="s">
        <v>142</v>
      </c>
      <c r="BP109" t="s">
        <v>939</v>
      </c>
      <c r="BQ109" t="s">
        <v>940</v>
      </c>
      <c r="BU109" t="s">
        <v>217</v>
      </c>
      <c r="BV109" t="s">
        <v>107</v>
      </c>
      <c r="BW109">
        <v>0</v>
      </c>
      <c r="BX109">
        <v>0</v>
      </c>
      <c r="BY109">
        <v>0</v>
      </c>
      <c r="BZ109">
        <v>0</v>
      </c>
      <c r="CA109">
        <v>0</v>
      </c>
      <c r="CB109">
        <v>0</v>
      </c>
      <c r="CC109">
        <v>0</v>
      </c>
      <c r="CD109">
        <v>0</v>
      </c>
      <c r="CE109">
        <v>19.3</v>
      </c>
      <c r="CF109">
        <v>13.7</v>
      </c>
      <c r="CG109">
        <v>5.0999999999999996</v>
      </c>
      <c r="CH109">
        <v>26.3</v>
      </c>
    </row>
    <row r="110" spans="1:87" ht="44.1" customHeight="1" x14ac:dyDescent="0.55000000000000004">
      <c r="A110" t="s">
        <v>941</v>
      </c>
      <c r="B110" t="s">
        <v>942</v>
      </c>
      <c r="C110" s="13" t="s">
        <v>943</v>
      </c>
      <c r="D110" t="s">
        <v>944</v>
      </c>
      <c r="E110" t="s">
        <v>91</v>
      </c>
      <c r="F110">
        <v>0</v>
      </c>
      <c r="G110">
        <v>1</v>
      </c>
      <c r="H110">
        <v>1</v>
      </c>
      <c r="I110">
        <v>1</v>
      </c>
      <c r="J110" t="s">
        <v>945</v>
      </c>
      <c r="K110" t="s">
        <v>93</v>
      </c>
      <c r="L110" t="s">
        <v>94</v>
      </c>
      <c r="M110" t="s">
        <v>95</v>
      </c>
      <c r="N110" t="s">
        <v>946</v>
      </c>
      <c r="O110">
        <v>1982</v>
      </c>
      <c r="P110" t="s">
        <v>947</v>
      </c>
      <c r="Q110">
        <v>20</v>
      </c>
      <c r="R110">
        <v>57.4</v>
      </c>
      <c r="S110">
        <v>51.5</v>
      </c>
      <c r="T110">
        <v>32.5</v>
      </c>
      <c r="U110">
        <v>13.7</v>
      </c>
      <c r="X110" t="s">
        <v>948</v>
      </c>
      <c r="Z110">
        <v>226</v>
      </c>
      <c r="AA110">
        <v>211</v>
      </c>
      <c r="AE110">
        <v>0.878</v>
      </c>
      <c r="AF110">
        <v>0.89300000000000002</v>
      </c>
      <c r="AG110">
        <v>0.88600000000000001</v>
      </c>
      <c r="AK110" t="s">
        <v>949</v>
      </c>
      <c r="AL110">
        <v>1.25</v>
      </c>
      <c r="AM110">
        <v>9.4</v>
      </c>
      <c r="AN110">
        <v>4.79</v>
      </c>
      <c r="AO110" t="s">
        <v>100</v>
      </c>
      <c r="AP110">
        <v>16.8</v>
      </c>
      <c r="AQ110">
        <v>10.59</v>
      </c>
      <c r="AR110">
        <v>5.4</v>
      </c>
      <c r="AS110" t="s">
        <v>100</v>
      </c>
      <c r="AT110">
        <v>16.309999999999999</v>
      </c>
      <c r="AU110" t="s">
        <v>950</v>
      </c>
      <c r="AV110">
        <v>1.83</v>
      </c>
      <c r="AW110">
        <v>11.9</v>
      </c>
      <c r="AX110">
        <v>6.07</v>
      </c>
      <c r="AY110" t="s">
        <v>100</v>
      </c>
      <c r="AZ110">
        <v>19.100000000000001</v>
      </c>
      <c r="BA110">
        <v>15.81</v>
      </c>
      <c r="BB110">
        <v>8.06</v>
      </c>
      <c r="BC110" t="s">
        <v>100</v>
      </c>
      <c r="BD110">
        <v>20.55</v>
      </c>
      <c r="BE110" t="s">
        <v>950</v>
      </c>
      <c r="BP110" t="s">
        <v>951</v>
      </c>
      <c r="BQ110" t="s">
        <v>952</v>
      </c>
      <c r="BR110">
        <v>9400</v>
      </c>
      <c r="BU110" t="s">
        <v>106</v>
      </c>
      <c r="BV110" t="s">
        <v>107</v>
      </c>
      <c r="BW110">
        <v>0</v>
      </c>
      <c r="BX110">
        <v>0</v>
      </c>
      <c r="BY110">
        <v>1</v>
      </c>
      <c r="BZ110">
        <v>0</v>
      </c>
      <c r="CA110">
        <v>0</v>
      </c>
      <c r="CB110">
        <v>1</v>
      </c>
      <c r="CC110">
        <v>0</v>
      </c>
      <c r="CD110">
        <v>0</v>
      </c>
      <c r="CE110">
        <v>92</v>
      </c>
      <c r="CF110">
        <v>0</v>
      </c>
      <c r="CG110">
        <v>21.1</v>
      </c>
      <c r="CH110">
        <v>40.6</v>
      </c>
      <c r="CI110">
        <v>12</v>
      </c>
    </row>
    <row r="111" spans="1:87" ht="44.1" customHeight="1" x14ac:dyDescent="0.55000000000000004">
      <c r="A111" t="s">
        <v>953</v>
      </c>
      <c r="B111" t="s">
        <v>954</v>
      </c>
      <c r="C111" s="13" t="s">
        <v>955</v>
      </c>
      <c r="D111" t="s">
        <v>956</v>
      </c>
      <c r="E111" t="s">
        <v>91</v>
      </c>
      <c r="F111">
        <v>1</v>
      </c>
      <c r="G111">
        <v>0</v>
      </c>
      <c r="H111">
        <v>1</v>
      </c>
      <c r="I111">
        <v>1</v>
      </c>
      <c r="J111" t="s">
        <v>957</v>
      </c>
      <c r="K111" t="s">
        <v>228</v>
      </c>
      <c r="L111" t="s">
        <v>94</v>
      </c>
      <c r="M111" t="s">
        <v>94</v>
      </c>
      <c r="N111" t="s">
        <v>958</v>
      </c>
      <c r="O111">
        <v>1989.5</v>
      </c>
      <c r="P111" t="s">
        <v>959</v>
      </c>
      <c r="R111">
        <v>0</v>
      </c>
      <c r="X111" t="s">
        <v>960</v>
      </c>
      <c r="Z111">
        <v>618</v>
      </c>
      <c r="AA111">
        <v>570</v>
      </c>
      <c r="AJ111">
        <v>1</v>
      </c>
      <c r="AK111" t="s">
        <v>961</v>
      </c>
      <c r="BF111">
        <v>5</v>
      </c>
      <c r="BG111">
        <v>1.3</v>
      </c>
      <c r="BJ111">
        <v>21</v>
      </c>
      <c r="BK111">
        <v>325</v>
      </c>
      <c r="BN111">
        <v>6341</v>
      </c>
      <c r="BO111" t="s">
        <v>962</v>
      </c>
      <c r="BP111" t="s">
        <v>963</v>
      </c>
      <c r="BQ111" t="s">
        <v>964</v>
      </c>
      <c r="BU111" t="s">
        <v>653</v>
      </c>
      <c r="BV111" t="s">
        <v>107</v>
      </c>
      <c r="BW111">
        <v>0</v>
      </c>
      <c r="BX111">
        <v>0</v>
      </c>
      <c r="BY111">
        <v>0</v>
      </c>
      <c r="BZ111">
        <v>0</v>
      </c>
      <c r="CA111">
        <v>0</v>
      </c>
      <c r="CB111">
        <v>0</v>
      </c>
      <c r="CC111">
        <v>0</v>
      </c>
      <c r="CD111">
        <v>0</v>
      </c>
      <c r="CE111">
        <v>92</v>
      </c>
      <c r="CF111">
        <v>0</v>
      </c>
    </row>
    <row r="112" spans="1:87" ht="44.1" customHeight="1" x14ac:dyDescent="0.55000000000000004">
      <c r="A112" t="s">
        <v>953</v>
      </c>
      <c r="B112" t="s">
        <v>965</v>
      </c>
      <c r="C112" s="13" t="s">
        <v>966</v>
      </c>
      <c r="D112" t="s">
        <v>956</v>
      </c>
      <c r="E112" t="s">
        <v>91</v>
      </c>
      <c r="F112">
        <v>1</v>
      </c>
      <c r="G112">
        <v>0</v>
      </c>
      <c r="H112">
        <v>1</v>
      </c>
      <c r="I112">
        <v>1</v>
      </c>
      <c r="J112" t="s">
        <v>957</v>
      </c>
      <c r="K112" t="s">
        <v>228</v>
      </c>
      <c r="L112" t="s">
        <v>94</v>
      </c>
      <c r="M112" t="s">
        <v>94</v>
      </c>
      <c r="N112" t="s">
        <v>958</v>
      </c>
      <c r="O112">
        <v>1989.5</v>
      </c>
      <c r="P112" t="s">
        <v>959</v>
      </c>
      <c r="R112">
        <v>0</v>
      </c>
      <c r="X112" t="s">
        <v>960</v>
      </c>
      <c r="Z112">
        <v>570</v>
      </c>
      <c r="AA112">
        <v>609</v>
      </c>
      <c r="AJ112">
        <v>1</v>
      </c>
      <c r="AK112" t="s">
        <v>961</v>
      </c>
      <c r="BF112">
        <v>5</v>
      </c>
      <c r="BG112">
        <v>1.5</v>
      </c>
      <c r="BJ112">
        <v>22</v>
      </c>
      <c r="BK112">
        <v>73</v>
      </c>
      <c r="BN112">
        <v>7691</v>
      </c>
      <c r="BO112" t="s">
        <v>962</v>
      </c>
      <c r="BP112" t="s">
        <v>963</v>
      </c>
      <c r="BQ112" t="s">
        <v>967</v>
      </c>
      <c r="BU112" t="s">
        <v>653</v>
      </c>
      <c r="BV112" t="s">
        <v>107</v>
      </c>
      <c r="BW112">
        <v>0</v>
      </c>
      <c r="BX112">
        <v>0</v>
      </c>
      <c r="BY112">
        <v>0</v>
      </c>
      <c r="BZ112">
        <v>0</v>
      </c>
      <c r="CA112">
        <v>0</v>
      </c>
      <c r="CB112">
        <v>0</v>
      </c>
      <c r="CC112">
        <v>0</v>
      </c>
      <c r="CD112">
        <v>0</v>
      </c>
      <c r="CE112">
        <v>92</v>
      </c>
      <c r="CF112">
        <v>0</v>
      </c>
    </row>
    <row r="113" spans="1:87" ht="44.1" customHeight="1" x14ac:dyDescent="0.55000000000000004">
      <c r="A113" t="s">
        <v>953</v>
      </c>
      <c r="B113" t="s">
        <v>968</v>
      </c>
      <c r="C113" s="13" t="s">
        <v>969</v>
      </c>
      <c r="D113" t="s">
        <v>956</v>
      </c>
      <c r="E113" t="s">
        <v>91</v>
      </c>
      <c r="F113">
        <v>1</v>
      </c>
      <c r="G113">
        <v>0</v>
      </c>
      <c r="H113">
        <v>1</v>
      </c>
      <c r="I113">
        <v>1</v>
      </c>
      <c r="J113" t="s">
        <v>957</v>
      </c>
      <c r="K113" t="s">
        <v>228</v>
      </c>
      <c r="L113" t="s">
        <v>94</v>
      </c>
      <c r="M113" t="s">
        <v>94</v>
      </c>
      <c r="N113" t="s">
        <v>958</v>
      </c>
      <c r="O113">
        <v>1989.5</v>
      </c>
      <c r="P113" t="s">
        <v>959</v>
      </c>
      <c r="R113">
        <v>0</v>
      </c>
      <c r="X113" t="s">
        <v>960</v>
      </c>
      <c r="Z113">
        <v>1434</v>
      </c>
      <c r="AA113">
        <v>1449</v>
      </c>
      <c r="AJ113">
        <v>1</v>
      </c>
      <c r="AK113" t="s">
        <v>961</v>
      </c>
      <c r="BF113">
        <v>5</v>
      </c>
      <c r="BG113">
        <v>2.2000000000000002</v>
      </c>
      <c r="BH113">
        <v>1.1200000000000001</v>
      </c>
      <c r="BI113" t="s">
        <v>100</v>
      </c>
      <c r="BJ113">
        <v>26.2</v>
      </c>
      <c r="BK113">
        <v>699</v>
      </c>
      <c r="BN113">
        <v>8692</v>
      </c>
      <c r="BO113" t="s">
        <v>962</v>
      </c>
      <c r="BP113" t="s">
        <v>970</v>
      </c>
      <c r="BQ113" t="s">
        <v>971</v>
      </c>
      <c r="BT113" t="s">
        <v>972</v>
      </c>
      <c r="BU113" t="s">
        <v>185</v>
      </c>
      <c r="BV113" t="s">
        <v>107</v>
      </c>
      <c r="BW113">
        <v>0</v>
      </c>
      <c r="BX113">
        <v>0</v>
      </c>
      <c r="BY113">
        <v>0</v>
      </c>
      <c r="BZ113">
        <v>0</v>
      </c>
      <c r="CA113">
        <v>0</v>
      </c>
      <c r="CB113">
        <v>0</v>
      </c>
      <c r="CC113">
        <v>0</v>
      </c>
      <c r="CD113">
        <v>0</v>
      </c>
      <c r="CE113">
        <v>92</v>
      </c>
      <c r="CF113">
        <v>0</v>
      </c>
    </row>
    <row r="114" spans="1:87" ht="44.1" customHeight="1" x14ac:dyDescent="0.55000000000000004">
      <c r="A114" t="s">
        <v>973</v>
      </c>
      <c r="B114" t="s">
        <v>974</v>
      </c>
      <c r="C114" s="13" t="s">
        <v>975</v>
      </c>
      <c r="D114" t="s">
        <v>976</v>
      </c>
      <c r="E114" t="s">
        <v>977</v>
      </c>
      <c r="F114">
        <v>0</v>
      </c>
      <c r="G114">
        <v>0</v>
      </c>
      <c r="H114">
        <v>1</v>
      </c>
      <c r="I114">
        <v>1</v>
      </c>
      <c r="J114" t="s">
        <v>978</v>
      </c>
      <c r="K114" t="s">
        <v>228</v>
      </c>
      <c r="L114" t="s">
        <v>94</v>
      </c>
      <c r="M114" t="s">
        <v>94</v>
      </c>
      <c r="N114" t="s">
        <v>979</v>
      </c>
      <c r="O114">
        <v>1995.5</v>
      </c>
      <c r="P114" t="s">
        <v>980</v>
      </c>
      <c r="Q114">
        <v>30.8</v>
      </c>
      <c r="R114">
        <v>6.7</v>
      </c>
      <c r="V114">
        <v>26.9</v>
      </c>
      <c r="Z114">
        <v>3271</v>
      </c>
      <c r="AA114">
        <v>1110</v>
      </c>
      <c r="AK114" t="s">
        <v>232</v>
      </c>
      <c r="AL114">
        <v>1.5</v>
      </c>
      <c r="AM114">
        <v>3.5</v>
      </c>
      <c r="AN114">
        <v>1.4</v>
      </c>
      <c r="AO114" t="s">
        <v>141</v>
      </c>
      <c r="AP114">
        <v>39.4</v>
      </c>
      <c r="AQ114">
        <v>177</v>
      </c>
      <c r="AT114">
        <v>3482</v>
      </c>
      <c r="AU114" t="s">
        <v>142</v>
      </c>
      <c r="AV114">
        <v>3.5</v>
      </c>
      <c r="AW114">
        <v>7.5</v>
      </c>
      <c r="AX114">
        <v>2.9</v>
      </c>
      <c r="AY114" t="s">
        <v>141</v>
      </c>
      <c r="AZ114">
        <v>48.7</v>
      </c>
      <c r="BA114">
        <v>713</v>
      </c>
      <c r="BB114">
        <v>276.8</v>
      </c>
      <c r="BC114" t="s">
        <v>141</v>
      </c>
      <c r="BD114">
        <v>5593</v>
      </c>
      <c r="BE114" t="s">
        <v>142</v>
      </c>
      <c r="BF114">
        <v>5.5</v>
      </c>
      <c r="BG114">
        <v>5.5</v>
      </c>
      <c r="BH114">
        <v>2.1</v>
      </c>
      <c r="BI114" t="s">
        <v>141</v>
      </c>
      <c r="BJ114">
        <v>51.6</v>
      </c>
      <c r="BK114">
        <v>634</v>
      </c>
      <c r="BL114">
        <v>323.39999999999998</v>
      </c>
      <c r="BM114" t="s">
        <v>100</v>
      </c>
      <c r="BN114">
        <v>7415</v>
      </c>
      <c r="BO114" t="s">
        <v>142</v>
      </c>
      <c r="BP114" t="s">
        <v>981</v>
      </c>
      <c r="BQ114" t="s">
        <v>982</v>
      </c>
      <c r="BR114">
        <v>1323</v>
      </c>
      <c r="BS114">
        <v>2841</v>
      </c>
      <c r="BT114" t="s">
        <v>983</v>
      </c>
      <c r="BU114" t="s">
        <v>984</v>
      </c>
      <c r="BV114" t="s">
        <v>246</v>
      </c>
      <c r="BW114">
        <v>0</v>
      </c>
      <c r="BX114">
        <v>0</v>
      </c>
      <c r="BY114">
        <v>0</v>
      </c>
      <c r="BZ114">
        <v>0</v>
      </c>
      <c r="CA114">
        <v>0</v>
      </c>
      <c r="CB114">
        <v>0</v>
      </c>
      <c r="CC114">
        <v>0</v>
      </c>
      <c r="CD114">
        <v>0</v>
      </c>
      <c r="CE114">
        <v>4.0999999999999996</v>
      </c>
      <c r="CF114">
        <v>34.4</v>
      </c>
      <c r="CG114">
        <v>4</v>
      </c>
      <c r="CH114">
        <v>26.2</v>
      </c>
    </row>
    <row r="115" spans="1:87" ht="44.1" customHeight="1" x14ac:dyDescent="0.55000000000000004">
      <c r="A115" t="s">
        <v>985</v>
      </c>
      <c r="B115" t="s">
        <v>986</v>
      </c>
      <c r="C115" s="13" t="s">
        <v>987</v>
      </c>
      <c r="D115" t="s">
        <v>988</v>
      </c>
      <c r="E115" t="s">
        <v>977</v>
      </c>
      <c r="F115">
        <v>0</v>
      </c>
      <c r="G115">
        <v>0</v>
      </c>
      <c r="H115">
        <v>0</v>
      </c>
      <c r="I115">
        <v>1</v>
      </c>
      <c r="J115" t="s">
        <v>989</v>
      </c>
      <c r="K115" t="s">
        <v>93</v>
      </c>
      <c r="L115" t="s">
        <v>95</v>
      </c>
      <c r="M115" t="s">
        <v>95</v>
      </c>
      <c r="N115" t="s">
        <v>990</v>
      </c>
      <c r="O115">
        <v>1995</v>
      </c>
      <c r="P115" t="s">
        <v>991</v>
      </c>
      <c r="Q115">
        <v>29.4</v>
      </c>
      <c r="R115">
        <v>8.6</v>
      </c>
      <c r="S115">
        <v>13</v>
      </c>
      <c r="T115">
        <v>55.6</v>
      </c>
      <c r="U115">
        <v>28.3</v>
      </c>
      <c r="V115">
        <v>39.4</v>
      </c>
      <c r="W115">
        <v>10.8</v>
      </c>
      <c r="Z115">
        <v>366</v>
      </c>
      <c r="AA115">
        <v>379</v>
      </c>
      <c r="AK115" t="s">
        <v>232</v>
      </c>
      <c r="AL115">
        <v>1</v>
      </c>
      <c r="AM115">
        <v>8.1999999999999993</v>
      </c>
      <c r="AN115">
        <v>2.5</v>
      </c>
      <c r="AO115" t="s">
        <v>141</v>
      </c>
      <c r="AP115">
        <v>81.900000000000006</v>
      </c>
      <c r="AQ115">
        <v>1088</v>
      </c>
      <c r="AR115">
        <v>366.6</v>
      </c>
      <c r="AS115" t="s">
        <v>141</v>
      </c>
      <c r="AT115">
        <v>5919</v>
      </c>
      <c r="AU115" t="s">
        <v>142</v>
      </c>
      <c r="AV115">
        <v>2</v>
      </c>
      <c r="AW115">
        <v>7.3</v>
      </c>
      <c r="AX115">
        <v>2.5</v>
      </c>
      <c r="AY115" t="s">
        <v>141</v>
      </c>
      <c r="AZ115">
        <v>82.7</v>
      </c>
      <c r="BA115">
        <v>424</v>
      </c>
      <c r="BB115">
        <v>471.1</v>
      </c>
      <c r="BD115">
        <v>7886</v>
      </c>
      <c r="BE115" t="s">
        <v>142</v>
      </c>
      <c r="BF115">
        <v>5</v>
      </c>
      <c r="BG115">
        <v>1.2</v>
      </c>
      <c r="BH115">
        <v>2.9</v>
      </c>
      <c r="BJ115">
        <v>80</v>
      </c>
      <c r="BK115">
        <v>500</v>
      </c>
      <c r="BL115">
        <v>686.1</v>
      </c>
      <c r="BN115">
        <v>10824</v>
      </c>
      <c r="BO115" t="s">
        <v>142</v>
      </c>
      <c r="BP115" t="s">
        <v>992</v>
      </c>
      <c r="BQ115" t="s">
        <v>993</v>
      </c>
      <c r="BR115">
        <v>8112</v>
      </c>
      <c r="BT115" t="s">
        <v>994</v>
      </c>
      <c r="BU115" t="s">
        <v>399</v>
      </c>
      <c r="BV115" t="s">
        <v>107</v>
      </c>
      <c r="BW115">
        <v>0</v>
      </c>
      <c r="BX115">
        <v>0</v>
      </c>
      <c r="BY115">
        <v>1</v>
      </c>
      <c r="BZ115">
        <v>0</v>
      </c>
      <c r="CA115">
        <v>0</v>
      </c>
      <c r="CB115">
        <v>0</v>
      </c>
      <c r="CC115">
        <v>0</v>
      </c>
      <c r="CD115">
        <v>0</v>
      </c>
      <c r="CE115">
        <v>79.2</v>
      </c>
      <c r="CF115">
        <v>0</v>
      </c>
      <c r="CG115">
        <v>-4.4000000000000004</v>
      </c>
      <c r="CH115">
        <v>18.5</v>
      </c>
    </row>
    <row r="116" spans="1:87" ht="44.1" customHeight="1" x14ac:dyDescent="0.55000000000000004">
      <c r="A116" t="s">
        <v>995</v>
      </c>
      <c r="B116" t="s">
        <v>996</v>
      </c>
      <c r="C116" s="13" t="s">
        <v>997</v>
      </c>
      <c r="D116" t="s">
        <v>998</v>
      </c>
      <c r="E116" t="s">
        <v>226</v>
      </c>
      <c r="F116">
        <v>1</v>
      </c>
      <c r="G116">
        <v>0</v>
      </c>
      <c r="H116">
        <v>1</v>
      </c>
      <c r="I116">
        <v>1</v>
      </c>
      <c r="J116" t="s">
        <v>999</v>
      </c>
      <c r="K116" t="s">
        <v>228</v>
      </c>
      <c r="L116" t="s">
        <v>94</v>
      </c>
      <c r="M116" t="s">
        <v>94</v>
      </c>
      <c r="N116" t="s">
        <v>1000</v>
      </c>
      <c r="O116">
        <v>1991.0830000000001</v>
      </c>
      <c r="P116" t="s">
        <v>708</v>
      </c>
      <c r="Q116">
        <v>32.1</v>
      </c>
      <c r="R116">
        <v>1</v>
      </c>
      <c r="S116">
        <v>33.5</v>
      </c>
      <c r="T116">
        <v>37.700000000000003</v>
      </c>
      <c r="U116">
        <v>22.2</v>
      </c>
      <c r="V116">
        <v>41.4</v>
      </c>
      <c r="Z116">
        <v>13513</v>
      </c>
      <c r="AA116">
        <v>4724</v>
      </c>
      <c r="AK116" t="s">
        <v>232</v>
      </c>
      <c r="AL116">
        <v>1</v>
      </c>
      <c r="AM116">
        <v>2.8</v>
      </c>
      <c r="AN116">
        <v>1.1000000000000001</v>
      </c>
      <c r="AO116" t="s">
        <v>141</v>
      </c>
      <c r="AP116">
        <v>52.6</v>
      </c>
      <c r="AQ116">
        <v>146</v>
      </c>
      <c r="AR116">
        <v>74.5</v>
      </c>
      <c r="AS116" t="s">
        <v>100</v>
      </c>
      <c r="AT116">
        <v>2401</v>
      </c>
      <c r="AU116" t="s">
        <v>142</v>
      </c>
      <c r="AV116">
        <v>2</v>
      </c>
      <c r="AW116">
        <v>2.1</v>
      </c>
      <c r="AX116">
        <v>0.8</v>
      </c>
      <c r="AY116" t="s">
        <v>141</v>
      </c>
      <c r="AZ116">
        <v>51.2</v>
      </c>
      <c r="BA116">
        <v>80</v>
      </c>
      <c r="BD116">
        <v>3138</v>
      </c>
      <c r="BE116" t="s">
        <v>142</v>
      </c>
      <c r="BP116" t="s">
        <v>1001</v>
      </c>
      <c r="BQ116" t="s">
        <v>1002</v>
      </c>
      <c r="BR116">
        <v>1304</v>
      </c>
      <c r="BU116" t="s">
        <v>1003</v>
      </c>
      <c r="BV116" t="s">
        <v>107</v>
      </c>
      <c r="BW116">
        <v>0</v>
      </c>
      <c r="BX116">
        <v>0</v>
      </c>
      <c r="BY116">
        <v>0</v>
      </c>
      <c r="BZ116">
        <v>0</v>
      </c>
      <c r="CA116">
        <v>0</v>
      </c>
      <c r="CB116">
        <v>0</v>
      </c>
      <c r="CC116">
        <v>0</v>
      </c>
      <c r="CD116">
        <v>0</v>
      </c>
      <c r="CE116">
        <v>23.8</v>
      </c>
      <c r="CF116">
        <v>40.1</v>
      </c>
      <c r="CG116">
        <v>11</v>
      </c>
      <c r="CH116">
        <v>30.5</v>
      </c>
      <c r="CI116">
        <v>4.3</v>
      </c>
    </row>
    <row r="117" spans="1:87" ht="44.1" customHeight="1" x14ac:dyDescent="0.55000000000000004">
      <c r="A117" t="s">
        <v>1004</v>
      </c>
      <c r="B117" t="s">
        <v>1005</v>
      </c>
      <c r="C117" s="13" t="s">
        <v>1006</v>
      </c>
      <c r="D117" t="s">
        <v>1007</v>
      </c>
      <c r="E117" t="s">
        <v>977</v>
      </c>
      <c r="F117">
        <v>0</v>
      </c>
      <c r="G117">
        <v>0</v>
      </c>
      <c r="H117">
        <v>0</v>
      </c>
      <c r="I117">
        <v>1</v>
      </c>
      <c r="J117" t="s">
        <v>1008</v>
      </c>
      <c r="K117" t="s">
        <v>93</v>
      </c>
      <c r="L117" t="s">
        <v>94</v>
      </c>
      <c r="M117" t="s">
        <v>94</v>
      </c>
      <c r="N117" t="s">
        <v>1009</v>
      </c>
      <c r="O117">
        <v>2006.5</v>
      </c>
      <c r="P117" t="s">
        <v>1010</v>
      </c>
      <c r="Q117">
        <v>30.2</v>
      </c>
      <c r="R117">
        <v>19.2</v>
      </c>
      <c r="S117">
        <v>27</v>
      </c>
      <c r="T117">
        <v>67.7</v>
      </c>
      <c r="U117">
        <v>1.1000000000000001</v>
      </c>
      <c r="V117">
        <v>9.8000000000000007</v>
      </c>
      <c r="Z117">
        <v>590</v>
      </c>
      <c r="AA117">
        <v>586</v>
      </c>
      <c r="AK117" t="s">
        <v>232</v>
      </c>
      <c r="AL117">
        <v>1</v>
      </c>
      <c r="AM117">
        <v>1.7</v>
      </c>
      <c r="AN117">
        <v>1.4</v>
      </c>
      <c r="AP117">
        <v>85.2</v>
      </c>
      <c r="AQ117">
        <v>-244</v>
      </c>
      <c r="AR117">
        <v>405.4</v>
      </c>
      <c r="AT117">
        <v>12913</v>
      </c>
      <c r="AU117" t="s">
        <v>142</v>
      </c>
      <c r="AV117">
        <v>2</v>
      </c>
      <c r="AW117">
        <v>5.4</v>
      </c>
      <c r="AY117" t="s">
        <v>141</v>
      </c>
      <c r="AZ117">
        <v>77</v>
      </c>
      <c r="BA117">
        <v>863</v>
      </c>
      <c r="BB117">
        <v>563.9</v>
      </c>
      <c r="BD117">
        <v>13238</v>
      </c>
      <c r="BE117" t="s">
        <v>142</v>
      </c>
      <c r="BF117">
        <v>4</v>
      </c>
      <c r="BG117">
        <v>2.9</v>
      </c>
      <c r="BJ117">
        <v>67.8</v>
      </c>
      <c r="BK117">
        <v>939</v>
      </c>
      <c r="BL117">
        <v>792.3</v>
      </c>
      <c r="BN117">
        <v>14030</v>
      </c>
      <c r="BO117" t="s">
        <v>142</v>
      </c>
      <c r="BP117" t="s">
        <v>1011</v>
      </c>
      <c r="BQ117" t="s">
        <v>1012</v>
      </c>
      <c r="BU117" t="s">
        <v>327</v>
      </c>
      <c r="BV117" t="s">
        <v>107</v>
      </c>
      <c r="BW117">
        <v>0</v>
      </c>
      <c r="BX117">
        <v>0</v>
      </c>
      <c r="BY117">
        <v>0</v>
      </c>
      <c r="BZ117">
        <v>0</v>
      </c>
      <c r="CA117">
        <v>0</v>
      </c>
      <c r="CB117">
        <v>0</v>
      </c>
      <c r="CC117">
        <v>0</v>
      </c>
      <c r="CD117">
        <v>0</v>
      </c>
      <c r="CE117">
        <v>12.3</v>
      </c>
      <c r="CF117">
        <v>76.2</v>
      </c>
      <c r="CG117">
        <v>22.9</v>
      </c>
      <c r="CH117">
        <v>53.7</v>
      </c>
    </row>
    <row r="118" spans="1:87" ht="44.1" customHeight="1" x14ac:dyDescent="0.55000000000000004">
      <c r="A118" t="s">
        <v>1004</v>
      </c>
      <c r="B118" t="s">
        <v>1013</v>
      </c>
      <c r="C118" s="13" t="s">
        <v>1014</v>
      </c>
      <c r="D118" t="s">
        <v>1007</v>
      </c>
      <c r="E118" t="s">
        <v>977</v>
      </c>
      <c r="F118">
        <v>0</v>
      </c>
      <c r="G118">
        <v>0</v>
      </c>
      <c r="H118">
        <v>0</v>
      </c>
      <c r="I118">
        <v>1</v>
      </c>
      <c r="J118" t="s">
        <v>1008</v>
      </c>
      <c r="K118" t="s">
        <v>93</v>
      </c>
      <c r="L118" t="s">
        <v>94</v>
      </c>
      <c r="M118" t="s">
        <v>94</v>
      </c>
      <c r="N118" t="s">
        <v>1009</v>
      </c>
      <c r="O118">
        <v>2006.5</v>
      </c>
      <c r="P118" t="s">
        <v>1010</v>
      </c>
      <c r="Q118">
        <v>36.4</v>
      </c>
      <c r="R118">
        <v>27.4</v>
      </c>
      <c r="S118">
        <v>10.1</v>
      </c>
      <c r="T118">
        <v>11.5</v>
      </c>
      <c r="U118">
        <v>69.7</v>
      </c>
      <c r="V118">
        <v>25.8</v>
      </c>
      <c r="Z118">
        <v>488</v>
      </c>
      <c r="AA118">
        <v>483</v>
      </c>
      <c r="AK118" t="s">
        <v>232</v>
      </c>
      <c r="AL118">
        <v>1</v>
      </c>
      <c r="AM118">
        <v>-3.1</v>
      </c>
      <c r="AN118">
        <v>2.1</v>
      </c>
      <c r="AP118">
        <v>81.8</v>
      </c>
      <c r="AQ118">
        <v>-961</v>
      </c>
      <c r="AR118">
        <v>660.9</v>
      </c>
      <c r="AT118">
        <v>14408</v>
      </c>
      <c r="AU118" t="s">
        <v>142</v>
      </c>
      <c r="AV118">
        <v>2</v>
      </c>
      <c r="AW118">
        <v>-2.9</v>
      </c>
      <c r="AZ118">
        <v>72.599999999999994</v>
      </c>
      <c r="BA118">
        <v>-638</v>
      </c>
      <c r="BB118">
        <v>758.2</v>
      </c>
      <c r="BD118">
        <v>14356</v>
      </c>
      <c r="BE118" t="s">
        <v>142</v>
      </c>
      <c r="BF118">
        <v>3</v>
      </c>
      <c r="BG118">
        <v>-1.9</v>
      </c>
      <c r="BJ118">
        <v>65.900000000000006</v>
      </c>
      <c r="BK118">
        <v>-65</v>
      </c>
      <c r="BL118">
        <v>837.7</v>
      </c>
      <c r="BN118">
        <v>13703</v>
      </c>
      <c r="BO118" t="s">
        <v>142</v>
      </c>
      <c r="BP118" t="s">
        <v>1015</v>
      </c>
      <c r="BQ118" t="s">
        <v>1016</v>
      </c>
      <c r="BU118" t="s">
        <v>181</v>
      </c>
      <c r="BV118" t="s">
        <v>107</v>
      </c>
      <c r="BW118">
        <v>0</v>
      </c>
      <c r="BX118">
        <v>0</v>
      </c>
      <c r="BY118">
        <v>0</v>
      </c>
      <c r="BZ118">
        <v>0</v>
      </c>
      <c r="CA118">
        <v>0</v>
      </c>
      <c r="CB118">
        <v>0</v>
      </c>
      <c r="CC118">
        <v>0</v>
      </c>
      <c r="CD118">
        <v>0</v>
      </c>
      <c r="CE118">
        <v>5.9</v>
      </c>
      <c r="CF118">
        <v>65.3</v>
      </c>
      <c r="CG118">
        <v>0.3</v>
      </c>
      <c r="CH118">
        <v>44.3</v>
      </c>
    </row>
    <row r="119" spans="1:87" ht="44.1" customHeight="1" x14ac:dyDescent="0.55000000000000004">
      <c r="A119" t="s">
        <v>1004</v>
      </c>
      <c r="B119" t="s">
        <v>1017</v>
      </c>
      <c r="C119" s="13" t="s">
        <v>1018</v>
      </c>
      <c r="D119" t="s">
        <v>1007</v>
      </c>
      <c r="E119" t="s">
        <v>977</v>
      </c>
      <c r="F119">
        <v>0</v>
      </c>
      <c r="G119">
        <v>0</v>
      </c>
      <c r="H119">
        <v>0</v>
      </c>
      <c r="I119">
        <v>1</v>
      </c>
      <c r="J119" t="s">
        <v>1008</v>
      </c>
      <c r="K119" t="s">
        <v>93</v>
      </c>
      <c r="L119" t="s">
        <v>94</v>
      </c>
      <c r="M119" t="s">
        <v>94</v>
      </c>
      <c r="N119" t="s">
        <v>1019</v>
      </c>
      <c r="O119">
        <v>2007</v>
      </c>
      <c r="P119" t="s">
        <v>1010</v>
      </c>
      <c r="Q119">
        <v>33.4</v>
      </c>
      <c r="R119">
        <v>33.5</v>
      </c>
      <c r="S119">
        <v>8.1999999999999993</v>
      </c>
      <c r="T119">
        <v>60.5</v>
      </c>
      <c r="U119">
        <v>23.2</v>
      </c>
      <c r="V119">
        <v>16.600000000000001</v>
      </c>
      <c r="Z119">
        <v>351</v>
      </c>
      <c r="AA119">
        <v>354</v>
      </c>
      <c r="AK119" t="s">
        <v>232</v>
      </c>
      <c r="AL119">
        <v>1</v>
      </c>
      <c r="AM119">
        <v>-1.3</v>
      </c>
      <c r="AP119">
        <v>82.7</v>
      </c>
      <c r="AQ119">
        <v>-662</v>
      </c>
      <c r="AR119">
        <v>638.70000000000005</v>
      </c>
      <c r="AT119">
        <v>14420</v>
      </c>
      <c r="AU119" t="s">
        <v>142</v>
      </c>
      <c r="AV119">
        <v>2</v>
      </c>
      <c r="AW119">
        <v>2</v>
      </c>
      <c r="AZ119">
        <v>69.3</v>
      </c>
      <c r="BA119">
        <v>689</v>
      </c>
      <c r="BB119">
        <v>822.3</v>
      </c>
      <c r="BD119">
        <v>13621</v>
      </c>
      <c r="BE119" t="s">
        <v>142</v>
      </c>
      <c r="BP119" t="s">
        <v>1020</v>
      </c>
      <c r="BQ119" t="s">
        <v>1021</v>
      </c>
      <c r="BU119" t="s">
        <v>221</v>
      </c>
      <c r="BV119" t="s">
        <v>107</v>
      </c>
      <c r="BW119">
        <v>0</v>
      </c>
      <c r="BX119">
        <v>0</v>
      </c>
      <c r="BY119">
        <v>0</v>
      </c>
    </row>
    <row r="120" spans="1:87" ht="44.1" customHeight="1" x14ac:dyDescent="0.55000000000000004">
      <c r="A120" t="s">
        <v>1022</v>
      </c>
      <c r="B120" t="s">
        <v>1023</v>
      </c>
      <c r="C120" s="13" t="s">
        <v>1024</v>
      </c>
      <c r="D120" t="s">
        <v>1025</v>
      </c>
      <c r="E120" t="s">
        <v>91</v>
      </c>
      <c r="F120">
        <v>1</v>
      </c>
      <c r="G120">
        <v>1</v>
      </c>
      <c r="H120">
        <v>0</v>
      </c>
      <c r="I120">
        <v>1</v>
      </c>
      <c r="J120" t="s">
        <v>1026</v>
      </c>
      <c r="K120" t="s">
        <v>93</v>
      </c>
      <c r="L120" t="s">
        <v>94</v>
      </c>
      <c r="M120" t="s">
        <v>95</v>
      </c>
      <c r="N120" t="s">
        <v>1027</v>
      </c>
      <c r="O120">
        <v>2012.5</v>
      </c>
      <c r="P120" t="s">
        <v>1028</v>
      </c>
      <c r="Q120">
        <v>20</v>
      </c>
      <c r="R120">
        <v>64.099999999999994</v>
      </c>
      <c r="S120">
        <v>15.3</v>
      </c>
      <c r="T120">
        <v>62.9</v>
      </c>
      <c r="U120">
        <v>14.6</v>
      </c>
      <c r="V120">
        <v>90.8</v>
      </c>
      <c r="W120">
        <v>10.1</v>
      </c>
      <c r="Z120">
        <v>2662</v>
      </c>
      <c r="AA120">
        <v>1216</v>
      </c>
      <c r="AK120" t="s">
        <v>776</v>
      </c>
      <c r="AL120">
        <v>1</v>
      </c>
      <c r="AM120">
        <v>-2.4</v>
      </c>
      <c r="AN120">
        <v>1.5</v>
      </c>
      <c r="AP120">
        <v>51.3</v>
      </c>
      <c r="AQ120">
        <v>-314</v>
      </c>
      <c r="AR120">
        <v>130.30000000000001</v>
      </c>
      <c r="AS120" t="s">
        <v>100</v>
      </c>
      <c r="AT120">
        <v>2408</v>
      </c>
      <c r="AU120" t="s">
        <v>142</v>
      </c>
      <c r="AV120">
        <v>2</v>
      </c>
      <c r="AW120">
        <v>3.2</v>
      </c>
      <c r="AX120">
        <v>1.6</v>
      </c>
      <c r="AY120" t="s">
        <v>100</v>
      </c>
      <c r="AZ120">
        <v>59.7</v>
      </c>
      <c r="BA120">
        <v>-201</v>
      </c>
      <c r="BB120">
        <v>191.1</v>
      </c>
      <c r="BD120">
        <v>3937</v>
      </c>
      <c r="BE120" t="s">
        <v>142</v>
      </c>
      <c r="BF120">
        <v>4</v>
      </c>
      <c r="BG120">
        <v>0.2</v>
      </c>
      <c r="BJ120">
        <v>69.8</v>
      </c>
      <c r="BK120">
        <v>251</v>
      </c>
      <c r="BL120">
        <v>302.8</v>
      </c>
      <c r="BN120">
        <v>6729</v>
      </c>
      <c r="BO120" t="s">
        <v>142</v>
      </c>
      <c r="BP120" t="s">
        <v>1029</v>
      </c>
      <c r="BQ120" t="s">
        <v>1030</v>
      </c>
      <c r="BR120">
        <v>12820</v>
      </c>
      <c r="BU120" t="s">
        <v>106</v>
      </c>
      <c r="BV120" t="s">
        <v>107</v>
      </c>
      <c r="BW120">
        <v>0</v>
      </c>
      <c r="BX120">
        <v>0</v>
      </c>
      <c r="BY120">
        <v>0</v>
      </c>
      <c r="BZ120">
        <v>0</v>
      </c>
      <c r="CA120">
        <v>0</v>
      </c>
      <c r="CB120">
        <v>0</v>
      </c>
      <c r="CC120">
        <v>1</v>
      </c>
      <c r="CD120">
        <v>0</v>
      </c>
      <c r="CE120">
        <v>82.1</v>
      </c>
      <c r="CF120">
        <v>0</v>
      </c>
      <c r="CG120">
        <v>8.6999999999999993</v>
      </c>
      <c r="CH120">
        <v>75.400000000000006</v>
      </c>
      <c r="CI120">
        <v>9</v>
      </c>
    </row>
    <row r="121" spans="1:87" ht="44.1" customHeight="1" x14ac:dyDescent="0.55000000000000004">
      <c r="A121" t="s">
        <v>1031</v>
      </c>
      <c r="B121" t="s">
        <v>1032</v>
      </c>
      <c r="C121" s="13" t="s">
        <v>1033</v>
      </c>
      <c r="D121" t="s">
        <v>1034</v>
      </c>
      <c r="E121" t="s">
        <v>226</v>
      </c>
      <c r="F121">
        <v>1</v>
      </c>
      <c r="G121">
        <v>1</v>
      </c>
      <c r="H121">
        <v>1</v>
      </c>
      <c r="I121">
        <v>1</v>
      </c>
      <c r="J121" t="s">
        <v>1035</v>
      </c>
      <c r="K121" t="s">
        <v>93</v>
      </c>
      <c r="L121" t="s">
        <v>94</v>
      </c>
      <c r="M121" t="s">
        <v>94</v>
      </c>
      <c r="N121" t="s">
        <v>1036</v>
      </c>
      <c r="O121">
        <v>2015</v>
      </c>
      <c r="P121" t="s">
        <v>1037</v>
      </c>
      <c r="Q121">
        <v>34.9</v>
      </c>
      <c r="R121">
        <v>89.9</v>
      </c>
      <c r="S121">
        <v>33</v>
      </c>
      <c r="T121">
        <v>39.9</v>
      </c>
      <c r="U121">
        <v>21.7</v>
      </c>
      <c r="V121">
        <v>25.6</v>
      </c>
      <c r="X121" t="s">
        <v>1038</v>
      </c>
      <c r="Z121">
        <v>5083</v>
      </c>
      <c r="AA121">
        <v>5067</v>
      </c>
      <c r="AK121" t="s">
        <v>1039</v>
      </c>
      <c r="AL121">
        <v>1</v>
      </c>
      <c r="AM121">
        <v>1.4</v>
      </c>
      <c r="AP121">
        <v>53.5</v>
      </c>
      <c r="AQ121">
        <v>359</v>
      </c>
      <c r="AR121">
        <v>208.4</v>
      </c>
      <c r="AS121" t="s">
        <v>112</v>
      </c>
      <c r="AT121">
        <v>8986</v>
      </c>
      <c r="AU121" t="s">
        <v>142</v>
      </c>
      <c r="AV121">
        <v>2</v>
      </c>
      <c r="AW121">
        <v>0.2</v>
      </c>
      <c r="AZ121">
        <v>53.5</v>
      </c>
      <c r="BA121">
        <v>-24</v>
      </c>
      <c r="BD121">
        <v>11156</v>
      </c>
      <c r="BE121" t="s">
        <v>142</v>
      </c>
      <c r="BP121" t="s">
        <v>1040</v>
      </c>
      <c r="BQ121" t="s">
        <v>1041</v>
      </c>
      <c r="BR121">
        <v>2505</v>
      </c>
      <c r="BS121">
        <v>1663</v>
      </c>
      <c r="BT121" t="s">
        <v>1042</v>
      </c>
      <c r="BU121" t="s">
        <v>106</v>
      </c>
      <c r="BV121" t="s">
        <v>107</v>
      </c>
      <c r="BW121">
        <v>0</v>
      </c>
      <c r="BX121">
        <v>0</v>
      </c>
      <c r="BY121">
        <v>0</v>
      </c>
      <c r="BZ121">
        <v>0</v>
      </c>
      <c r="CA121">
        <v>0</v>
      </c>
      <c r="CB121">
        <v>0</v>
      </c>
      <c r="CC121">
        <v>0</v>
      </c>
      <c r="CD121">
        <v>0</v>
      </c>
      <c r="CE121">
        <v>11.9</v>
      </c>
      <c r="CF121">
        <v>15.2</v>
      </c>
      <c r="CG121">
        <v>2.4</v>
      </c>
      <c r="CH121">
        <v>3.8</v>
      </c>
    </row>
    <row r="122" spans="1:87" ht="44.1" customHeight="1" x14ac:dyDescent="0.55000000000000004">
      <c r="A122" t="s">
        <v>1043</v>
      </c>
      <c r="B122" t="s">
        <v>1044</v>
      </c>
      <c r="C122" s="13" t="s">
        <v>1045</v>
      </c>
      <c r="D122" t="s">
        <v>1046</v>
      </c>
      <c r="E122" t="s">
        <v>91</v>
      </c>
      <c r="F122">
        <v>1</v>
      </c>
      <c r="G122">
        <v>1</v>
      </c>
      <c r="H122">
        <v>0</v>
      </c>
      <c r="I122">
        <v>1</v>
      </c>
      <c r="J122" t="s">
        <v>1047</v>
      </c>
      <c r="K122" t="s">
        <v>93</v>
      </c>
      <c r="L122" t="s">
        <v>136</v>
      </c>
      <c r="M122" t="s">
        <v>95</v>
      </c>
      <c r="N122" t="s">
        <v>1048</v>
      </c>
      <c r="O122">
        <v>2018.5</v>
      </c>
      <c r="P122" t="s">
        <v>1049</v>
      </c>
      <c r="R122">
        <v>50.5</v>
      </c>
      <c r="T122">
        <v>61.6</v>
      </c>
      <c r="U122">
        <v>16</v>
      </c>
      <c r="V122">
        <v>0</v>
      </c>
      <c r="X122" t="s">
        <v>1050</v>
      </c>
      <c r="Z122">
        <v>389</v>
      </c>
      <c r="AA122">
        <v>163</v>
      </c>
      <c r="AK122" t="s">
        <v>1039</v>
      </c>
      <c r="AL122">
        <v>2</v>
      </c>
      <c r="AQ122">
        <v>-377</v>
      </c>
      <c r="AR122">
        <v>1453</v>
      </c>
      <c r="AT122">
        <v>17280</v>
      </c>
      <c r="AU122" t="s">
        <v>142</v>
      </c>
      <c r="AV122">
        <v>3</v>
      </c>
      <c r="BA122">
        <v>-62</v>
      </c>
      <c r="BB122">
        <v>1771</v>
      </c>
      <c r="BD122">
        <v>20970</v>
      </c>
      <c r="BE122" t="s">
        <v>142</v>
      </c>
      <c r="BP122" t="s">
        <v>1051</v>
      </c>
      <c r="BQ122" t="s">
        <v>1052</v>
      </c>
      <c r="BU122" t="s">
        <v>106</v>
      </c>
      <c r="BV122" t="s">
        <v>107</v>
      </c>
      <c r="BW122">
        <v>0</v>
      </c>
      <c r="BX122">
        <v>1</v>
      </c>
      <c r="BY122">
        <v>1</v>
      </c>
      <c r="BZ122">
        <v>0</v>
      </c>
      <c r="CA122">
        <v>1</v>
      </c>
      <c r="CB122">
        <v>0</v>
      </c>
      <c r="CC122">
        <v>1</v>
      </c>
      <c r="CD122">
        <v>0</v>
      </c>
      <c r="CE122">
        <v>76</v>
      </c>
      <c r="CF122">
        <v>0</v>
      </c>
      <c r="CI122">
        <v>12</v>
      </c>
    </row>
    <row r="123" spans="1:87" ht="44.1" customHeight="1" x14ac:dyDescent="0.55000000000000004">
      <c r="A123" t="s">
        <v>1053</v>
      </c>
      <c r="B123" t="s">
        <v>1054</v>
      </c>
      <c r="C123" s="13" t="s">
        <v>1055</v>
      </c>
      <c r="D123" t="s">
        <v>1056</v>
      </c>
      <c r="E123" t="s">
        <v>226</v>
      </c>
      <c r="F123">
        <v>1</v>
      </c>
      <c r="G123">
        <v>0</v>
      </c>
      <c r="H123">
        <v>1</v>
      </c>
      <c r="I123">
        <v>1</v>
      </c>
      <c r="J123" t="s">
        <v>1057</v>
      </c>
      <c r="K123" t="s">
        <v>228</v>
      </c>
      <c r="L123" t="s">
        <v>94</v>
      </c>
      <c r="M123" t="s">
        <v>94</v>
      </c>
      <c r="N123" t="s">
        <v>1058</v>
      </c>
      <c r="O123">
        <v>1990.5</v>
      </c>
      <c r="P123" t="s">
        <v>1059</v>
      </c>
      <c r="Q123">
        <v>32</v>
      </c>
      <c r="R123">
        <v>56.3</v>
      </c>
      <c r="S123">
        <v>47.6</v>
      </c>
      <c r="T123">
        <v>45.1</v>
      </c>
      <c r="U123">
        <v>6.2</v>
      </c>
      <c r="V123">
        <v>49.5</v>
      </c>
      <c r="X123" t="s">
        <v>1038</v>
      </c>
      <c r="Z123">
        <v>6500</v>
      </c>
      <c r="AA123">
        <v>6500</v>
      </c>
      <c r="AD123">
        <v>0.5</v>
      </c>
      <c r="AK123" t="s">
        <v>1060</v>
      </c>
      <c r="AL123">
        <v>1</v>
      </c>
      <c r="AM123">
        <v>-3</v>
      </c>
      <c r="AN123">
        <v>3.3</v>
      </c>
      <c r="AP123">
        <v>54.5</v>
      </c>
      <c r="AQ123">
        <v>-67</v>
      </c>
      <c r="AR123">
        <v>161</v>
      </c>
      <c r="AT123">
        <v>2543</v>
      </c>
      <c r="AU123" t="s">
        <v>142</v>
      </c>
      <c r="BP123" t="s">
        <v>1061</v>
      </c>
      <c r="BQ123" t="s">
        <v>1062</v>
      </c>
      <c r="BR123">
        <v>135</v>
      </c>
      <c r="BU123" t="s">
        <v>106</v>
      </c>
      <c r="BV123" t="s">
        <v>107</v>
      </c>
      <c r="BW123">
        <v>1</v>
      </c>
      <c r="BX123">
        <v>0</v>
      </c>
      <c r="BY123">
        <v>0</v>
      </c>
      <c r="BZ123">
        <v>0</v>
      </c>
      <c r="CA123">
        <v>0</v>
      </c>
      <c r="CB123">
        <v>0</v>
      </c>
      <c r="CC123">
        <v>0</v>
      </c>
      <c r="CD123">
        <v>0</v>
      </c>
      <c r="CE123">
        <v>12</v>
      </c>
      <c r="CF123">
        <v>28</v>
      </c>
      <c r="CG123">
        <v>9</v>
      </c>
      <c r="CH123">
        <v>6</v>
      </c>
      <c r="CI123">
        <v>2</v>
      </c>
    </row>
    <row r="124" spans="1:87" ht="44.1" customHeight="1" x14ac:dyDescent="0.55000000000000004">
      <c r="A124" t="s">
        <v>1063</v>
      </c>
      <c r="B124" t="s">
        <v>1064</v>
      </c>
      <c r="C124" s="13" t="s">
        <v>1065</v>
      </c>
      <c r="D124" t="s">
        <v>1066</v>
      </c>
      <c r="E124" t="s">
        <v>226</v>
      </c>
      <c r="F124">
        <v>1</v>
      </c>
      <c r="G124">
        <v>0</v>
      </c>
      <c r="H124">
        <v>1</v>
      </c>
      <c r="I124">
        <v>1</v>
      </c>
      <c r="J124" t="s">
        <v>1067</v>
      </c>
      <c r="K124" t="s">
        <v>228</v>
      </c>
      <c r="L124" t="s">
        <v>94</v>
      </c>
      <c r="M124" t="s">
        <v>94</v>
      </c>
      <c r="N124" t="s">
        <v>1068</v>
      </c>
      <c r="O124">
        <v>1995.5</v>
      </c>
      <c r="P124" t="s">
        <v>1069</v>
      </c>
      <c r="Q124">
        <v>28.6</v>
      </c>
      <c r="R124">
        <v>3</v>
      </c>
      <c r="S124">
        <v>58</v>
      </c>
      <c r="T124">
        <v>38</v>
      </c>
      <c r="X124" t="s">
        <v>1038</v>
      </c>
      <c r="Z124">
        <v>63197</v>
      </c>
      <c r="AA124">
        <v>3216</v>
      </c>
      <c r="AK124" t="s">
        <v>1070</v>
      </c>
      <c r="AL124">
        <v>1</v>
      </c>
      <c r="AM124">
        <v>2.5</v>
      </c>
      <c r="AN124">
        <v>1</v>
      </c>
      <c r="AO124" t="s">
        <v>141</v>
      </c>
      <c r="AP124">
        <v>45.1</v>
      </c>
      <c r="AQ124">
        <v>231</v>
      </c>
      <c r="AR124">
        <v>89.7</v>
      </c>
      <c r="AS124" t="s">
        <v>141</v>
      </c>
      <c r="AT124">
        <v>2647</v>
      </c>
      <c r="AU124" t="s">
        <v>142</v>
      </c>
      <c r="AV124">
        <v>3</v>
      </c>
      <c r="AW124">
        <v>3.5</v>
      </c>
      <c r="AX124">
        <v>1.4</v>
      </c>
      <c r="AY124" t="s">
        <v>141</v>
      </c>
      <c r="AZ124">
        <v>51.4</v>
      </c>
      <c r="BA124">
        <v>426</v>
      </c>
      <c r="BB124">
        <v>165.4</v>
      </c>
      <c r="BC124" t="s">
        <v>141</v>
      </c>
      <c r="BD124">
        <v>4929</v>
      </c>
      <c r="BE124" t="s">
        <v>142</v>
      </c>
      <c r="BF124">
        <v>5</v>
      </c>
      <c r="BG124">
        <v>3.6</v>
      </c>
      <c r="BH124">
        <v>1.4</v>
      </c>
      <c r="BI124" t="s">
        <v>141</v>
      </c>
      <c r="BJ124">
        <v>51</v>
      </c>
      <c r="BK124">
        <v>570</v>
      </c>
      <c r="BL124">
        <v>221.3</v>
      </c>
      <c r="BM124" t="s">
        <v>141</v>
      </c>
      <c r="BN124">
        <v>6320</v>
      </c>
      <c r="BO124" t="s">
        <v>142</v>
      </c>
      <c r="BP124" t="s">
        <v>1071</v>
      </c>
      <c r="BQ124" t="s">
        <v>1072</v>
      </c>
      <c r="BR124">
        <v>288</v>
      </c>
      <c r="BS124">
        <v>2757</v>
      </c>
      <c r="BT124" t="s">
        <v>1073</v>
      </c>
      <c r="BU124" t="s">
        <v>470</v>
      </c>
      <c r="BV124" t="s">
        <v>107</v>
      </c>
      <c r="BW124">
        <v>0</v>
      </c>
      <c r="BX124">
        <v>0</v>
      </c>
      <c r="BY124">
        <v>0</v>
      </c>
      <c r="BZ124">
        <v>0</v>
      </c>
      <c r="CA124">
        <v>0</v>
      </c>
      <c r="CB124">
        <v>0</v>
      </c>
      <c r="CC124">
        <v>0</v>
      </c>
      <c r="CD124">
        <v>0</v>
      </c>
      <c r="CE124">
        <v>7</v>
      </c>
      <c r="CF124">
        <v>66</v>
      </c>
      <c r="CG124">
        <v>4.5</v>
      </c>
      <c r="CH124">
        <v>49.6</v>
      </c>
    </row>
    <row r="125" spans="1:87" ht="44.1" customHeight="1" x14ac:dyDescent="0.55000000000000004">
      <c r="A125" t="s">
        <v>1074</v>
      </c>
      <c r="B125" t="s">
        <v>1075</v>
      </c>
      <c r="C125" s="13" t="s">
        <v>1076</v>
      </c>
      <c r="D125" t="s">
        <v>1077</v>
      </c>
      <c r="E125" t="s">
        <v>226</v>
      </c>
      <c r="F125">
        <v>1</v>
      </c>
      <c r="G125">
        <v>1</v>
      </c>
      <c r="H125">
        <v>0</v>
      </c>
      <c r="I125">
        <v>1</v>
      </c>
      <c r="J125" t="s">
        <v>1078</v>
      </c>
      <c r="K125" t="s">
        <v>93</v>
      </c>
      <c r="L125" t="s">
        <v>94</v>
      </c>
      <c r="M125" t="s">
        <v>136</v>
      </c>
      <c r="N125" t="s">
        <v>1079</v>
      </c>
      <c r="O125">
        <v>1994</v>
      </c>
      <c r="P125" t="s">
        <v>1080</v>
      </c>
      <c r="R125">
        <v>57</v>
      </c>
      <c r="T125">
        <v>50</v>
      </c>
      <c r="V125">
        <v>56</v>
      </c>
      <c r="X125" t="s">
        <v>1050</v>
      </c>
      <c r="Z125">
        <v>1040</v>
      </c>
      <c r="AA125">
        <v>1039</v>
      </c>
      <c r="AK125" t="s">
        <v>1081</v>
      </c>
      <c r="AL125">
        <v>1.25</v>
      </c>
      <c r="AM125">
        <v>26</v>
      </c>
      <c r="AO125" t="s">
        <v>141</v>
      </c>
      <c r="AP125">
        <v>73</v>
      </c>
      <c r="AQ125">
        <v>83</v>
      </c>
      <c r="AU125" t="s">
        <v>1082</v>
      </c>
      <c r="BP125" s="12" t="s">
        <v>1083</v>
      </c>
      <c r="BQ125" t="s">
        <v>1084</v>
      </c>
      <c r="BU125" t="s">
        <v>106</v>
      </c>
      <c r="BV125" t="s">
        <v>107</v>
      </c>
      <c r="BW125">
        <v>0</v>
      </c>
      <c r="BX125">
        <v>0</v>
      </c>
      <c r="BY125">
        <v>0</v>
      </c>
      <c r="BZ125">
        <v>0</v>
      </c>
      <c r="CA125">
        <v>0</v>
      </c>
      <c r="CB125">
        <v>0</v>
      </c>
      <c r="CC125">
        <v>0</v>
      </c>
      <c r="CD125">
        <v>0</v>
      </c>
      <c r="CE125">
        <v>99</v>
      </c>
      <c r="CF125">
        <v>0</v>
      </c>
      <c r="CG125">
        <v>3</v>
      </c>
      <c r="CH125">
        <v>19</v>
      </c>
      <c r="CI125">
        <v>10</v>
      </c>
    </row>
    <row r="126" spans="1:87" ht="44.1" customHeight="1" x14ac:dyDescent="0.55000000000000004">
      <c r="A126" t="s">
        <v>1085</v>
      </c>
      <c r="B126" t="s">
        <v>1086</v>
      </c>
      <c r="C126" s="13" t="s">
        <v>1087</v>
      </c>
      <c r="D126" t="s">
        <v>1088</v>
      </c>
      <c r="E126" t="s">
        <v>91</v>
      </c>
      <c r="F126">
        <v>1</v>
      </c>
      <c r="G126">
        <v>0</v>
      </c>
      <c r="H126">
        <v>0</v>
      </c>
      <c r="I126">
        <v>1</v>
      </c>
      <c r="J126" t="s">
        <v>1089</v>
      </c>
      <c r="K126" t="s">
        <v>93</v>
      </c>
      <c r="L126" t="s">
        <v>94</v>
      </c>
      <c r="M126" t="s">
        <v>94</v>
      </c>
      <c r="N126" t="s">
        <v>1090</v>
      </c>
      <c r="O126">
        <v>2000</v>
      </c>
      <c r="P126" t="s">
        <v>1091</v>
      </c>
      <c r="R126">
        <v>5.9</v>
      </c>
      <c r="S126">
        <v>33.6</v>
      </c>
      <c r="T126">
        <v>31.2</v>
      </c>
      <c r="U126">
        <v>30.8</v>
      </c>
      <c r="X126" t="s">
        <v>1050</v>
      </c>
      <c r="Z126">
        <v>528</v>
      </c>
      <c r="AA126">
        <v>515</v>
      </c>
      <c r="AK126" t="s">
        <v>1092</v>
      </c>
      <c r="AL126">
        <v>1</v>
      </c>
      <c r="AM126">
        <v>-0.8</v>
      </c>
      <c r="AP126">
        <v>72.599999999999994</v>
      </c>
      <c r="AQ126">
        <v>-573</v>
      </c>
      <c r="AS126" t="s">
        <v>112</v>
      </c>
      <c r="AT126">
        <v>6909</v>
      </c>
      <c r="AU126" t="s">
        <v>142</v>
      </c>
      <c r="AV126">
        <v>2</v>
      </c>
      <c r="AW126">
        <v>-4.0999999999999996</v>
      </c>
      <c r="AY126" t="s">
        <v>112</v>
      </c>
      <c r="AZ126">
        <v>65.5</v>
      </c>
      <c r="BA126">
        <v>-1193</v>
      </c>
      <c r="BC126" t="s">
        <v>100</v>
      </c>
      <c r="BD126">
        <v>8341</v>
      </c>
      <c r="BE126" t="s">
        <v>142</v>
      </c>
      <c r="BP126" t="s">
        <v>1093</v>
      </c>
      <c r="BQ126" t="s">
        <v>1094</v>
      </c>
      <c r="BU126" t="s">
        <v>181</v>
      </c>
      <c r="BV126" t="s">
        <v>107</v>
      </c>
      <c r="BW126">
        <v>0</v>
      </c>
      <c r="BX126">
        <v>0</v>
      </c>
      <c r="BY126">
        <v>0</v>
      </c>
      <c r="BZ126">
        <v>0</v>
      </c>
      <c r="CA126">
        <v>0</v>
      </c>
      <c r="CB126">
        <v>0</v>
      </c>
      <c r="CC126">
        <v>0</v>
      </c>
      <c r="CD126">
        <v>0</v>
      </c>
      <c r="CE126">
        <v>68.900000000000006</v>
      </c>
      <c r="CF126">
        <v>0</v>
      </c>
      <c r="CG126">
        <v>20.2</v>
      </c>
      <c r="CH126">
        <v>58.6</v>
      </c>
      <c r="CI126">
        <v>6</v>
      </c>
    </row>
    <row r="127" spans="1:87" ht="44.1" customHeight="1" x14ac:dyDescent="0.55000000000000004">
      <c r="A127" t="s">
        <v>1095</v>
      </c>
      <c r="B127" t="s">
        <v>1096</v>
      </c>
      <c r="C127" s="13" t="s">
        <v>1097</v>
      </c>
      <c r="D127" t="s">
        <v>1098</v>
      </c>
      <c r="E127" t="s">
        <v>226</v>
      </c>
      <c r="F127">
        <v>1</v>
      </c>
      <c r="G127">
        <v>0</v>
      </c>
      <c r="H127">
        <v>1</v>
      </c>
      <c r="I127">
        <v>1</v>
      </c>
      <c r="J127" t="s">
        <v>1099</v>
      </c>
      <c r="K127" t="s">
        <v>228</v>
      </c>
      <c r="L127" t="s">
        <v>94</v>
      </c>
      <c r="M127" t="s">
        <v>94</v>
      </c>
      <c r="N127" t="s">
        <v>1100</v>
      </c>
      <c r="O127">
        <v>1986</v>
      </c>
      <c r="P127" t="s">
        <v>1101</v>
      </c>
      <c r="S127">
        <v>27.3</v>
      </c>
      <c r="T127">
        <v>42.4</v>
      </c>
      <c r="U127">
        <v>25.4</v>
      </c>
      <c r="V127">
        <v>43.9</v>
      </c>
      <c r="X127" t="s">
        <v>1038</v>
      </c>
      <c r="Z127">
        <v>1604</v>
      </c>
      <c r="AA127">
        <v>1606</v>
      </c>
      <c r="AK127" t="s">
        <v>1102</v>
      </c>
      <c r="AL127">
        <v>1</v>
      </c>
      <c r="AM127">
        <v>7.3</v>
      </c>
      <c r="AN127">
        <v>2.8</v>
      </c>
      <c r="AO127" t="s">
        <v>141</v>
      </c>
      <c r="AP127">
        <v>25.7</v>
      </c>
      <c r="AQ127">
        <v>352</v>
      </c>
      <c r="AR127">
        <v>136.6</v>
      </c>
      <c r="AS127" t="s">
        <v>141</v>
      </c>
      <c r="AT127">
        <v>1678</v>
      </c>
      <c r="AU127" t="s">
        <v>142</v>
      </c>
      <c r="AV127">
        <v>2</v>
      </c>
      <c r="AW127">
        <v>7.2</v>
      </c>
      <c r="AX127">
        <v>2.8</v>
      </c>
      <c r="AY127" t="s">
        <v>141</v>
      </c>
      <c r="AZ127">
        <v>27.9</v>
      </c>
      <c r="BA127">
        <v>644</v>
      </c>
      <c r="BB127">
        <v>250</v>
      </c>
      <c r="BC127" t="s">
        <v>141</v>
      </c>
      <c r="BD127">
        <v>2248</v>
      </c>
      <c r="BE127" t="s">
        <v>142</v>
      </c>
      <c r="BF127">
        <v>5</v>
      </c>
      <c r="BG127">
        <v>1.3</v>
      </c>
      <c r="BJ127">
        <v>32</v>
      </c>
      <c r="BK127">
        <v>148</v>
      </c>
      <c r="BN127">
        <v>3978</v>
      </c>
      <c r="BO127" t="s">
        <v>142</v>
      </c>
      <c r="BP127" t="s">
        <v>1103</v>
      </c>
      <c r="BQ127" t="s">
        <v>1104</v>
      </c>
      <c r="BR127">
        <v>920</v>
      </c>
      <c r="BU127" t="s">
        <v>181</v>
      </c>
      <c r="BV127" t="s">
        <v>107</v>
      </c>
      <c r="BW127">
        <v>0</v>
      </c>
      <c r="BX127">
        <v>0</v>
      </c>
      <c r="BY127">
        <v>0</v>
      </c>
      <c r="BZ127">
        <v>0</v>
      </c>
      <c r="CA127">
        <v>0</v>
      </c>
      <c r="CB127">
        <v>0</v>
      </c>
      <c r="CC127">
        <v>0</v>
      </c>
      <c r="CD127">
        <v>0</v>
      </c>
      <c r="CE127">
        <v>39</v>
      </c>
      <c r="CF127">
        <v>30</v>
      </c>
      <c r="CG127">
        <v>10</v>
      </c>
      <c r="CH127">
        <v>29</v>
      </c>
    </row>
    <row r="128" spans="1:87" ht="44.1" customHeight="1" x14ac:dyDescent="0.55000000000000004">
      <c r="A128" t="s">
        <v>1095</v>
      </c>
      <c r="B128" t="s">
        <v>1105</v>
      </c>
      <c r="C128" s="13" t="s">
        <v>1106</v>
      </c>
      <c r="D128" t="s">
        <v>1107</v>
      </c>
      <c r="E128" t="s">
        <v>226</v>
      </c>
      <c r="F128">
        <v>1</v>
      </c>
      <c r="G128">
        <v>0</v>
      </c>
      <c r="H128">
        <v>1</v>
      </c>
      <c r="I128">
        <v>1</v>
      </c>
      <c r="J128" t="s">
        <v>1099</v>
      </c>
      <c r="K128" t="s">
        <v>228</v>
      </c>
      <c r="L128" t="s">
        <v>94</v>
      </c>
      <c r="M128" t="s">
        <v>94</v>
      </c>
      <c r="N128" t="s">
        <v>1100</v>
      </c>
      <c r="O128">
        <v>1986</v>
      </c>
      <c r="P128" t="s">
        <v>1108</v>
      </c>
      <c r="S128">
        <v>25.6</v>
      </c>
      <c r="T128">
        <v>20.8</v>
      </c>
      <c r="U128">
        <v>40.200000000000003</v>
      </c>
      <c r="V128">
        <v>53</v>
      </c>
      <c r="X128" t="s">
        <v>1038</v>
      </c>
      <c r="Z128">
        <v>686</v>
      </c>
      <c r="AA128">
        <v>654</v>
      </c>
      <c r="AK128" t="s">
        <v>1102</v>
      </c>
      <c r="AL128">
        <v>1</v>
      </c>
      <c r="AM128">
        <v>5.6</v>
      </c>
      <c r="AN128">
        <v>2.2000000000000002</v>
      </c>
      <c r="AO128" t="s">
        <v>141</v>
      </c>
      <c r="AP128">
        <v>32</v>
      </c>
      <c r="AQ128">
        <v>487</v>
      </c>
      <c r="AR128">
        <v>296</v>
      </c>
      <c r="AS128" t="s">
        <v>112</v>
      </c>
      <c r="AT128">
        <v>2815</v>
      </c>
      <c r="AU128" t="s">
        <v>142</v>
      </c>
      <c r="AV128">
        <v>2</v>
      </c>
      <c r="AW128">
        <v>4.8</v>
      </c>
      <c r="AX128">
        <v>2.4</v>
      </c>
      <c r="AY128" t="s">
        <v>100</v>
      </c>
      <c r="AZ128">
        <v>36.9</v>
      </c>
      <c r="BA128">
        <v>478</v>
      </c>
      <c r="BD128">
        <v>3831</v>
      </c>
      <c r="BE128" t="s">
        <v>142</v>
      </c>
      <c r="BF128">
        <v>5</v>
      </c>
      <c r="BG128">
        <v>1.8</v>
      </c>
      <c r="BJ128">
        <v>35.6</v>
      </c>
      <c r="BK128">
        <v>-251</v>
      </c>
      <c r="BN128">
        <v>5510</v>
      </c>
      <c r="BO128" t="s">
        <v>142</v>
      </c>
      <c r="BP128" t="s">
        <v>1109</v>
      </c>
      <c r="BQ128" t="s">
        <v>1110</v>
      </c>
      <c r="BR128">
        <v>840</v>
      </c>
      <c r="BU128" t="s">
        <v>181</v>
      </c>
      <c r="BV128" t="s">
        <v>107</v>
      </c>
      <c r="BW128">
        <v>0</v>
      </c>
      <c r="BX128">
        <v>0</v>
      </c>
      <c r="BY128">
        <v>0</v>
      </c>
      <c r="BZ128">
        <v>0</v>
      </c>
      <c r="CA128">
        <v>0</v>
      </c>
      <c r="CB128">
        <v>0</v>
      </c>
      <c r="CC128">
        <v>0</v>
      </c>
      <c r="CD128">
        <v>0</v>
      </c>
      <c r="CE128">
        <v>47</v>
      </c>
      <c r="CF128">
        <v>23</v>
      </c>
      <c r="CG128">
        <v>11</v>
      </c>
      <c r="CH128">
        <v>23</v>
      </c>
    </row>
    <row r="129" spans="1:87" ht="44.1" customHeight="1" x14ac:dyDescent="0.55000000000000004">
      <c r="A129" t="s">
        <v>1111</v>
      </c>
      <c r="B129" t="s">
        <v>1112</v>
      </c>
      <c r="C129" s="13" t="s">
        <v>1113</v>
      </c>
      <c r="D129" t="s">
        <v>1114</v>
      </c>
      <c r="E129" t="s">
        <v>91</v>
      </c>
      <c r="F129">
        <v>1</v>
      </c>
      <c r="G129">
        <v>1</v>
      </c>
      <c r="H129">
        <v>0</v>
      </c>
      <c r="I129">
        <v>1</v>
      </c>
      <c r="J129" t="s">
        <v>1115</v>
      </c>
      <c r="K129" t="s">
        <v>93</v>
      </c>
      <c r="L129" t="s">
        <v>94</v>
      </c>
      <c r="M129" t="s">
        <v>94</v>
      </c>
      <c r="N129" t="s">
        <v>1116</v>
      </c>
      <c r="O129">
        <v>2014.5</v>
      </c>
      <c r="P129" t="s">
        <v>1117</v>
      </c>
      <c r="Q129">
        <v>40</v>
      </c>
      <c r="R129">
        <v>80</v>
      </c>
      <c r="S129">
        <v>72</v>
      </c>
      <c r="T129">
        <v>26</v>
      </c>
      <c r="U129">
        <v>11</v>
      </c>
      <c r="V129">
        <v>2</v>
      </c>
      <c r="X129" t="s">
        <v>1118</v>
      </c>
      <c r="Z129">
        <v>514</v>
      </c>
      <c r="AA129">
        <v>224</v>
      </c>
      <c r="AK129" t="s">
        <v>1119</v>
      </c>
      <c r="AL129">
        <v>1</v>
      </c>
      <c r="AQ129">
        <v>-231</v>
      </c>
      <c r="AT129">
        <v>15029</v>
      </c>
      <c r="AU129" t="s">
        <v>142</v>
      </c>
      <c r="AV129">
        <v>2</v>
      </c>
      <c r="BA129">
        <v>5476</v>
      </c>
      <c r="BB129">
        <v>2793.3</v>
      </c>
      <c r="BC129" t="s">
        <v>100</v>
      </c>
      <c r="BD129">
        <v>19862</v>
      </c>
      <c r="BE129" t="s">
        <v>142</v>
      </c>
      <c r="BP129" t="s">
        <v>1120</v>
      </c>
      <c r="BQ129" t="s">
        <v>1121</v>
      </c>
      <c r="BR129">
        <v>9991</v>
      </c>
      <c r="BU129" t="s">
        <v>185</v>
      </c>
      <c r="BV129" t="s">
        <v>107</v>
      </c>
      <c r="BW129">
        <v>0</v>
      </c>
      <c r="BX129">
        <v>0</v>
      </c>
      <c r="BY129">
        <v>0</v>
      </c>
      <c r="BZ129">
        <v>1</v>
      </c>
      <c r="CA129">
        <v>1</v>
      </c>
      <c r="CB129">
        <v>1</v>
      </c>
      <c r="CC129">
        <v>1</v>
      </c>
      <c r="CD129">
        <v>0</v>
      </c>
      <c r="CE129">
        <v>95.6</v>
      </c>
      <c r="CF129">
        <v>0</v>
      </c>
      <c r="CG129">
        <v>71.900000000000006</v>
      </c>
      <c r="CH129">
        <v>23.7</v>
      </c>
      <c r="CI129">
        <v>5</v>
      </c>
    </row>
    <row r="130" spans="1:87" ht="44.1" customHeight="1" x14ac:dyDescent="0.55000000000000004">
      <c r="A130" t="s">
        <v>1122</v>
      </c>
      <c r="B130" t="s">
        <v>1123</v>
      </c>
      <c r="C130" s="13" t="s">
        <v>1124</v>
      </c>
      <c r="D130" t="s">
        <v>1125</v>
      </c>
      <c r="E130" t="s">
        <v>91</v>
      </c>
      <c r="F130">
        <v>1</v>
      </c>
      <c r="G130">
        <v>0</v>
      </c>
      <c r="H130">
        <v>1</v>
      </c>
      <c r="I130">
        <v>1</v>
      </c>
      <c r="J130" t="s">
        <v>1126</v>
      </c>
      <c r="K130" t="s">
        <v>93</v>
      </c>
      <c r="L130" t="s">
        <v>94</v>
      </c>
      <c r="M130" t="s">
        <v>94</v>
      </c>
      <c r="N130" t="s">
        <v>1127</v>
      </c>
      <c r="O130">
        <v>2014</v>
      </c>
      <c r="P130" t="s">
        <v>1128</v>
      </c>
      <c r="Q130">
        <v>33</v>
      </c>
      <c r="R130">
        <v>27</v>
      </c>
      <c r="S130">
        <v>18</v>
      </c>
      <c r="T130">
        <v>71</v>
      </c>
      <c r="U130">
        <v>10</v>
      </c>
      <c r="V130">
        <v>16</v>
      </c>
      <c r="X130" t="s">
        <v>1038</v>
      </c>
      <c r="Z130">
        <v>940</v>
      </c>
      <c r="AA130">
        <v>573</v>
      </c>
      <c r="AK130" t="s">
        <v>1129</v>
      </c>
      <c r="AL130">
        <v>1.5</v>
      </c>
      <c r="AM130">
        <v>12.9</v>
      </c>
      <c r="AN130">
        <v>5</v>
      </c>
      <c r="AO130" t="s">
        <v>141</v>
      </c>
      <c r="AP130">
        <v>69.2</v>
      </c>
      <c r="AQ130">
        <v>1295</v>
      </c>
      <c r="AR130">
        <v>502.7</v>
      </c>
      <c r="AS130" t="s">
        <v>141</v>
      </c>
      <c r="AT130">
        <v>11602</v>
      </c>
      <c r="AU130" t="s">
        <v>142</v>
      </c>
      <c r="AV130">
        <v>2.5</v>
      </c>
      <c r="AW130">
        <v>13.5</v>
      </c>
      <c r="AX130">
        <v>5.2</v>
      </c>
      <c r="AY130" t="s">
        <v>141</v>
      </c>
      <c r="AZ130">
        <v>65.5</v>
      </c>
      <c r="BA130">
        <v>5263</v>
      </c>
      <c r="BB130">
        <v>2042.9</v>
      </c>
      <c r="BC130" t="s">
        <v>141</v>
      </c>
      <c r="BD130">
        <v>21790</v>
      </c>
      <c r="BE130" t="s">
        <v>1130</v>
      </c>
      <c r="BP130" t="s">
        <v>1131</v>
      </c>
      <c r="BQ130" t="s">
        <v>1132</v>
      </c>
      <c r="BR130">
        <v>6600</v>
      </c>
      <c r="BU130" t="s">
        <v>106</v>
      </c>
      <c r="BV130" t="s">
        <v>107</v>
      </c>
      <c r="BW130">
        <v>0</v>
      </c>
      <c r="BX130">
        <v>0</v>
      </c>
      <c r="BY130">
        <v>0</v>
      </c>
      <c r="BZ130">
        <v>0</v>
      </c>
      <c r="CA130">
        <v>1</v>
      </c>
      <c r="CB130">
        <v>1</v>
      </c>
      <c r="CC130">
        <v>1</v>
      </c>
      <c r="CD130">
        <v>0</v>
      </c>
      <c r="CE130">
        <v>77</v>
      </c>
      <c r="CF130">
        <v>0</v>
      </c>
      <c r="CI130">
        <v>3.5</v>
      </c>
    </row>
    <row r="131" spans="1:87" ht="44.1" customHeight="1" x14ac:dyDescent="0.55000000000000004">
      <c r="A131" t="s">
        <v>1133</v>
      </c>
      <c r="B131" t="s">
        <v>1134</v>
      </c>
      <c r="C131" s="13" t="s">
        <v>1135</v>
      </c>
      <c r="D131" t="s">
        <v>1136</v>
      </c>
      <c r="E131" t="s">
        <v>226</v>
      </c>
      <c r="F131">
        <v>1</v>
      </c>
      <c r="G131">
        <v>1</v>
      </c>
      <c r="H131">
        <v>1</v>
      </c>
      <c r="I131">
        <v>1</v>
      </c>
      <c r="J131" t="s">
        <v>1137</v>
      </c>
      <c r="K131" t="s">
        <v>228</v>
      </c>
      <c r="L131" t="s">
        <v>94</v>
      </c>
      <c r="M131" t="s">
        <v>94</v>
      </c>
      <c r="N131" t="s">
        <v>1138</v>
      </c>
      <c r="O131">
        <v>1988</v>
      </c>
      <c r="P131" t="s">
        <v>1139</v>
      </c>
      <c r="X131" t="s">
        <v>1038</v>
      </c>
      <c r="Z131">
        <v>538</v>
      </c>
      <c r="AA131">
        <v>487</v>
      </c>
      <c r="AK131" t="s">
        <v>1140</v>
      </c>
      <c r="AV131">
        <v>2.5</v>
      </c>
      <c r="AW131">
        <v>-3.4</v>
      </c>
      <c r="AZ131">
        <v>26.1</v>
      </c>
      <c r="BA131">
        <v>-125</v>
      </c>
      <c r="BD131">
        <v>1744</v>
      </c>
      <c r="BE131" t="s">
        <v>777</v>
      </c>
      <c r="BP131" t="s">
        <v>1141</v>
      </c>
      <c r="BQ131" t="s">
        <v>1142</v>
      </c>
      <c r="BR131">
        <v>718</v>
      </c>
      <c r="BU131" t="s">
        <v>399</v>
      </c>
      <c r="BV131" t="s">
        <v>246</v>
      </c>
      <c r="BW131">
        <v>0</v>
      </c>
      <c r="BX131">
        <v>0</v>
      </c>
      <c r="BY131">
        <v>0</v>
      </c>
      <c r="BZ131">
        <v>0</v>
      </c>
      <c r="CA131">
        <v>0</v>
      </c>
      <c r="CB131">
        <v>0</v>
      </c>
      <c r="CC131">
        <v>0</v>
      </c>
      <c r="CD131">
        <v>0</v>
      </c>
    </row>
    <row r="132" spans="1:87" ht="44.1" customHeight="1" x14ac:dyDescent="0.55000000000000004">
      <c r="A132" t="s">
        <v>1143</v>
      </c>
      <c r="B132" t="s">
        <v>1144</v>
      </c>
      <c r="C132" s="13" t="s">
        <v>1145</v>
      </c>
      <c r="D132" t="s">
        <v>1146</v>
      </c>
      <c r="E132" t="s">
        <v>91</v>
      </c>
      <c r="F132">
        <v>1</v>
      </c>
      <c r="G132">
        <v>0</v>
      </c>
      <c r="H132">
        <v>1</v>
      </c>
      <c r="I132">
        <v>1</v>
      </c>
      <c r="J132" t="s">
        <v>1147</v>
      </c>
      <c r="K132" t="s">
        <v>93</v>
      </c>
      <c r="L132" t="s">
        <v>94</v>
      </c>
      <c r="M132" t="s">
        <v>136</v>
      </c>
      <c r="N132" t="s">
        <v>1148</v>
      </c>
      <c r="O132">
        <v>2018.5</v>
      </c>
      <c r="P132" t="s">
        <v>1149</v>
      </c>
      <c r="Q132">
        <v>32</v>
      </c>
      <c r="R132">
        <v>8</v>
      </c>
      <c r="S132">
        <v>24</v>
      </c>
      <c r="T132">
        <v>47</v>
      </c>
      <c r="U132">
        <v>23</v>
      </c>
      <c r="V132">
        <v>10.199999999999999</v>
      </c>
      <c r="X132" t="s">
        <v>1038</v>
      </c>
      <c r="Z132">
        <v>15060</v>
      </c>
      <c r="AA132">
        <v>7371</v>
      </c>
      <c r="AG132">
        <v>0.66</v>
      </c>
      <c r="AK132" t="s">
        <v>1150</v>
      </c>
      <c r="AL132">
        <v>1</v>
      </c>
      <c r="AQ132">
        <v>-12</v>
      </c>
      <c r="AU132" t="s">
        <v>777</v>
      </c>
      <c r="AV132">
        <v>3</v>
      </c>
      <c r="AW132">
        <v>3</v>
      </c>
      <c r="AX132">
        <v>2</v>
      </c>
      <c r="AZ132">
        <v>63</v>
      </c>
      <c r="BA132">
        <v>94</v>
      </c>
      <c r="BB132">
        <v>60</v>
      </c>
      <c r="BD132">
        <v>4971</v>
      </c>
      <c r="BE132" t="s">
        <v>777</v>
      </c>
      <c r="BP132" t="s">
        <v>1151</v>
      </c>
      <c r="BQ132" t="s">
        <v>1152</v>
      </c>
      <c r="BU132" t="s">
        <v>106</v>
      </c>
      <c r="BV132" t="s">
        <v>107</v>
      </c>
      <c r="BW132">
        <v>0</v>
      </c>
      <c r="BX132">
        <v>0</v>
      </c>
      <c r="BY132">
        <v>0</v>
      </c>
      <c r="BZ132">
        <v>0</v>
      </c>
      <c r="CA132">
        <v>0</v>
      </c>
      <c r="CB132">
        <v>1</v>
      </c>
      <c r="CC132">
        <v>0</v>
      </c>
      <c r="CD132">
        <v>0</v>
      </c>
      <c r="CE132">
        <v>18</v>
      </c>
      <c r="CF132">
        <v>59</v>
      </c>
      <c r="CG132">
        <v>14.5</v>
      </c>
      <c r="CH132">
        <v>66.900000000000006</v>
      </c>
    </row>
    <row r="133" spans="1:87" ht="44.1" customHeight="1" x14ac:dyDescent="0.55000000000000004">
      <c r="A133" t="s">
        <v>1153</v>
      </c>
      <c r="B133" t="s">
        <v>1154</v>
      </c>
      <c r="C133" s="13" t="s">
        <v>1155</v>
      </c>
      <c r="D133" t="s">
        <v>1156</v>
      </c>
      <c r="E133" t="s">
        <v>91</v>
      </c>
      <c r="F133">
        <v>1</v>
      </c>
      <c r="G133">
        <v>0</v>
      </c>
      <c r="H133">
        <v>1</v>
      </c>
      <c r="I133">
        <v>1</v>
      </c>
      <c r="J133" t="s">
        <v>1157</v>
      </c>
      <c r="K133" t="s">
        <v>93</v>
      </c>
      <c r="L133" t="s">
        <v>94</v>
      </c>
      <c r="M133" t="s">
        <v>136</v>
      </c>
      <c r="N133" t="s">
        <v>1116</v>
      </c>
      <c r="O133">
        <v>2014.5</v>
      </c>
      <c r="P133" t="s">
        <v>1149</v>
      </c>
      <c r="Q133">
        <v>32</v>
      </c>
      <c r="R133">
        <v>11</v>
      </c>
      <c r="S133">
        <v>36</v>
      </c>
      <c r="T133">
        <v>34</v>
      </c>
      <c r="U133">
        <v>24</v>
      </c>
      <c r="X133" t="s">
        <v>1038</v>
      </c>
      <c r="Z133">
        <v>6872</v>
      </c>
      <c r="AA133">
        <v>5044</v>
      </c>
      <c r="AK133" t="s">
        <v>1150</v>
      </c>
      <c r="AL133">
        <v>1.25</v>
      </c>
      <c r="AQ133">
        <v>30</v>
      </c>
      <c r="AU133" t="s">
        <v>777</v>
      </c>
      <c r="AV133">
        <v>3</v>
      </c>
      <c r="BA133">
        <v>42</v>
      </c>
      <c r="BE133" t="s">
        <v>777</v>
      </c>
      <c r="BF133">
        <v>6</v>
      </c>
      <c r="BG133">
        <v>4.9000000000000004</v>
      </c>
      <c r="BI133" t="s">
        <v>100</v>
      </c>
      <c r="BJ133">
        <v>32</v>
      </c>
      <c r="BK133">
        <v>-145</v>
      </c>
      <c r="BN133">
        <v>6011</v>
      </c>
      <c r="BO133" t="s">
        <v>364</v>
      </c>
      <c r="BP133" t="s">
        <v>1158</v>
      </c>
      <c r="BQ133" t="s">
        <v>1159</v>
      </c>
      <c r="BU133" t="s">
        <v>106</v>
      </c>
      <c r="BV133" t="s">
        <v>107</v>
      </c>
      <c r="BW133">
        <v>0</v>
      </c>
      <c r="BX133">
        <v>0</v>
      </c>
      <c r="BY133">
        <v>0</v>
      </c>
      <c r="BZ133">
        <v>0</v>
      </c>
      <c r="CA133">
        <v>0</v>
      </c>
      <c r="CB133">
        <v>1</v>
      </c>
      <c r="CC133">
        <v>0</v>
      </c>
      <c r="CD133">
        <v>0</v>
      </c>
      <c r="CG133">
        <v>7.6</v>
      </c>
      <c r="CH133">
        <v>70.2</v>
      </c>
      <c r="CI133">
        <v>7.5</v>
      </c>
    </row>
    <row r="134" spans="1:87" ht="44.1" customHeight="1" x14ac:dyDescent="0.55000000000000004">
      <c r="A134" t="s">
        <v>789</v>
      </c>
      <c r="B134" t="s">
        <v>1160</v>
      </c>
      <c r="C134" s="13" t="s">
        <v>1161</v>
      </c>
      <c r="D134" t="s">
        <v>1162</v>
      </c>
      <c r="E134" t="s">
        <v>977</v>
      </c>
      <c r="F134">
        <v>1</v>
      </c>
      <c r="G134">
        <v>1</v>
      </c>
      <c r="H134">
        <v>1</v>
      </c>
      <c r="I134">
        <v>1</v>
      </c>
      <c r="J134" t="s">
        <v>1163</v>
      </c>
      <c r="K134" t="s">
        <v>228</v>
      </c>
      <c r="L134" t="s">
        <v>94</v>
      </c>
      <c r="M134" t="s">
        <v>94</v>
      </c>
      <c r="N134" t="s">
        <v>1164</v>
      </c>
      <c r="O134">
        <v>2002.6669999999999</v>
      </c>
      <c r="P134" t="s">
        <v>1165</v>
      </c>
      <c r="Q134">
        <v>31.4</v>
      </c>
      <c r="R134">
        <v>6.8</v>
      </c>
      <c r="S134">
        <v>16.3</v>
      </c>
      <c r="T134">
        <v>67.8</v>
      </c>
      <c r="U134">
        <v>2.2000000000000002</v>
      </c>
      <c r="V134">
        <v>46.4</v>
      </c>
      <c r="X134" t="s">
        <v>1038</v>
      </c>
      <c r="Z134">
        <v>845</v>
      </c>
      <c r="AA134">
        <v>847</v>
      </c>
      <c r="AK134" t="s">
        <v>1166</v>
      </c>
      <c r="AL134">
        <v>1</v>
      </c>
      <c r="AM134">
        <v>3.7</v>
      </c>
      <c r="AO134" t="s">
        <v>112</v>
      </c>
      <c r="AP134">
        <v>56.7</v>
      </c>
      <c r="AQ134">
        <v>110</v>
      </c>
      <c r="AT134">
        <v>3904</v>
      </c>
      <c r="AU134" t="s">
        <v>142</v>
      </c>
      <c r="AV134">
        <v>1.75</v>
      </c>
      <c r="AW134">
        <v>1.8</v>
      </c>
      <c r="AZ134">
        <v>43.4</v>
      </c>
      <c r="BA134">
        <v>-87</v>
      </c>
      <c r="BD134">
        <v>1358</v>
      </c>
      <c r="BE134" t="s">
        <v>777</v>
      </c>
      <c r="BP134" t="s">
        <v>1167</v>
      </c>
      <c r="BQ134" t="s">
        <v>1168</v>
      </c>
      <c r="BR134">
        <v>4000</v>
      </c>
      <c r="BU134" t="s">
        <v>504</v>
      </c>
      <c r="BV134" t="s">
        <v>107</v>
      </c>
      <c r="BW134">
        <v>0</v>
      </c>
      <c r="BX134">
        <v>0</v>
      </c>
      <c r="BY134">
        <v>0</v>
      </c>
      <c r="BZ134">
        <v>0</v>
      </c>
      <c r="CA134">
        <v>0</v>
      </c>
      <c r="CB134">
        <v>0</v>
      </c>
      <c r="CC134">
        <v>0</v>
      </c>
      <c r="CD134">
        <v>0</v>
      </c>
      <c r="CE134">
        <v>5.8</v>
      </c>
      <c r="CF134">
        <v>3.7</v>
      </c>
      <c r="CG134">
        <v>-4.3</v>
      </c>
      <c r="CH134">
        <v>42.1</v>
      </c>
    </row>
    <row r="135" spans="1:87" ht="44.1" customHeight="1" x14ac:dyDescent="0.55000000000000004">
      <c r="A135" t="s">
        <v>1169</v>
      </c>
      <c r="B135" t="s">
        <v>1170</v>
      </c>
      <c r="C135" s="13" t="s">
        <v>1171</v>
      </c>
      <c r="D135" t="s">
        <v>1172</v>
      </c>
      <c r="E135" t="s">
        <v>226</v>
      </c>
      <c r="F135">
        <v>1</v>
      </c>
      <c r="G135">
        <v>0</v>
      </c>
      <c r="H135">
        <v>1</v>
      </c>
      <c r="I135">
        <v>1</v>
      </c>
      <c r="J135" t="s">
        <v>1173</v>
      </c>
      <c r="K135" t="s">
        <v>228</v>
      </c>
      <c r="L135" t="s">
        <v>94</v>
      </c>
      <c r="M135" t="s">
        <v>94</v>
      </c>
      <c r="N135" t="s">
        <v>1174</v>
      </c>
      <c r="O135">
        <v>1987</v>
      </c>
      <c r="P135" t="s">
        <v>1175</v>
      </c>
      <c r="Q135">
        <v>43.2</v>
      </c>
      <c r="R135">
        <v>52.3</v>
      </c>
      <c r="S135">
        <v>61</v>
      </c>
      <c r="T135">
        <v>17.600000000000001</v>
      </c>
      <c r="X135" t="s">
        <v>1038</v>
      </c>
      <c r="Y135">
        <v>0.27</v>
      </c>
      <c r="Z135">
        <v>1672</v>
      </c>
      <c r="AA135">
        <v>1449</v>
      </c>
      <c r="AB135">
        <v>0.71499999999999997</v>
      </c>
      <c r="AC135">
        <v>0.82199999999999995</v>
      </c>
      <c r="AD135">
        <v>0.71099999999999997</v>
      </c>
      <c r="AK135" t="s">
        <v>1176</v>
      </c>
      <c r="AL135">
        <v>1</v>
      </c>
      <c r="AM135">
        <v>2.5</v>
      </c>
      <c r="AN135">
        <v>1.3</v>
      </c>
      <c r="AO135" t="s">
        <v>112</v>
      </c>
      <c r="AP135">
        <v>42.8</v>
      </c>
      <c r="AQ135">
        <v>226</v>
      </c>
      <c r="AR135">
        <v>373</v>
      </c>
      <c r="AT135">
        <v>8287</v>
      </c>
      <c r="AU135" t="s">
        <v>142</v>
      </c>
      <c r="BP135" t="s">
        <v>1177</v>
      </c>
      <c r="BQ135" t="s">
        <v>1178</v>
      </c>
      <c r="BR135">
        <v>377</v>
      </c>
      <c r="BU135" t="s">
        <v>653</v>
      </c>
      <c r="BV135" t="s">
        <v>107</v>
      </c>
      <c r="BW135">
        <v>0</v>
      </c>
      <c r="BX135">
        <v>0</v>
      </c>
      <c r="BY135">
        <v>0</v>
      </c>
      <c r="BZ135">
        <v>0</v>
      </c>
      <c r="CA135">
        <v>0</v>
      </c>
      <c r="CB135">
        <v>0</v>
      </c>
      <c r="CC135">
        <v>0</v>
      </c>
      <c r="CD135">
        <v>0</v>
      </c>
      <c r="CE135">
        <v>9.4</v>
      </c>
      <c r="CF135">
        <v>2.2999999999999998</v>
      </c>
      <c r="CG135">
        <v>7.1</v>
      </c>
      <c r="CH135">
        <v>2.2999999999999998</v>
      </c>
      <c r="CI135">
        <v>4.0999999999999996</v>
      </c>
    </row>
    <row r="136" spans="1:87" ht="44.1" customHeight="1" x14ac:dyDescent="0.55000000000000004">
      <c r="A136" t="s">
        <v>1179</v>
      </c>
      <c r="B136" t="s">
        <v>1180</v>
      </c>
      <c r="C136" s="13" t="s">
        <v>1181</v>
      </c>
      <c r="D136" t="s">
        <v>1182</v>
      </c>
      <c r="E136" t="s">
        <v>91</v>
      </c>
      <c r="F136">
        <v>1</v>
      </c>
      <c r="G136">
        <v>1</v>
      </c>
      <c r="H136">
        <v>1</v>
      </c>
      <c r="I136">
        <v>1</v>
      </c>
      <c r="J136" t="s">
        <v>1183</v>
      </c>
      <c r="K136" t="s">
        <v>228</v>
      </c>
      <c r="L136" t="s">
        <v>94</v>
      </c>
      <c r="M136" t="s">
        <v>136</v>
      </c>
      <c r="N136" t="s">
        <v>1184</v>
      </c>
      <c r="O136">
        <v>1984.875</v>
      </c>
      <c r="P136" t="s">
        <v>1185</v>
      </c>
      <c r="Q136">
        <v>38</v>
      </c>
      <c r="R136">
        <v>100</v>
      </c>
      <c r="S136">
        <v>37</v>
      </c>
      <c r="T136">
        <v>13</v>
      </c>
      <c r="U136">
        <v>42</v>
      </c>
      <c r="V136">
        <v>29</v>
      </c>
      <c r="X136" t="s">
        <v>1186</v>
      </c>
      <c r="Z136">
        <v>649</v>
      </c>
      <c r="AA136">
        <v>451</v>
      </c>
      <c r="AD136">
        <v>0.81</v>
      </c>
      <c r="AK136" t="s">
        <v>232</v>
      </c>
      <c r="AL136">
        <v>1</v>
      </c>
      <c r="AM136">
        <v>-3</v>
      </c>
      <c r="AP136">
        <v>71</v>
      </c>
      <c r="AQ136">
        <v>471</v>
      </c>
      <c r="AT136">
        <v>9420</v>
      </c>
      <c r="AU136" t="s">
        <v>142</v>
      </c>
      <c r="BP136" t="s">
        <v>1187</v>
      </c>
      <c r="BQ136" t="s">
        <v>1188</v>
      </c>
      <c r="BR136">
        <v>2209</v>
      </c>
      <c r="BU136" t="s">
        <v>204</v>
      </c>
      <c r="BV136" t="s">
        <v>107</v>
      </c>
      <c r="BW136">
        <v>0</v>
      </c>
      <c r="BX136">
        <v>0</v>
      </c>
      <c r="BY136">
        <v>0</v>
      </c>
      <c r="BZ136">
        <v>0</v>
      </c>
      <c r="CA136">
        <v>0</v>
      </c>
      <c r="CB136">
        <v>0</v>
      </c>
      <c r="CC136">
        <v>0</v>
      </c>
      <c r="CD136">
        <v>0</v>
      </c>
      <c r="CE136">
        <v>72</v>
      </c>
      <c r="CF136">
        <v>0</v>
      </c>
      <c r="CI136">
        <v>3.5</v>
      </c>
    </row>
    <row r="137" spans="1:87" ht="14.4" customHeight="1" x14ac:dyDescent="0.55000000000000004">
      <c r="A137" t="s">
        <v>1179</v>
      </c>
      <c r="B137" t="s">
        <v>1189</v>
      </c>
      <c r="C137" s="13" t="s">
        <v>1181</v>
      </c>
      <c r="D137" t="s">
        <v>1182</v>
      </c>
      <c r="E137" t="s">
        <v>91</v>
      </c>
      <c r="F137">
        <v>1</v>
      </c>
      <c r="G137">
        <v>1</v>
      </c>
      <c r="H137">
        <v>1</v>
      </c>
      <c r="I137">
        <v>1</v>
      </c>
      <c r="J137" t="s">
        <v>1183</v>
      </c>
      <c r="K137" t="s">
        <v>228</v>
      </c>
      <c r="L137" t="s">
        <v>94</v>
      </c>
      <c r="M137" t="s">
        <v>136</v>
      </c>
      <c r="N137" t="s">
        <v>1184</v>
      </c>
      <c r="O137">
        <v>1984.875</v>
      </c>
      <c r="P137" t="s">
        <v>1185</v>
      </c>
      <c r="Q137">
        <v>37</v>
      </c>
      <c r="R137">
        <v>0</v>
      </c>
      <c r="S137">
        <v>4</v>
      </c>
      <c r="T137">
        <v>1</v>
      </c>
      <c r="U137">
        <v>94</v>
      </c>
      <c r="V137">
        <v>68</v>
      </c>
      <c r="X137" t="s">
        <v>1190</v>
      </c>
      <c r="Z137">
        <v>349</v>
      </c>
      <c r="AA137">
        <v>283</v>
      </c>
      <c r="AD137">
        <v>0.81</v>
      </c>
      <c r="AK137" t="s">
        <v>232</v>
      </c>
      <c r="AL137">
        <v>1</v>
      </c>
      <c r="AM137">
        <v>10</v>
      </c>
      <c r="AN137">
        <v>4.3</v>
      </c>
      <c r="AO137" t="s">
        <v>100</v>
      </c>
      <c r="AP137">
        <v>69</v>
      </c>
      <c r="AQ137">
        <v>987</v>
      </c>
      <c r="AR137">
        <v>424.2</v>
      </c>
      <c r="AS137" t="s">
        <v>100</v>
      </c>
      <c r="AT137">
        <v>3525</v>
      </c>
      <c r="AU137" t="s">
        <v>142</v>
      </c>
      <c r="BP137" t="s">
        <v>1191</v>
      </c>
      <c r="BQ137" t="s">
        <v>1192</v>
      </c>
      <c r="BR137">
        <v>906</v>
      </c>
      <c r="BU137" t="s">
        <v>204</v>
      </c>
      <c r="BV137" t="s">
        <v>107</v>
      </c>
      <c r="BW137">
        <v>0</v>
      </c>
      <c r="BX137">
        <v>0</v>
      </c>
      <c r="BY137">
        <v>0</v>
      </c>
      <c r="BZ137">
        <v>0</v>
      </c>
      <c r="CA137">
        <v>0</v>
      </c>
      <c r="CB137">
        <v>0</v>
      </c>
      <c r="CC137">
        <v>0</v>
      </c>
      <c r="CD137">
        <v>0</v>
      </c>
      <c r="CE137">
        <v>82</v>
      </c>
      <c r="CF137">
        <v>0</v>
      </c>
      <c r="CI137">
        <v>3.5</v>
      </c>
    </row>
    <row r="138" spans="1:87" ht="14.4" customHeight="1" x14ac:dyDescent="0.55000000000000004">
      <c r="A138" t="s">
        <v>1193</v>
      </c>
      <c r="B138" t="s">
        <v>1194</v>
      </c>
      <c r="C138" s="13" t="s">
        <v>1195</v>
      </c>
      <c r="D138" t="s">
        <v>1196</v>
      </c>
      <c r="E138" t="s">
        <v>226</v>
      </c>
      <c r="F138">
        <v>1</v>
      </c>
      <c r="G138">
        <v>1</v>
      </c>
      <c r="H138">
        <v>1</v>
      </c>
      <c r="I138">
        <v>1</v>
      </c>
      <c r="J138" t="s">
        <v>1197</v>
      </c>
      <c r="K138" t="s">
        <v>93</v>
      </c>
      <c r="L138" t="s">
        <v>94</v>
      </c>
      <c r="M138" t="s">
        <v>136</v>
      </c>
      <c r="N138" t="s">
        <v>1198</v>
      </c>
      <c r="O138">
        <v>1980.6666600000001</v>
      </c>
      <c r="P138" t="s">
        <v>1199</v>
      </c>
      <c r="Q138">
        <v>18.8</v>
      </c>
      <c r="R138">
        <v>59.3</v>
      </c>
      <c r="S138">
        <v>12.9</v>
      </c>
      <c r="T138">
        <v>5.3</v>
      </c>
      <c r="U138">
        <v>79.2</v>
      </c>
      <c r="V138">
        <v>56.9</v>
      </c>
      <c r="X138" t="s">
        <v>1200</v>
      </c>
      <c r="Y138">
        <v>0.5</v>
      </c>
      <c r="Z138">
        <v>295</v>
      </c>
      <c r="AA138">
        <v>321</v>
      </c>
      <c r="AB138">
        <v>0.60099999999999998</v>
      </c>
      <c r="AC138">
        <v>0.753</v>
      </c>
      <c r="AD138">
        <v>0.67500000000000004</v>
      </c>
      <c r="AK138" t="s">
        <v>99</v>
      </c>
      <c r="AL138">
        <v>0.67</v>
      </c>
      <c r="AM138">
        <v>9.1</v>
      </c>
      <c r="AN138">
        <v>4.9000000000000004</v>
      </c>
      <c r="AO138" t="s">
        <v>112</v>
      </c>
      <c r="AP138">
        <v>55.3</v>
      </c>
      <c r="AQ138">
        <v>15.57</v>
      </c>
      <c r="AT138">
        <v>52.82</v>
      </c>
      <c r="AU138" t="s">
        <v>950</v>
      </c>
      <c r="BP138" t="s">
        <v>1201</v>
      </c>
      <c r="BQ138" t="s">
        <v>1202</v>
      </c>
      <c r="BU138" t="s">
        <v>1203</v>
      </c>
      <c r="BV138" t="s">
        <v>1204</v>
      </c>
      <c r="BW138">
        <v>0</v>
      </c>
      <c r="BX138">
        <v>0</v>
      </c>
      <c r="BY138">
        <v>0</v>
      </c>
      <c r="BZ138">
        <v>0</v>
      </c>
      <c r="CA138">
        <v>0</v>
      </c>
      <c r="CB138">
        <v>0</v>
      </c>
      <c r="CC138">
        <v>0</v>
      </c>
      <c r="CD138">
        <v>0</v>
      </c>
      <c r="CF138">
        <v>0</v>
      </c>
      <c r="CI138">
        <v>6</v>
      </c>
    </row>
    <row r="139" spans="1:87" ht="14.4" customHeight="1" x14ac:dyDescent="0.55000000000000004">
      <c r="A139" t="s">
        <v>1193</v>
      </c>
      <c r="B139" t="s">
        <v>1205</v>
      </c>
      <c r="C139" s="13" t="s">
        <v>1206</v>
      </c>
      <c r="D139" t="s">
        <v>1196</v>
      </c>
      <c r="E139" t="s">
        <v>226</v>
      </c>
      <c r="F139">
        <v>1</v>
      </c>
      <c r="G139">
        <v>1</v>
      </c>
      <c r="H139">
        <v>1</v>
      </c>
      <c r="I139">
        <v>1</v>
      </c>
      <c r="J139" t="s">
        <v>1197</v>
      </c>
      <c r="K139" t="s">
        <v>93</v>
      </c>
      <c r="L139" t="s">
        <v>94</v>
      </c>
      <c r="M139" t="s">
        <v>136</v>
      </c>
      <c r="N139" t="s">
        <v>1198</v>
      </c>
      <c r="O139">
        <v>1980.6666600000001</v>
      </c>
      <c r="P139" t="s">
        <v>1199</v>
      </c>
      <c r="Q139">
        <v>18.7</v>
      </c>
      <c r="R139">
        <v>65</v>
      </c>
      <c r="S139">
        <v>2.1</v>
      </c>
      <c r="T139">
        <v>75.2</v>
      </c>
      <c r="U139">
        <v>22.7</v>
      </c>
      <c r="V139">
        <v>84.3</v>
      </c>
      <c r="X139" t="s">
        <v>1200</v>
      </c>
      <c r="Y139">
        <v>0.5</v>
      </c>
      <c r="Z139">
        <v>372</v>
      </c>
      <c r="AA139">
        <v>392</v>
      </c>
      <c r="AB139">
        <v>0.63600000000000001</v>
      </c>
      <c r="AC139">
        <v>0.76300000000000001</v>
      </c>
      <c r="AD139">
        <v>0.70299999999999996</v>
      </c>
      <c r="AK139" t="s">
        <v>99</v>
      </c>
      <c r="AL139">
        <v>0.67</v>
      </c>
      <c r="AM139">
        <v>5.6</v>
      </c>
      <c r="AN139">
        <v>4.3</v>
      </c>
      <c r="AP139">
        <v>41.6</v>
      </c>
      <c r="AQ139">
        <v>6.25</v>
      </c>
      <c r="AT139">
        <v>56.12</v>
      </c>
      <c r="AU139" t="s">
        <v>950</v>
      </c>
      <c r="BP139" t="s">
        <v>1201</v>
      </c>
      <c r="BQ139" t="s">
        <v>1202</v>
      </c>
      <c r="BU139" t="s">
        <v>1003</v>
      </c>
      <c r="BV139" t="s">
        <v>1204</v>
      </c>
      <c r="BW139">
        <v>0</v>
      </c>
      <c r="BX139">
        <v>0</v>
      </c>
      <c r="BY139">
        <v>0</v>
      </c>
      <c r="BZ139">
        <v>0</v>
      </c>
      <c r="CA139">
        <v>0</v>
      </c>
      <c r="CB139">
        <v>0</v>
      </c>
      <c r="CC139">
        <v>0</v>
      </c>
      <c r="CD139">
        <v>0</v>
      </c>
      <c r="CF139">
        <v>0</v>
      </c>
      <c r="CI139">
        <v>6</v>
      </c>
    </row>
    <row r="140" spans="1:87" ht="14.4" customHeight="1" x14ac:dyDescent="0.55000000000000004">
      <c r="A140" t="s">
        <v>1193</v>
      </c>
      <c r="B140" t="s">
        <v>1207</v>
      </c>
      <c r="C140" s="13" t="s">
        <v>1208</v>
      </c>
      <c r="D140" t="s">
        <v>1196</v>
      </c>
      <c r="E140" t="s">
        <v>226</v>
      </c>
      <c r="F140">
        <v>1</v>
      </c>
      <c r="G140">
        <v>1</v>
      </c>
      <c r="H140">
        <v>1</v>
      </c>
      <c r="I140">
        <v>1</v>
      </c>
      <c r="J140" t="s">
        <v>1197</v>
      </c>
      <c r="K140" t="s">
        <v>93</v>
      </c>
      <c r="L140" t="s">
        <v>94</v>
      </c>
      <c r="M140" t="s">
        <v>136</v>
      </c>
      <c r="N140" t="s">
        <v>1198</v>
      </c>
      <c r="O140">
        <v>1980.6666600000001</v>
      </c>
      <c r="P140" t="s">
        <v>1199</v>
      </c>
      <c r="Q140">
        <v>19</v>
      </c>
      <c r="R140">
        <v>73.5</v>
      </c>
      <c r="S140">
        <v>2.1</v>
      </c>
      <c r="T140">
        <v>75.7</v>
      </c>
      <c r="U140">
        <v>22.2</v>
      </c>
      <c r="V140">
        <v>88.9</v>
      </c>
      <c r="X140" t="s">
        <v>1200</v>
      </c>
      <c r="Y140">
        <v>0.5</v>
      </c>
      <c r="Z140">
        <v>407</v>
      </c>
      <c r="AA140">
        <v>415</v>
      </c>
      <c r="AB140">
        <v>0.50600000000000001</v>
      </c>
      <c r="AC140">
        <v>0.57899999999999996</v>
      </c>
      <c r="AD140">
        <v>0.54900000000000004</v>
      </c>
      <c r="AK140" t="s">
        <v>99</v>
      </c>
      <c r="AL140">
        <v>0.67</v>
      </c>
      <c r="AM140">
        <v>16.8</v>
      </c>
      <c r="AN140">
        <v>4.5</v>
      </c>
      <c r="AO140" t="s">
        <v>141</v>
      </c>
      <c r="AP140">
        <v>27.1</v>
      </c>
      <c r="AQ140">
        <v>26.34</v>
      </c>
      <c r="AT140">
        <v>32.78</v>
      </c>
      <c r="AU140" t="s">
        <v>950</v>
      </c>
      <c r="BP140" t="s">
        <v>1201</v>
      </c>
      <c r="BQ140" t="s">
        <v>1202</v>
      </c>
      <c r="BU140" t="s">
        <v>217</v>
      </c>
      <c r="BV140" t="s">
        <v>1204</v>
      </c>
      <c r="BW140">
        <v>0</v>
      </c>
      <c r="BX140">
        <v>0</v>
      </c>
      <c r="BY140">
        <v>0</v>
      </c>
      <c r="BZ140">
        <v>0</v>
      </c>
      <c r="CA140">
        <v>0</v>
      </c>
      <c r="CB140">
        <v>0</v>
      </c>
      <c r="CC140">
        <v>0</v>
      </c>
      <c r="CD140">
        <v>0</v>
      </c>
      <c r="CF140">
        <v>0</v>
      </c>
      <c r="CI140">
        <v>6</v>
      </c>
    </row>
    <row r="141" spans="1:87" ht="14.4" customHeight="1" x14ac:dyDescent="0.55000000000000004">
      <c r="A141" t="s">
        <v>1209</v>
      </c>
      <c r="B141" t="s">
        <v>1210</v>
      </c>
      <c r="C141" s="13" t="s">
        <v>1211</v>
      </c>
      <c r="D141" t="s">
        <v>1212</v>
      </c>
      <c r="E141" t="s">
        <v>226</v>
      </c>
      <c r="F141">
        <v>1</v>
      </c>
      <c r="G141">
        <v>1</v>
      </c>
      <c r="H141">
        <v>1</v>
      </c>
      <c r="I141">
        <v>1</v>
      </c>
      <c r="J141" t="s">
        <v>1213</v>
      </c>
      <c r="K141" t="s">
        <v>228</v>
      </c>
      <c r="L141" t="s">
        <v>94</v>
      </c>
      <c r="M141" t="s">
        <v>94</v>
      </c>
      <c r="N141" t="s">
        <v>1214</v>
      </c>
      <c r="O141">
        <v>1983</v>
      </c>
      <c r="P141" t="s">
        <v>1215</v>
      </c>
      <c r="Q141">
        <v>31.9</v>
      </c>
      <c r="R141">
        <v>10.1</v>
      </c>
      <c r="S141">
        <v>29.5</v>
      </c>
      <c r="T141">
        <v>69.2</v>
      </c>
      <c r="U141">
        <v>0.3</v>
      </c>
      <c r="V141">
        <v>56.4</v>
      </c>
      <c r="W141">
        <v>10.5</v>
      </c>
      <c r="X141" t="s">
        <v>1216</v>
      </c>
      <c r="Z141">
        <v>1331</v>
      </c>
      <c r="AA141">
        <v>1372</v>
      </c>
      <c r="AK141" t="s">
        <v>1217</v>
      </c>
      <c r="AL141">
        <v>1.25</v>
      </c>
      <c r="AM141">
        <v>5</v>
      </c>
      <c r="AN141">
        <v>1.9</v>
      </c>
      <c r="AO141" t="s">
        <v>141</v>
      </c>
      <c r="AP141">
        <v>31.6</v>
      </c>
      <c r="AQ141">
        <v>65</v>
      </c>
      <c r="AT141">
        <v>513</v>
      </c>
      <c r="AU141" t="s">
        <v>777</v>
      </c>
      <c r="AV141">
        <v>2</v>
      </c>
      <c r="AW141">
        <v>2.4</v>
      </c>
      <c r="AZ141">
        <v>34.9</v>
      </c>
      <c r="BP141" t="s">
        <v>1218</v>
      </c>
      <c r="BQ141" t="s">
        <v>1219</v>
      </c>
      <c r="BR141">
        <v>957</v>
      </c>
      <c r="BU141" t="s">
        <v>719</v>
      </c>
      <c r="BV141" t="s">
        <v>107</v>
      </c>
      <c r="BW141">
        <v>0</v>
      </c>
      <c r="BX141">
        <v>0</v>
      </c>
      <c r="BY141">
        <v>0</v>
      </c>
      <c r="BZ141">
        <v>0</v>
      </c>
      <c r="CA141">
        <v>0</v>
      </c>
      <c r="CB141">
        <v>0</v>
      </c>
      <c r="CC141">
        <v>0</v>
      </c>
      <c r="CD141">
        <v>0</v>
      </c>
      <c r="CE141">
        <v>41.1</v>
      </c>
      <c r="CF141">
        <v>3.4</v>
      </c>
      <c r="CG141">
        <v>17.8</v>
      </c>
      <c r="CH141">
        <v>1</v>
      </c>
      <c r="CI141">
        <v>4</v>
      </c>
    </row>
    <row r="142" spans="1:87" ht="14.4" customHeight="1" x14ac:dyDescent="0.55000000000000004">
      <c r="A142" t="s">
        <v>1220</v>
      </c>
      <c r="B142" t="s">
        <v>1221</v>
      </c>
      <c r="C142" s="13" t="s">
        <v>1222</v>
      </c>
      <c r="D142" t="s">
        <v>1223</v>
      </c>
      <c r="E142" t="s">
        <v>226</v>
      </c>
      <c r="F142">
        <v>1</v>
      </c>
      <c r="G142">
        <v>0</v>
      </c>
      <c r="H142">
        <v>1</v>
      </c>
      <c r="I142">
        <v>1</v>
      </c>
      <c r="J142" t="s">
        <v>1224</v>
      </c>
      <c r="K142" t="s">
        <v>228</v>
      </c>
      <c r="L142" t="s">
        <v>94</v>
      </c>
      <c r="M142" t="s">
        <v>94</v>
      </c>
      <c r="N142" t="s">
        <v>1225</v>
      </c>
      <c r="O142">
        <v>1986</v>
      </c>
      <c r="P142" t="s">
        <v>1226</v>
      </c>
      <c r="Q142">
        <v>30.8</v>
      </c>
      <c r="R142">
        <v>18.600000000000001</v>
      </c>
      <c r="S142">
        <v>14.5</v>
      </c>
      <c r="T142">
        <v>75.599999999999994</v>
      </c>
      <c r="U142">
        <v>7</v>
      </c>
      <c r="V142">
        <v>56.9</v>
      </c>
      <c r="W142">
        <v>10.5</v>
      </c>
      <c r="X142" t="s">
        <v>1227</v>
      </c>
      <c r="Z142">
        <v>4462</v>
      </c>
      <c r="AA142">
        <v>3751</v>
      </c>
      <c r="AK142" t="s">
        <v>1228</v>
      </c>
      <c r="AL142">
        <v>1</v>
      </c>
      <c r="AM142">
        <v>1.35</v>
      </c>
      <c r="AP142">
        <v>22.88</v>
      </c>
      <c r="AQ142">
        <v>42.25</v>
      </c>
      <c r="AR142">
        <v>21.5</v>
      </c>
      <c r="AS142" t="s">
        <v>100</v>
      </c>
      <c r="AT142">
        <v>356.73</v>
      </c>
      <c r="AU142" t="s">
        <v>777</v>
      </c>
      <c r="AV142">
        <v>1.75</v>
      </c>
      <c r="AW142">
        <v>2.4900000000000002</v>
      </c>
      <c r="AZ142">
        <v>25.96</v>
      </c>
      <c r="BA142">
        <v>42.56</v>
      </c>
      <c r="BB142">
        <v>37.9</v>
      </c>
      <c r="BD142">
        <v>530.63</v>
      </c>
      <c r="BE142" t="s">
        <v>777</v>
      </c>
      <c r="BP142" t="s">
        <v>1229</v>
      </c>
      <c r="BQ142" t="s">
        <v>1230</v>
      </c>
      <c r="BU142" t="s">
        <v>189</v>
      </c>
      <c r="BV142" t="s">
        <v>107</v>
      </c>
      <c r="BW142">
        <v>0</v>
      </c>
      <c r="BX142">
        <v>0</v>
      </c>
      <c r="BY142">
        <v>0</v>
      </c>
      <c r="BZ142">
        <v>0</v>
      </c>
      <c r="CA142">
        <v>0</v>
      </c>
      <c r="CB142">
        <v>0</v>
      </c>
      <c r="CC142">
        <v>0</v>
      </c>
      <c r="CD142">
        <v>0</v>
      </c>
    </row>
    <row r="143" spans="1:87" ht="14.4" customHeight="1" x14ac:dyDescent="0.55000000000000004">
      <c r="A143" t="s">
        <v>1231</v>
      </c>
      <c r="B143" t="s">
        <v>1232</v>
      </c>
      <c r="C143" s="13" t="s">
        <v>1233</v>
      </c>
      <c r="D143" t="s">
        <v>1234</v>
      </c>
      <c r="E143" t="s">
        <v>226</v>
      </c>
      <c r="F143">
        <v>1</v>
      </c>
      <c r="G143">
        <v>0</v>
      </c>
      <c r="H143">
        <v>1</v>
      </c>
      <c r="I143">
        <v>1</v>
      </c>
      <c r="J143" t="s">
        <v>1235</v>
      </c>
      <c r="K143" t="s">
        <v>228</v>
      </c>
      <c r="L143" t="s">
        <v>94</v>
      </c>
      <c r="M143" t="s">
        <v>94</v>
      </c>
      <c r="N143" t="s">
        <v>1236</v>
      </c>
      <c r="O143">
        <v>1989</v>
      </c>
      <c r="P143" t="s">
        <v>1237</v>
      </c>
      <c r="R143">
        <v>37.9</v>
      </c>
      <c r="S143">
        <v>76.5</v>
      </c>
      <c r="V143">
        <v>44.2</v>
      </c>
      <c r="X143" t="s">
        <v>1238</v>
      </c>
      <c r="Z143">
        <v>7860</v>
      </c>
      <c r="AA143">
        <v>1314</v>
      </c>
      <c r="AK143" t="s">
        <v>1239</v>
      </c>
      <c r="AL143">
        <v>1</v>
      </c>
      <c r="AM143">
        <v>3.7</v>
      </c>
      <c r="AN143">
        <v>1.4</v>
      </c>
      <c r="AO143" t="s">
        <v>141</v>
      </c>
      <c r="AP143">
        <v>36.9</v>
      </c>
      <c r="AQ143">
        <v>-61</v>
      </c>
      <c r="AT143">
        <v>1860</v>
      </c>
      <c r="AU143" t="s">
        <v>142</v>
      </c>
      <c r="AV143">
        <v>2</v>
      </c>
      <c r="AW143">
        <v>2.9</v>
      </c>
      <c r="AX143">
        <v>1.5</v>
      </c>
      <c r="AY143" t="s">
        <v>100</v>
      </c>
      <c r="AZ143">
        <v>41.3</v>
      </c>
      <c r="BA143">
        <v>76</v>
      </c>
      <c r="BD143">
        <v>2563</v>
      </c>
      <c r="BE143" t="s">
        <v>142</v>
      </c>
      <c r="BF143">
        <v>3</v>
      </c>
      <c r="BG143">
        <v>3.3</v>
      </c>
      <c r="BH143">
        <v>1.7</v>
      </c>
      <c r="BI143" t="s">
        <v>100</v>
      </c>
      <c r="BJ143">
        <v>42.2</v>
      </c>
      <c r="BK143">
        <v>23</v>
      </c>
      <c r="BN143">
        <v>3129</v>
      </c>
      <c r="BO143" t="s">
        <v>142</v>
      </c>
      <c r="BP143" t="s">
        <v>1240</v>
      </c>
      <c r="BQ143" t="s">
        <v>1241</v>
      </c>
      <c r="BT143" t="s">
        <v>1242</v>
      </c>
      <c r="BU143" t="s">
        <v>327</v>
      </c>
      <c r="BV143" t="s">
        <v>136</v>
      </c>
      <c r="BW143">
        <v>0</v>
      </c>
      <c r="BX143">
        <v>0</v>
      </c>
      <c r="BY143">
        <v>0</v>
      </c>
      <c r="BZ143">
        <v>0</v>
      </c>
      <c r="CA143">
        <v>0</v>
      </c>
      <c r="CB143">
        <v>0</v>
      </c>
      <c r="CC143">
        <v>0</v>
      </c>
      <c r="CD143">
        <v>0</v>
      </c>
      <c r="CE143">
        <v>40.5</v>
      </c>
      <c r="CF143">
        <v>0</v>
      </c>
    </row>
    <row r="144" spans="1:87" ht="14.4" customHeight="1" x14ac:dyDescent="0.55000000000000004">
      <c r="A144" t="s">
        <v>1243</v>
      </c>
      <c r="B144" t="s">
        <v>1244</v>
      </c>
      <c r="C144" s="13" t="s">
        <v>1245</v>
      </c>
      <c r="D144" t="s">
        <v>1246</v>
      </c>
      <c r="E144" t="s">
        <v>226</v>
      </c>
      <c r="F144">
        <v>1</v>
      </c>
      <c r="G144">
        <v>0</v>
      </c>
      <c r="H144">
        <v>1</v>
      </c>
      <c r="I144">
        <v>1</v>
      </c>
      <c r="J144" t="s">
        <v>1247</v>
      </c>
      <c r="K144" t="s">
        <v>93</v>
      </c>
      <c r="L144" t="s">
        <v>94</v>
      </c>
      <c r="M144" t="s">
        <v>94</v>
      </c>
      <c r="N144" t="s">
        <v>1248</v>
      </c>
      <c r="O144">
        <v>1989</v>
      </c>
      <c r="P144" t="s">
        <v>1249</v>
      </c>
      <c r="R144">
        <v>0</v>
      </c>
      <c r="S144">
        <v>44.6</v>
      </c>
      <c r="V144">
        <v>43.3</v>
      </c>
      <c r="X144" t="s">
        <v>1250</v>
      </c>
      <c r="Z144">
        <v>2536</v>
      </c>
      <c r="AA144">
        <v>1619</v>
      </c>
      <c r="AK144" t="s">
        <v>1239</v>
      </c>
      <c r="AL144">
        <v>1</v>
      </c>
      <c r="AM144">
        <v>3.4</v>
      </c>
      <c r="AN144">
        <v>1.7</v>
      </c>
      <c r="AO144" t="s">
        <v>100</v>
      </c>
      <c r="AP144">
        <v>31.8</v>
      </c>
      <c r="AQ144">
        <v>109</v>
      </c>
      <c r="AR144">
        <v>66.3</v>
      </c>
      <c r="AS144" t="s">
        <v>112</v>
      </c>
      <c r="AT144">
        <v>791</v>
      </c>
      <c r="AU144" t="s">
        <v>142</v>
      </c>
      <c r="BP144" t="s">
        <v>1251</v>
      </c>
      <c r="BQ144" t="s">
        <v>1252</v>
      </c>
      <c r="BU144" t="s">
        <v>327</v>
      </c>
      <c r="BV144" t="s">
        <v>107</v>
      </c>
      <c r="BW144">
        <v>0</v>
      </c>
      <c r="BX144">
        <v>0</v>
      </c>
      <c r="BY144">
        <v>0</v>
      </c>
      <c r="BZ144">
        <v>0</v>
      </c>
      <c r="CA144">
        <v>0</v>
      </c>
      <c r="CB144">
        <v>0</v>
      </c>
      <c r="CC144">
        <v>0</v>
      </c>
      <c r="CD144">
        <v>0</v>
      </c>
      <c r="CE144">
        <v>14.1</v>
      </c>
      <c r="CF144">
        <v>0</v>
      </c>
    </row>
    <row r="145" spans="1:87" ht="14.4" customHeight="1" x14ac:dyDescent="0.55000000000000004">
      <c r="A145" t="s">
        <v>1253</v>
      </c>
      <c r="B145" t="s">
        <v>1254</v>
      </c>
      <c r="C145" s="13" t="s">
        <v>1255</v>
      </c>
      <c r="D145" t="s">
        <v>1256</v>
      </c>
      <c r="E145" t="s">
        <v>91</v>
      </c>
      <c r="F145">
        <v>0</v>
      </c>
      <c r="G145">
        <v>1</v>
      </c>
      <c r="H145">
        <v>1</v>
      </c>
      <c r="I145">
        <v>1</v>
      </c>
      <c r="J145" t="s">
        <v>1257</v>
      </c>
      <c r="K145" t="s">
        <v>93</v>
      </c>
      <c r="L145" t="s">
        <v>94</v>
      </c>
      <c r="M145" t="s">
        <v>95</v>
      </c>
      <c r="N145" t="s">
        <v>1258</v>
      </c>
      <c r="O145">
        <v>1972.9169999999999</v>
      </c>
      <c r="P145" t="s">
        <v>1259</v>
      </c>
      <c r="Q145">
        <v>30</v>
      </c>
      <c r="R145">
        <v>92</v>
      </c>
      <c r="S145">
        <v>9</v>
      </c>
      <c r="T145">
        <v>68</v>
      </c>
      <c r="U145">
        <v>23</v>
      </c>
      <c r="Z145">
        <v>288</v>
      </c>
      <c r="AA145">
        <v>298</v>
      </c>
      <c r="AB145">
        <v>0.68100000000000005</v>
      </c>
      <c r="AC145">
        <v>0.57599999999999996</v>
      </c>
      <c r="AD145">
        <v>0.63</v>
      </c>
      <c r="AE145">
        <v>0.68100000000000005</v>
      </c>
      <c r="AF145">
        <v>0.57599999999999996</v>
      </c>
      <c r="AG145">
        <v>0.63</v>
      </c>
      <c r="AK145" t="s">
        <v>99</v>
      </c>
      <c r="AL145">
        <v>1</v>
      </c>
      <c r="AM145">
        <v>42</v>
      </c>
      <c r="AN145">
        <v>4.0999999999999996</v>
      </c>
      <c r="AO145" t="s">
        <v>141</v>
      </c>
      <c r="AP145">
        <v>50</v>
      </c>
      <c r="AQ145">
        <v>3954</v>
      </c>
      <c r="AR145">
        <v>306.10000000000002</v>
      </c>
      <c r="AS145" t="s">
        <v>141</v>
      </c>
      <c r="AT145">
        <v>1060</v>
      </c>
      <c r="AU145" t="s">
        <v>142</v>
      </c>
      <c r="AV145">
        <v>2</v>
      </c>
      <c r="AW145">
        <v>27</v>
      </c>
      <c r="AX145">
        <v>4.9000000000000004</v>
      </c>
      <c r="AY145" t="s">
        <v>141</v>
      </c>
      <c r="AZ145">
        <v>48</v>
      </c>
      <c r="BA145">
        <v>2614</v>
      </c>
      <c r="BB145">
        <v>281.7</v>
      </c>
      <c r="BC145" t="s">
        <v>141</v>
      </c>
      <c r="BD145">
        <v>1827</v>
      </c>
      <c r="BE145" t="s">
        <v>142</v>
      </c>
      <c r="BP145" t="s">
        <v>1260</v>
      </c>
      <c r="BQ145" t="s">
        <v>1261</v>
      </c>
      <c r="BU145" t="s">
        <v>217</v>
      </c>
      <c r="BV145" t="s">
        <v>107</v>
      </c>
      <c r="BW145">
        <v>0</v>
      </c>
      <c r="BX145">
        <v>0</v>
      </c>
      <c r="BY145">
        <v>1</v>
      </c>
      <c r="BZ145">
        <v>0</v>
      </c>
      <c r="CA145">
        <v>0</v>
      </c>
      <c r="CB145">
        <v>1</v>
      </c>
      <c r="CC145">
        <v>0</v>
      </c>
      <c r="CD145">
        <v>1</v>
      </c>
      <c r="CE145">
        <v>89</v>
      </c>
      <c r="CF145">
        <v>0</v>
      </c>
      <c r="CI145">
        <v>12</v>
      </c>
    </row>
    <row r="146" spans="1:87" ht="14.4" x14ac:dyDescent="0.55000000000000004">
      <c r="A146" t="s">
        <v>1231</v>
      </c>
      <c r="B146" t="s">
        <v>1262</v>
      </c>
      <c r="C146" t="s">
        <v>1263</v>
      </c>
      <c r="D146" t="s">
        <v>1234</v>
      </c>
      <c r="E146" t="s">
        <v>226</v>
      </c>
      <c r="F146">
        <v>1</v>
      </c>
      <c r="G146">
        <v>0</v>
      </c>
      <c r="H146">
        <v>1</v>
      </c>
      <c r="I146">
        <v>1</v>
      </c>
      <c r="J146" t="s">
        <v>1235</v>
      </c>
      <c r="K146" t="s">
        <v>228</v>
      </c>
      <c r="L146" t="s">
        <v>94</v>
      </c>
      <c r="M146" t="s">
        <v>94</v>
      </c>
      <c r="N146" t="s">
        <v>1264</v>
      </c>
      <c r="O146">
        <v>1990.5</v>
      </c>
      <c r="P146" t="s">
        <v>1237</v>
      </c>
      <c r="R146">
        <v>41.6</v>
      </c>
      <c r="S146">
        <v>76.900000000000006</v>
      </c>
      <c r="X146" t="s">
        <v>1265</v>
      </c>
      <c r="Z146">
        <v>5239</v>
      </c>
      <c r="AA146">
        <v>750</v>
      </c>
      <c r="AK146" t="s">
        <v>1239</v>
      </c>
      <c r="AL146">
        <v>1</v>
      </c>
      <c r="AM146">
        <v>-1.4</v>
      </c>
      <c r="AP146">
        <v>47.5</v>
      </c>
      <c r="AQ146">
        <v>-319</v>
      </c>
      <c r="AS146" t="s">
        <v>100</v>
      </c>
      <c r="AT146">
        <v>2322</v>
      </c>
      <c r="AU146" t="s">
        <v>142</v>
      </c>
      <c r="AV146">
        <v>2</v>
      </c>
      <c r="AW146">
        <v>-3.3</v>
      </c>
      <c r="AY146" t="s">
        <v>112</v>
      </c>
      <c r="AZ146">
        <v>49.1</v>
      </c>
      <c r="BA146">
        <v>-482</v>
      </c>
      <c r="BC146" t="s">
        <v>100</v>
      </c>
      <c r="BD146">
        <v>3421</v>
      </c>
      <c r="BE146" t="s">
        <v>142</v>
      </c>
      <c r="BP146" t="s">
        <v>1266</v>
      </c>
      <c r="BQ146" t="s">
        <v>1267</v>
      </c>
      <c r="BU146" t="s">
        <v>327</v>
      </c>
      <c r="BV146" t="s">
        <v>136</v>
      </c>
      <c r="BW146">
        <v>0</v>
      </c>
      <c r="BX146">
        <v>0</v>
      </c>
      <c r="BY146">
        <v>0</v>
      </c>
      <c r="BZ146">
        <v>0</v>
      </c>
      <c r="CA146">
        <v>0</v>
      </c>
      <c r="CB146">
        <v>0</v>
      </c>
      <c r="CC146">
        <v>0</v>
      </c>
      <c r="CD146">
        <v>0</v>
      </c>
      <c r="CF146">
        <v>0</v>
      </c>
    </row>
    <row r="147" spans="1:87" ht="14.4" x14ac:dyDescent="0.55000000000000004">
      <c r="A147" t="s">
        <v>1231</v>
      </c>
      <c r="B147" t="s">
        <v>1268</v>
      </c>
      <c r="C147" t="s">
        <v>1269</v>
      </c>
      <c r="D147" t="s">
        <v>1234</v>
      </c>
      <c r="E147" t="s">
        <v>226</v>
      </c>
      <c r="F147">
        <v>1</v>
      </c>
      <c r="G147">
        <v>0</v>
      </c>
      <c r="H147">
        <v>1</v>
      </c>
      <c r="I147">
        <v>1</v>
      </c>
      <c r="J147" t="s">
        <v>1235</v>
      </c>
      <c r="K147" t="s">
        <v>228</v>
      </c>
      <c r="L147" t="s">
        <v>94</v>
      </c>
      <c r="M147" t="s">
        <v>94</v>
      </c>
      <c r="N147" t="s">
        <v>1270</v>
      </c>
      <c r="O147">
        <v>1991.5</v>
      </c>
      <c r="P147" t="s">
        <v>1237</v>
      </c>
      <c r="R147">
        <v>18.899999999999999</v>
      </c>
      <c r="S147">
        <v>62.5</v>
      </c>
      <c r="X147" t="s">
        <v>1271</v>
      </c>
      <c r="Z147">
        <v>9529</v>
      </c>
      <c r="AA147">
        <v>2197</v>
      </c>
      <c r="AK147" t="s">
        <v>1239</v>
      </c>
      <c r="AL147">
        <v>1</v>
      </c>
      <c r="AM147">
        <v>2.1</v>
      </c>
      <c r="AO147" t="s">
        <v>100</v>
      </c>
      <c r="AP147">
        <v>43.3</v>
      </c>
      <c r="AQ147">
        <v>-95</v>
      </c>
      <c r="AT147">
        <v>2066</v>
      </c>
      <c r="AU147" t="s">
        <v>142</v>
      </c>
      <c r="BP147" t="s">
        <v>1272</v>
      </c>
      <c r="BQ147" t="s">
        <v>1273</v>
      </c>
      <c r="BU147" t="s">
        <v>327</v>
      </c>
      <c r="BV147" t="s">
        <v>136</v>
      </c>
      <c r="BW147">
        <v>0</v>
      </c>
      <c r="BX147">
        <v>0</v>
      </c>
      <c r="BY147">
        <v>0</v>
      </c>
      <c r="BZ147">
        <v>0</v>
      </c>
      <c r="CA147">
        <v>0</v>
      </c>
      <c r="CB147">
        <v>0</v>
      </c>
      <c r="CC147">
        <v>0</v>
      </c>
      <c r="CD147">
        <v>0</v>
      </c>
      <c r="CF147">
        <v>0</v>
      </c>
    </row>
    <row r="148" spans="1:87" ht="14.4" x14ac:dyDescent="0.55000000000000004">
      <c r="A148" t="s">
        <v>1243</v>
      </c>
      <c r="B148" t="s">
        <v>1274</v>
      </c>
      <c r="C148" t="s">
        <v>1275</v>
      </c>
      <c r="D148" t="s">
        <v>1246</v>
      </c>
      <c r="E148" t="s">
        <v>226</v>
      </c>
      <c r="F148">
        <v>1</v>
      </c>
      <c r="G148">
        <v>0</v>
      </c>
      <c r="H148">
        <v>1</v>
      </c>
      <c r="I148">
        <v>1</v>
      </c>
      <c r="J148" t="s">
        <v>1247</v>
      </c>
      <c r="K148" t="s">
        <v>93</v>
      </c>
      <c r="L148" t="s">
        <v>94</v>
      </c>
      <c r="M148" t="s">
        <v>94</v>
      </c>
      <c r="N148" t="s">
        <v>1276</v>
      </c>
      <c r="O148">
        <v>1989.75</v>
      </c>
      <c r="P148" t="s">
        <v>1249</v>
      </c>
      <c r="R148">
        <v>0</v>
      </c>
      <c r="S148">
        <v>42.4</v>
      </c>
      <c r="V148">
        <v>43.1</v>
      </c>
      <c r="X148" t="s">
        <v>1277</v>
      </c>
      <c r="Z148">
        <v>653</v>
      </c>
      <c r="AA148">
        <v>451</v>
      </c>
      <c r="AK148" t="s">
        <v>1239</v>
      </c>
      <c r="AL148">
        <v>1</v>
      </c>
      <c r="AM148">
        <v>3.2</v>
      </c>
      <c r="AP148">
        <v>32.6</v>
      </c>
      <c r="AQ148">
        <v>-192</v>
      </c>
      <c r="AS148" t="s">
        <v>112</v>
      </c>
      <c r="AT148">
        <v>992</v>
      </c>
      <c r="AU148" t="s">
        <v>142</v>
      </c>
      <c r="BP148" t="s">
        <v>1278</v>
      </c>
      <c r="BQ148" t="s">
        <v>1279</v>
      </c>
      <c r="BU148" t="s">
        <v>327</v>
      </c>
      <c r="BV148" t="s">
        <v>107</v>
      </c>
      <c r="BW148">
        <v>0</v>
      </c>
      <c r="BX148">
        <v>0</v>
      </c>
      <c r="BY148">
        <v>0</v>
      </c>
      <c r="BZ148">
        <v>0</v>
      </c>
      <c r="CA148">
        <v>0</v>
      </c>
      <c r="CB148">
        <v>0</v>
      </c>
      <c r="CC148">
        <v>0</v>
      </c>
      <c r="CD148">
        <v>0</v>
      </c>
      <c r="CF148">
        <v>0</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152"/>
  <sheetViews>
    <sheetView topLeftCell="L1" workbookViewId="0">
      <pane ySplit="1" topLeftCell="A63" activePane="bottomLeft" state="frozen"/>
      <selection pane="bottomLeft" activeCell="T66" sqref="T66"/>
    </sheetView>
  </sheetViews>
  <sheetFormatPr defaultRowHeight="14.4" x14ac:dyDescent="0.55000000000000004"/>
  <cols>
    <col min="1" max="3" width="25" customWidth="1"/>
    <col min="4" max="5" width="50" customWidth="1"/>
    <col min="6" max="7" width="60" customWidth="1"/>
    <col min="8" max="8" width="40" customWidth="1"/>
    <col min="9" max="9" width="50" customWidth="1"/>
    <col min="10" max="10" width="30" customWidth="1"/>
    <col min="11" max="11" width="40" customWidth="1"/>
    <col min="12" max="12" width="60" customWidth="1"/>
  </cols>
  <sheetData>
    <row r="1" spans="1:64" x14ac:dyDescent="0.55000000000000004">
      <c r="A1" s="1" t="s">
        <v>0</v>
      </c>
      <c r="B1" s="1" t="s">
        <v>1</v>
      </c>
      <c r="C1" s="1" t="s">
        <v>36</v>
      </c>
      <c r="D1" s="1" t="s">
        <v>1280</v>
      </c>
      <c r="E1" s="1" t="s">
        <v>1281</v>
      </c>
      <c r="F1" s="1" t="s">
        <v>1282</v>
      </c>
      <c r="G1" s="1" t="s">
        <v>1283</v>
      </c>
      <c r="H1" s="1" t="s">
        <v>1284</v>
      </c>
      <c r="I1" s="1" t="s">
        <v>1285</v>
      </c>
      <c r="J1" s="1" t="s">
        <v>1286</v>
      </c>
      <c r="K1" s="1" t="s">
        <v>1287</v>
      </c>
      <c r="L1" s="1" t="s">
        <v>1288</v>
      </c>
      <c r="M1" s="9" t="s">
        <v>1289</v>
      </c>
      <c r="N1" s="9" t="s">
        <v>1290</v>
      </c>
      <c r="O1" s="9" t="s">
        <v>1291</v>
      </c>
      <c r="P1" s="9" t="s">
        <v>1292</v>
      </c>
      <c r="Q1" s="9" t="s">
        <v>1293</v>
      </c>
      <c r="R1" s="9" t="s">
        <v>1294</v>
      </c>
      <c r="S1" t="s">
        <v>1295</v>
      </c>
      <c r="T1" t="s">
        <v>1296</v>
      </c>
      <c r="U1" t="s">
        <v>1297</v>
      </c>
      <c r="BI1" t="s">
        <v>72</v>
      </c>
      <c r="BJ1" t="s">
        <v>73</v>
      </c>
      <c r="BK1" t="s">
        <v>1298</v>
      </c>
      <c r="BL1" t="s">
        <v>1299</v>
      </c>
    </row>
    <row r="2" spans="1:64" ht="100.8" customHeight="1" x14ac:dyDescent="0.55000000000000004">
      <c r="A2" s="2" t="s">
        <v>87</v>
      </c>
      <c r="B2" s="2" t="s">
        <v>88</v>
      </c>
      <c r="C2" s="2" t="s">
        <v>99</v>
      </c>
      <c r="D2" s="2" t="s">
        <v>1300</v>
      </c>
      <c r="E2" s="2" t="s">
        <v>1301</v>
      </c>
      <c r="F2" s="2" t="s">
        <v>1302</v>
      </c>
      <c r="G2" s="2" t="s">
        <v>1303</v>
      </c>
      <c r="H2" s="2" t="s">
        <v>1304</v>
      </c>
      <c r="I2" s="2" t="s">
        <v>1305</v>
      </c>
      <c r="J2" s="2" t="s">
        <v>1306</v>
      </c>
      <c r="K2" s="2" t="s">
        <v>1307</v>
      </c>
      <c r="L2" s="2" t="s">
        <v>1308</v>
      </c>
      <c r="M2" t="s">
        <v>1309</v>
      </c>
      <c r="N2" t="s">
        <v>1309</v>
      </c>
      <c r="O2" t="s">
        <v>1309</v>
      </c>
      <c r="P2" t="s">
        <v>1309</v>
      </c>
      <c r="Q2" t="s">
        <v>1309</v>
      </c>
      <c r="R2" t="s">
        <v>1309</v>
      </c>
      <c r="S2" t="s">
        <v>1310</v>
      </c>
      <c r="T2" t="s">
        <v>1311</v>
      </c>
      <c r="U2" t="s">
        <v>1312</v>
      </c>
      <c r="BK2" t="s">
        <v>1313</v>
      </c>
      <c r="BL2" t="s">
        <v>1314</v>
      </c>
    </row>
    <row r="3" spans="1:64" ht="100.8" customHeight="1" x14ac:dyDescent="0.55000000000000004">
      <c r="A3" s="2" t="s">
        <v>87</v>
      </c>
      <c r="B3" s="2" t="s">
        <v>108</v>
      </c>
      <c r="C3" s="2" t="s">
        <v>99</v>
      </c>
      <c r="D3" s="2" t="s">
        <v>1300</v>
      </c>
      <c r="E3" s="2" t="s">
        <v>1301</v>
      </c>
      <c r="F3" s="2" t="s">
        <v>1315</v>
      </c>
      <c r="G3" s="2" t="s">
        <v>1316</v>
      </c>
      <c r="H3" s="2" t="s">
        <v>1304</v>
      </c>
      <c r="I3" s="2" t="s">
        <v>1317</v>
      </c>
      <c r="J3" s="2" t="s">
        <v>1306</v>
      </c>
      <c r="K3" s="2" t="s">
        <v>1318</v>
      </c>
      <c r="L3" s="2" t="s">
        <v>1319</v>
      </c>
      <c r="M3" t="s">
        <v>1309</v>
      </c>
      <c r="N3" t="s">
        <v>1309</v>
      </c>
      <c r="O3" t="s">
        <v>1309</v>
      </c>
      <c r="P3" t="s">
        <v>1309</v>
      </c>
      <c r="Q3" t="s">
        <v>1309</v>
      </c>
      <c r="R3" t="s">
        <v>1309</v>
      </c>
      <c r="S3" t="s">
        <v>1310</v>
      </c>
      <c r="T3" t="s">
        <v>1311</v>
      </c>
      <c r="U3" t="s">
        <v>1320</v>
      </c>
      <c r="BK3" t="s">
        <v>1313</v>
      </c>
      <c r="BL3" t="s">
        <v>1314</v>
      </c>
    </row>
    <row r="4" spans="1:64" ht="100.8" customHeight="1" x14ac:dyDescent="0.55000000000000004">
      <c r="A4" s="2" t="s">
        <v>87</v>
      </c>
      <c r="B4" s="2" t="s">
        <v>117</v>
      </c>
      <c r="C4" s="2" t="s">
        <v>99</v>
      </c>
      <c r="D4" s="2" t="s">
        <v>1300</v>
      </c>
      <c r="E4" s="2" t="s">
        <v>1301</v>
      </c>
      <c r="F4" s="2" t="s">
        <v>1321</v>
      </c>
      <c r="G4" s="2" t="s">
        <v>1322</v>
      </c>
      <c r="H4" s="2" t="s">
        <v>1304</v>
      </c>
      <c r="I4" s="2" t="s">
        <v>1323</v>
      </c>
      <c r="J4" s="2" t="s">
        <v>1306</v>
      </c>
      <c r="K4" s="2" t="s">
        <v>1324</v>
      </c>
      <c r="L4" s="2" t="s">
        <v>1325</v>
      </c>
      <c r="M4" t="s">
        <v>1309</v>
      </c>
      <c r="N4" t="s">
        <v>1309</v>
      </c>
      <c r="O4" t="s">
        <v>1309</v>
      </c>
      <c r="P4" t="s">
        <v>1309</v>
      </c>
      <c r="Q4" t="s">
        <v>1309</v>
      </c>
      <c r="R4" t="s">
        <v>1309</v>
      </c>
      <c r="S4" t="s">
        <v>1310</v>
      </c>
      <c r="T4" t="s">
        <v>1311</v>
      </c>
      <c r="U4" t="s">
        <v>1326</v>
      </c>
      <c r="BK4" t="s">
        <v>1313</v>
      </c>
      <c r="BL4" t="s">
        <v>1314</v>
      </c>
    </row>
    <row r="5" spans="1:64" ht="100.8" customHeight="1" x14ac:dyDescent="0.55000000000000004">
      <c r="A5" s="2" t="s">
        <v>87</v>
      </c>
      <c r="B5" s="2" t="s">
        <v>124</v>
      </c>
      <c r="C5" s="2" t="s">
        <v>99</v>
      </c>
      <c r="D5" s="2" t="s">
        <v>1300</v>
      </c>
      <c r="E5" s="2" t="s">
        <v>1301</v>
      </c>
      <c r="F5" s="2" t="s">
        <v>1327</v>
      </c>
      <c r="G5" s="2" t="s">
        <v>1328</v>
      </c>
      <c r="H5" s="2" t="s">
        <v>1304</v>
      </c>
      <c r="I5" s="2" t="s">
        <v>1329</v>
      </c>
      <c r="J5" s="2" t="s">
        <v>1306</v>
      </c>
      <c r="K5" s="2" t="s">
        <v>1330</v>
      </c>
      <c r="L5" s="2" t="s">
        <v>1331</v>
      </c>
      <c r="M5" t="s">
        <v>1309</v>
      </c>
      <c r="N5" t="s">
        <v>1309</v>
      </c>
      <c r="O5" t="s">
        <v>1309</v>
      </c>
      <c r="P5" t="s">
        <v>1309</v>
      </c>
      <c r="Q5" t="s">
        <v>1309</v>
      </c>
      <c r="R5" t="s">
        <v>1309</v>
      </c>
      <c r="S5" t="s">
        <v>1310</v>
      </c>
      <c r="T5" t="s">
        <v>1311</v>
      </c>
      <c r="U5" t="s">
        <v>1332</v>
      </c>
      <c r="BK5" t="s">
        <v>1313</v>
      </c>
      <c r="BL5" t="s">
        <v>1314</v>
      </c>
    </row>
    <row r="6" spans="1:64" ht="100.8" customHeight="1" x14ac:dyDescent="0.55000000000000004">
      <c r="A6" s="2" t="s">
        <v>131</v>
      </c>
      <c r="B6" s="2" t="s">
        <v>132</v>
      </c>
      <c r="C6" s="2" t="s">
        <v>140</v>
      </c>
      <c r="D6" s="2" t="s">
        <v>1333</v>
      </c>
      <c r="E6" s="2" t="s">
        <v>1334</v>
      </c>
      <c r="F6" s="2" t="s">
        <v>1335</v>
      </c>
      <c r="G6" s="2" t="s">
        <v>1336</v>
      </c>
      <c r="H6" s="2" t="s">
        <v>1337</v>
      </c>
      <c r="I6" s="2" t="s">
        <v>1338</v>
      </c>
      <c r="J6" s="2" t="s">
        <v>1339</v>
      </c>
      <c r="K6" s="2" t="s">
        <v>1340</v>
      </c>
      <c r="L6" s="2" t="s">
        <v>1341</v>
      </c>
      <c r="M6" t="s">
        <v>1342</v>
      </c>
      <c r="N6" t="s">
        <v>1342</v>
      </c>
      <c r="O6" t="s">
        <v>1342</v>
      </c>
      <c r="P6" t="s">
        <v>1342</v>
      </c>
      <c r="Q6" t="s">
        <v>1342</v>
      </c>
      <c r="R6" t="s">
        <v>1342</v>
      </c>
      <c r="S6" t="s">
        <v>1343</v>
      </c>
      <c r="T6" t="s">
        <v>1344</v>
      </c>
      <c r="U6" t="s">
        <v>1345</v>
      </c>
      <c r="BK6" t="s">
        <v>1346</v>
      </c>
      <c r="BL6" t="s">
        <v>1347</v>
      </c>
    </row>
    <row r="7" spans="1:64" ht="86.4" customHeight="1" x14ac:dyDescent="0.55000000000000004">
      <c r="A7" s="2" t="s">
        <v>131</v>
      </c>
      <c r="B7" s="2" t="s">
        <v>146</v>
      </c>
      <c r="C7" s="2" t="s">
        <v>140</v>
      </c>
      <c r="D7" s="2" t="s">
        <v>1333</v>
      </c>
      <c r="E7" s="2" t="s">
        <v>1334</v>
      </c>
      <c r="F7" s="2" t="s">
        <v>1348</v>
      </c>
      <c r="G7" s="2" t="s">
        <v>1349</v>
      </c>
      <c r="H7" s="2" t="s">
        <v>1337</v>
      </c>
      <c r="I7" s="2" t="s">
        <v>1338</v>
      </c>
      <c r="J7" s="2" t="s">
        <v>1339</v>
      </c>
      <c r="K7" s="2" t="s">
        <v>1350</v>
      </c>
      <c r="L7" s="2" t="s">
        <v>1351</v>
      </c>
      <c r="M7" t="s">
        <v>1342</v>
      </c>
      <c r="N7" t="s">
        <v>1342</v>
      </c>
      <c r="O7" t="s">
        <v>1342</v>
      </c>
      <c r="P7" t="s">
        <v>1342</v>
      </c>
      <c r="Q7" t="s">
        <v>1342</v>
      </c>
      <c r="R7" t="s">
        <v>1342</v>
      </c>
      <c r="S7" t="s">
        <v>1343</v>
      </c>
      <c r="T7" t="s">
        <v>1344</v>
      </c>
      <c r="U7" t="s">
        <v>1352</v>
      </c>
      <c r="BK7" t="s">
        <v>1353</v>
      </c>
      <c r="BL7" t="s">
        <v>1354</v>
      </c>
    </row>
    <row r="8" spans="1:64" ht="86.4" customHeight="1" x14ac:dyDescent="0.55000000000000004">
      <c r="A8" s="2" t="s">
        <v>131</v>
      </c>
      <c r="B8" s="2" t="s">
        <v>152</v>
      </c>
      <c r="C8" s="2" t="s">
        <v>140</v>
      </c>
      <c r="D8" s="2" t="s">
        <v>1333</v>
      </c>
      <c r="E8" s="2" t="s">
        <v>1334</v>
      </c>
      <c r="F8" s="2" t="s">
        <v>1355</v>
      </c>
      <c r="G8" s="2" t="s">
        <v>1356</v>
      </c>
      <c r="H8" s="2" t="s">
        <v>1337</v>
      </c>
      <c r="I8" s="2" t="s">
        <v>1338</v>
      </c>
      <c r="J8" s="2" t="s">
        <v>1339</v>
      </c>
      <c r="K8" s="2" t="s">
        <v>1357</v>
      </c>
      <c r="L8" s="2" t="s">
        <v>1358</v>
      </c>
      <c r="M8" t="s">
        <v>1342</v>
      </c>
      <c r="N8" t="s">
        <v>1342</v>
      </c>
      <c r="O8" t="s">
        <v>1342</v>
      </c>
      <c r="P8" t="s">
        <v>1342</v>
      </c>
      <c r="Q8" t="s">
        <v>1342</v>
      </c>
      <c r="R8" t="s">
        <v>1342</v>
      </c>
      <c r="S8" t="s">
        <v>1343</v>
      </c>
      <c r="T8" t="s">
        <v>1344</v>
      </c>
      <c r="U8" t="s">
        <v>1359</v>
      </c>
      <c r="BK8" t="s">
        <v>1360</v>
      </c>
      <c r="BL8" t="s">
        <v>1361</v>
      </c>
    </row>
    <row r="9" spans="1:64" ht="86.4" customHeight="1" x14ac:dyDescent="0.55000000000000004">
      <c r="A9" s="2" t="s">
        <v>131</v>
      </c>
      <c r="B9" s="2" t="s">
        <v>158</v>
      </c>
      <c r="C9" s="2" t="s">
        <v>140</v>
      </c>
      <c r="D9" s="2" t="s">
        <v>1333</v>
      </c>
      <c r="E9" s="2" t="s">
        <v>1334</v>
      </c>
      <c r="F9" s="2" t="s">
        <v>1362</v>
      </c>
      <c r="G9" s="2" t="s">
        <v>1363</v>
      </c>
      <c r="H9" s="2" t="s">
        <v>1337</v>
      </c>
      <c r="I9" s="2" t="s">
        <v>1338</v>
      </c>
      <c r="J9" s="2" t="s">
        <v>1339</v>
      </c>
      <c r="K9" s="2" t="s">
        <v>1364</v>
      </c>
      <c r="L9" s="2" t="s">
        <v>1365</v>
      </c>
      <c r="M9" t="s">
        <v>1342</v>
      </c>
      <c r="N9" t="s">
        <v>1342</v>
      </c>
      <c r="O9" t="s">
        <v>1342</v>
      </c>
      <c r="P9" t="s">
        <v>1342</v>
      </c>
      <c r="Q9" t="s">
        <v>1342</v>
      </c>
      <c r="R9" t="s">
        <v>1342</v>
      </c>
      <c r="S9" t="s">
        <v>1343</v>
      </c>
      <c r="T9" t="s">
        <v>1344</v>
      </c>
      <c r="U9" t="s">
        <v>1366</v>
      </c>
      <c r="BK9" t="s">
        <v>1367</v>
      </c>
      <c r="BL9" t="s">
        <v>1368</v>
      </c>
    </row>
    <row r="10" spans="1:64" ht="129.6" customHeight="1" x14ac:dyDescent="0.55000000000000004">
      <c r="A10" s="2" t="s">
        <v>164</v>
      </c>
      <c r="B10" s="2" t="s">
        <v>165</v>
      </c>
      <c r="C10" s="2" t="s">
        <v>99</v>
      </c>
      <c r="D10" s="2" t="s">
        <v>1369</v>
      </c>
      <c r="E10" s="2" t="s">
        <v>1370</v>
      </c>
      <c r="F10" s="2" t="s">
        <v>1371</v>
      </c>
      <c r="G10" s="2" t="s">
        <v>1372</v>
      </c>
      <c r="H10" s="2" t="s">
        <v>1373</v>
      </c>
      <c r="I10" s="2" t="s">
        <v>1374</v>
      </c>
      <c r="J10" s="2" t="s">
        <v>1375</v>
      </c>
      <c r="K10" s="2" t="s">
        <v>1376</v>
      </c>
      <c r="L10" s="2" t="s">
        <v>1377</v>
      </c>
      <c r="M10" t="s">
        <v>1378</v>
      </c>
      <c r="N10" t="s">
        <v>1378</v>
      </c>
      <c r="O10" t="s">
        <v>1378</v>
      </c>
      <c r="P10" t="s">
        <v>1378</v>
      </c>
      <c r="Q10" t="s">
        <v>1378</v>
      </c>
      <c r="R10" t="s">
        <v>1378</v>
      </c>
      <c r="S10" t="s">
        <v>1379</v>
      </c>
      <c r="T10" t="s">
        <v>1380</v>
      </c>
      <c r="U10" t="s">
        <v>1381</v>
      </c>
      <c r="BK10" t="s">
        <v>1382</v>
      </c>
      <c r="BL10" t="s">
        <v>1383</v>
      </c>
    </row>
    <row r="11" spans="1:64" ht="129.6" customHeight="1" x14ac:dyDescent="0.55000000000000004">
      <c r="A11" s="2" t="s">
        <v>164</v>
      </c>
      <c r="B11" s="2" t="s">
        <v>177</v>
      </c>
      <c r="C11" s="2" t="s">
        <v>99</v>
      </c>
      <c r="D11" s="2" t="s">
        <v>1369</v>
      </c>
      <c r="E11" s="2" t="s">
        <v>1370</v>
      </c>
      <c r="F11" s="2" t="s">
        <v>1384</v>
      </c>
      <c r="G11" s="2" t="s">
        <v>1385</v>
      </c>
      <c r="H11" s="2" t="s">
        <v>1373</v>
      </c>
      <c r="I11" s="2" t="s">
        <v>1374</v>
      </c>
      <c r="J11" s="2" t="s">
        <v>1375</v>
      </c>
      <c r="K11" s="2" t="s">
        <v>1386</v>
      </c>
      <c r="L11" s="2" t="s">
        <v>1387</v>
      </c>
      <c r="M11" t="s">
        <v>1388</v>
      </c>
      <c r="N11" t="s">
        <v>1389</v>
      </c>
      <c r="O11" t="s">
        <v>1390</v>
      </c>
      <c r="P11" t="s">
        <v>1391</v>
      </c>
      <c r="Q11" t="s">
        <v>1392</v>
      </c>
      <c r="R11" t="s">
        <v>1393</v>
      </c>
      <c r="S11" t="s">
        <v>1379</v>
      </c>
      <c r="T11" t="s">
        <v>1394</v>
      </c>
      <c r="U11" t="s">
        <v>1395</v>
      </c>
      <c r="BK11" t="s">
        <v>1382</v>
      </c>
      <c r="BL11" t="s">
        <v>1383</v>
      </c>
    </row>
    <row r="12" spans="1:64" ht="129.6" customHeight="1" x14ac:dyDescent="0.55000000000000004">
      <c r="A12" s="2" t="s">
        <v>164</v>
      </c>
      <c r="B12" s="2" t="s">
        <v>182</v>
      </c>
      <c r="C12" s="2" t="s">
        <v>99</v>
      </c>
      <c r="D12" s="2" t="s">
        <v>1369</v>
      </c>
      <c r="E12" s="2" t="s">
        <v>1370</v>
      </c>
      <c r="F12" s="2" t="s">
        <v>1396</v>
      </c>
      <c r="G12" s="2" t="s">
        <v>1397</v>
      </c>
      <c r="H12" s="2" t="s">
        <v>1373</v>
      </c>
      <c r="I12" s="2" t="s">
        <v>1374</v>
      </c>
      <c r="J12" s="2" t="s">
        <v>1375</v>
      </c>
      <c r="K12" s="2" t="s">
        <v>1398</v>
      </c>
      <c r="L12" s="2" t="s">
        <v>1399</v>
      </c>
      <c r="M12" t="s">
        <v>1400</v>
      </c>
      <c r="N12" t="s">
        <v>1401</v>
      </c>
      <c r="O12" t="s">
        <v>1402</v>
      </c>
      <c r="P12" t="s">
        <v>1403</v>
      </c>
      <c r="Q12" t="s">
        <v>1404</v>
      </c>
      <c r="R12" t="s">
        <v>1405</v>
      </c>
      <c r="S12" t="s">
        <v>1379</v>
      </c>
      <c r="T12" t="s">
        <v>1406</v>
      </c>
      <c r="U12" t="s">
        <v>1407</v>
      </c>
      <c r="BK12" t="s">
        <v>1382</v>
      </c>
      <c r="BL12" t="s">
        <v>1383</v>
      </c>
    </row>
    <row r="13" spans="1:64" ht="129.6" customHeight="1" x14ac:dyDescent="0.55000000000000004">
      <c r="A13" s="2" t="s">
        <v>164</v>
      </c>
      <c r="B13" s="2" t="s">
        <v>186</v>
      </c>
      <c r="C13" s="2" t="s">
        <v>99</v>
      </c>
      <c r="D13" s="2" t="s">
        <v>1369</v>
      </c>
      <c r="E13" s="2" t="s">
        <v>1370</v>
      </c>
      <c r="F13" s="2" t="s">
        <v>1408</v>
      </c>
      <c r="G13" s="2" t="s">
        <v>1409</v>
      </c>
      <c r="H13" s="2" t="s">
        <v>1373</v>
      </c>
      <c r="I13" s="2" t="s">
        <v>1374</v>
      </c>
      <c r="J13" s="2" t="s">
        <v>1375</v>
      </c>
      <c r="K13" s="2" t="s">
        <v>1410</v>
      </c>
      <c r="L13" s="2" t="s">
        <v>1411</v>
      </c>
      <c r="M13" t="s">
        <v>1412</v>
      </c>
      <c r="N13" t="s">
        <v>1412</v>
      </c>
      <c r="O13" t="s">
        <v>1412</v>
      </c>
      <c r="P13" t="s">
        <v>1412</v>
      </c>
      <c r="Q13" t="s">
        <v>1412</v>
      </c>
      <c r="R13" t="s">
        <v>1412</v>
      </c>
      <c r="S13" t="s">
        <v>1379</v>
      </c>
      <c r="T13" t="s">
        <v>1413</v>
      </c>
      <c r="U13" t="s">
        <v>1414</v>
      </c>
      <c r="BK13" t="s">
        <v>1382</v>
      </c>
      <c r="BL13" t="s">
        <v>1383</v>
      </c>
    </row>
    <row r="14" spans="1:64" ht="129.6" customHeight="1" x14ac:dyDescent="0.55000000000000004">
      <c r="A14" s="2" t="s">
        <v>164</v>
      </c>
      <c r="B14" s="2" t="s">
        <v>190</v>
      </c>
      <c r="C14" s="2" t="s">
        <v>99</v>
      </c>
      <c r="D14" s="2" t="s">
        <v>1369</v>
      </c>
      <c r="E14" s="2" t="s">
        <v>1370</v>
      </c>
      <c r="F14" s="2" t="s">
        <v>1415</v>
      </c>
      <c r="G14" s="2" t="s">
        <v>1416</v>
      </c>
      <c r="H14" s="2" t="s">
        <v>1373</v>
      </c>
      <c r="I14" s="2" t="s">
        <v>1374</v>
      </c>
      <c r="J14" s="2" t="s">
        <v>1375</v>
      </c>
      <c r="K14" s="2" t="s">
        <v>1417</v>
      </c>
      <c r="L14" s="2" t="s">
        <v>1418</v>
      </c>
      <c r="M14" t="s">
        <v>1412</v>
      </c>
      <c r="N14" t="s">
        <v>1412</v>
      </c>
      <c r="O14" t="s">
        <v>1412</v>
      </c>
      <c r="P14" t="s">
        <v>1412</v>
      </c>
      <c r="Q14" t="s">
        <v>1412</v>
      </c>
      <c r="R14" t="s">
        <v>1412</v>
      </c>
      <c r="S14" t="s">
        <v>1379</v>
      </c>
      <c r="T14" t="s">
        <v>1419</v>
      </c>
      <c r="U14" t="s">
        <v>1420</v>
      </c>
      <c r="BK14" t="s">
        <v>1382</v>
      </c>
      <c r="BL14" t="s">
        <v>1383</v>
      </c>
    </row>
    <row r="15" spans="1:64" ht="129.6" customHeight="1" x14ac:dyDescent="0.55000000000000004">
      <c r="A15" s="2" t="s">
        <v>164</v>
      </c>
      <c r="B15" s="2" t="s">
        <v>193</v>
      </c>
      <c r="C15" s="2" t="s">
        <v>99</v>
      </c>
      <c r="D15" s="2" t="s">
        <v>1369</v>
      </c>
      <c r="E15" s="2" t="s">
        <v>1370</v>
      </c>
      <c r="F15" s="2" t="s">
        <v>1421</v>
      </c>
      <c r="G15" s="2" t="s">
        <v>1422</v>
      </c>
      <c r="H15" s="2" t="s">
        <v>1373</v>
      </c>
      <c r="I15" s="2" t="s">
        <v>1374</v>
      </c>
      <c r="J15" s="2" t="s">
        <v>1375</v>
      </c>
      <c r="K15" s="2" t="s">
        <v>1423</v>
      </c>
      <c r="L15" s="2" t="s">
        <v>1424</v>
      </c>
      <c r="M15" t="s">
        <v>1412</v>
      </c>
      <c r="N15" t="s">
        <v>1412</v>
      </c>
      <c r="O15" t="s">
        <v>1412</v>
      </c>
      <c r="P15" t="s">
        <v>1412</v>
      </c>
      <c r="Q15" t="s">
        <v>1412</v>
      </c>
      <c r="R15" t="s">
        <v>1412</v>
      </c>
      <c r="S15" t="s">
        <v>1379</v>
      </c>
      <c r="T15" t="s">
        <v>1425</v>
      </c>
      <c r="U15" t="s">
        <v>1426</v>
      </c>
      <c r="BK15" t="s">
        <v>1382</v>
      </c>
      <c r="BL15" t="s">
        <v>1383</v>
      </c>
    </row>
    <row r="16" spans="1:64" ht="129.6" customHeight="1" x14ac:dyDescent="0.55000000000000004">
      <c r="A16" s="2" t="s">
        <v>164</v>
      </c>
      <c r="B16" s="2" t="s">
        <v>197</v>
      </c>
      <c r="C16" s="2" t="s">
        <v>99</v>
      </c>
      <c r="D16" s="2" t="s">
        <v>1369</v>
      </c>
      <c r="E16" s="2" t="s">
        <v>1370</v>
      </c>
      <c r="F16" s="2" t="s">
        <v>1427</v>
      </c>
      <c r="G16" s="2" t="s">
        <v>1428</v>
      </c>
      <c r="H16" s="2" t="s">
        <v>1373</v>
      </c>
      <c r="I16" s="2" t="s">
        <v>1374</v>
      </c>
      <c r="J16" s="2" t="s">
        <v>1375</v>
      </c>
      <c r="K16" s="2" t="s">
        <v>1429</v>
      </c>
      <c r="L16" s="2" t="s">
        <v>1430</v>
      </c>
      <c r="M16" t="s">
        <v>1431</v>
      </c>
      <c r="N16" t="s">
        <v>1431</v>
      </c>
      <c r="O16" t="s">
        <v>1431</v>
      </c>
      <c r="P16" t="s">
        <v>1431</v>
      </c>
      <c r="Q16" t="s">
        <v>1431</v>
      </c>
      <c r="R16" t="s">
        <v>1431</v>
      </c>
      <c r="S16" t="s">
        <v>1379</v>
      </c>
      <c r="T16" t="s">
        <v>1432</v>
      </c>
      <c r="U16" t="s">
        <v>1433</v>
      </c>
      <c r="BK16" t="s">
        <v>1382</v>
      </c>
      <c r="BL16" t="s">
        <v>1383</v>
      </c>
    </row>
    <row r="17" spans="1:64" ht="129.6" customHeight="1" x14ac:dyDescent="0.55000000000000004">
      <c r="A17" s="2" t="s">
        <v>164</v>
      </c>
      <c r="B17" s="2" t="s">
        <v>201</v>
      </c>
      <c r="C17" s="2" t="s">
        <v>99</v>
      </c>
      <c r="D17" s="2" t="s">
        <v>1369</v>
      </c>
      <c r="E17" s="2" t="s">
        <v>1370</v>
      </c>
      <c r="F17" s="2" t="s">
        <v>1434</v>
      </c>
      <c r="G17" s="2" t="s">
        <v>1435</v>
      </c>
      <c r="H17" s="2" t="s">
        <v>1373</v>
      </c>
      <c r="I17" s="2" t="s">
        <v>1374</v>
      </c>
      <c r="J17" s="2" t="s">
        <v>1375</v>
      </c>
      <c r="K17" s="2" t="s">
        <v>1436</v>
      </c>
      <c r="L17" s="2" t="s">
        <v>1437</v>
      </c>
      <c r="M17" t="s">
        <v>1438</v>
      </c>
      <c r="N17" t="s">
        <v>1401</v>
      </c>
      <c r="O17" t="s">
        <v>1439</v>
      </c>
      <c r="P17" t="s">
        <v>1440</v>
      </c>
      <c r="Q17" t="s">
        <v>1441</v>
      </c>
      <c r="R17" t="s">
        <v>1405</v>
      </c>
      <c r="S17" t="s">
        <v>1379</v>
      </c>
      <c r="T17" t="s">
        <v>1442</v>
      </c>
      <c r="U17" t="s">
        <v>1443</v>
      </c>
      <c r="BK17" t="s">
        <v>1382</v>
      </c>
      <c r="BL17" t="s">
        <v>1383</v>
      </c>
    </row>
    <row r="18" spans="1:64" ht="129.6" customHeight="1" x14ac:dyDescent="0.55000000000000004">
      <c r="A18" s="2" t="s">
        <v>164</v>
      </c>
      <c r="B18" s="2" t="s">
        <v>205</v>
      </c>
      <c r="C18" s="2" t="s">
        <v>99</v>
      </c>
      <c r="D18" s="2" t="s">
        <v>1369</v>
      </c>
      <c r="E18" s="2" t="s">
        <v>1370</v>
      </c>
      <c r="F18" s="2" t="s">
        <v>1444</v>
      </c>
      <c r="G18" s="2" t="s">
        <v>1445</v>
      </c>
      <c r="H18" s="2" t="s">
        <v>1373</v>
      </c>
      <c r="I18" s="2" t="s">
        <v>1374</v>
      </c>
      <c r="J18" s="2" t="s">
        <v>1375</v>
      </c>
      <c r="K18" s="2" t="s">
        <v>1446</v>
      </c>
      <c r="L18" s="2" t="s">
        <v>1447</v>
      </c>
      <c r="M18" t="s">
        <v>1448</v>
      </c>
      <c r="N18" t="s">
        <v>1448</v>
      </c>
      <c r="O18" t="s">
        <v>1448</v>
      </c>
      <c r="P18" t="s">
        <v>1448</v>
      </c>
      <c r="Q18" t="s">
        <v>1448</v>
      </c>
      <c r="R18" t="s">
        <v>1448</v>
      </c>
      <c r="S18" t="s">
        <v>1379</v>
      </c>
      <c r="T18" t="s">
        <v>1449</v>
      </c>
      <c r="U18" t="s">
        <v>1450</v>
      </c>
      <c r="BK18" t="s">
        <v>1382</v>
      </c>
      <c r="BL18" t="s">
        <v>1383</v>
      </c>
    </row>
    <row r="19" spans="1:64" ht="129.6" customHeight="1" x14ac:dyDescent="0.55000000000000004">
      <c r="A19" s="2" t="s">
        <v>164</v>
      </c>
      <c r="B19" s="2" t="s">
        <v>208</v>
      </c>
      <c r="C19" s="2" t="s">
        <v>99</v>
      </c>
      <c r="D19" s="2" t="s">
        <v>1369</v>
      </c>
      <c r="E19" s="2" t="s">
        <v>1370</v>
      </c>
      <c r="F19" s="2" t="s">
        <v>1451</v>
      </c>
      <c r="G19" s="2" t="s">
        <v>1452</v>
      </c>
      <c r="H19" s="2" t="s">
        <v>1373</v>
      </c>
      <c r="I19" s="2" t="s">
        <v>1374</v>
      </c>
      <c r="J19" s="2" t="s">
        <v>1375</v>
      </c>
      <c r="K19" s="2" t="s">
        <v>1453</v>
      </c>
      <c r="L19" s="2" t="s">
        <v>1454</v>
      </c>
      <c r="M19" t="s">
        <v>1455</v>
      </c>
      <c r="N19" t="s">
        <v>1455</v>
      </c>
      <c r="O19" t="s">
        <v>1455</v>
      </c>
      <c r="P19" t="s">
        <v>1455</v>
      </c>
      <c r="Q19" t="s">
        <v>1455</v>
      </c>
      <c r="R19" t="s">
        <v>1455</v>
      </c>
      <c r="S19" t="s">
        <v>1379</v>
      </c>
      <c r="T19" t="s">
        <v>1456</v>
      </c>
      <c r="U19" t="s">
        <v>1457</v>
      </c>
      <c r="BK19" t="s">
        <v>1382</v>
      </c>
      <c r="BL19" t="s">
        <v>1383</v>
      </c>
    </row>
    <row r="20" spans="1:64" ht="129.6" customHeight="1" x14ac:dyDescent="0.55000000000000004">
      <c r="A20" s="2" t="s">
        <v>164</v>
      </c>
      <c r="B20" s="2" t="s">
        <v>211</v>
      </c>
      <c r="C20" s="2" t="s">
        <v>99</v>
      </c>
      <c r="D20" s="2" t="s">
        <v>1369</v>
      </c>
      <c r="E20" s="2" t="s">
        <v>1370</v>
      </c>
      <c r="F20" s="2" t="s">
        <v>1458</v>
      </c>
      <c r="G20" s="2" t="s">
        <v>1459</v>
      </c>
      <c r="H20" s="2" t="s">
        <v>1373</v>
      </c>
      <c r="I20" s="2" t="s">
        <v>1374</v>
      </c>
      <c r="J20" s="2" t="s">
        <v>1375</v>
      </c>
      <c r="K20" s="2" t="s">
        <v>1460</v>
      </c>
      <c r="L20" s="2" t="s">
        <v>1461</v>
      </c>
      <c r="M20" t="s">
        <v>1462</v>
      </c>
      <c r="N20" t="s">
        <v>1401</v>
      </c>
      <c r="O20" t="s">
        <v>1463</v>
      </c>
      <c r="P20" t="s">
        <v>1464</v>
      </c>
      <c r="Q20" t="s">
        <v>1441</v>
      </c>
      <c r="R20" t="s">
        <v>1405</v>
      </c>
      <c r="S20" t="s">
        <v>1379</v>
      </c>
      <c r="T20" t="s">
        <v>1465</v>
      </c>
      <c r="U20" t="s">
        <v>1466</v>
      </c>
      <c r="BK20" t="s">
        <v>1382</v>
      </c>
      <c r="BL20" t="s">
        <v>1383</v>
      </c>
    </row>
    <row r="21" spans="1:64" ht="129.6" customHeight="1" x14ac:dyDescent="0.55000000000000004">
      <c r="A21" s="2" t="s">
        <v>164</v>
      </c>
      <c r="B21" s="2" t="s">
        <v>214</v>
      </c>
      <c r="C21" s="2" t="s">
        <v>99</v>
      </c>
      <c r="D21" s="2" t="s">
        <v>1369</v>
      </c>
      <c r="E21" s="2" t="s">
        <v>1370</v>
      </c>
      <c r="F21" s="2" t="s">
        <v>1467</v>
      </c>
      <c r="G21" s="2" t="s">
        <v>1468</v>
      </c>
      <c r="H21" s="2" t="s">
        <v>1373</v>
      </c>
      <c r="I21" s="2" t="s">
        <v>1374</v>
      </c>
      <c r="J21" s="2" t="s">
        <v>1375</v>
      </c>
      <c r="K21" s="2" t="s">
        <v>1469</v>
      </c>
      <c r="L21" s="2" t="s">
        <v>1470</v>
      </c>
      <c r="M21" t="s">
        <v>1471</v>
      </c>
      <c r="N21" t="s">
        <v>1401</v>
      </c>
      <c r="O21" t="s">
        <v>1463</v>
      </c>
      <c r="P21" t="s">
        <v>1472</v>
      </c>
      <c r="Q21" t="s">
        <v>1441</v>
      </c>
      <c r="R21" t="s">
        <v>1405</v>
      </c>
      <c r="S21" t="s">
        <v>1379</v>
      </c>
      <c r="T21" t="s">
        <v>1473</v>
      </c>
      <c r="U21" t="s">
        <v>1474</v>
      </c>
      <c r="BK21" t="s">
        <v>1382</v>
      </c>
      <c r="BL21" t="s">
        <v>1383</v>
      </c>
    </row>
    <row r="22" spans="1:64" ht="129.6" customHeight="1" x14ac:dyDescent="0.55000000000000004">
      <c r="A22" s="2" t="s">
        <v>164</v>
      </c>
      <c r="B22" s="2" t="s">
        <v>218</v>
      </c>
      <c r="C22" s="2" t="s">
        <v>99</v>
      </c>
      <c r="D22" s="2" t="s">
        <v>1369</v>
      </c>
      <c r="E22" s="2" t="s">
        <v>1370</v>
      </c>
      <c r="F22" s="2" t="s">
        <v>1475</v>
      </c>
      <c r="G22" s="2" t="s">
        <v>1476</v>
      </c>
      <c r="H22" s="2" t="s">
        <v>1373</v>
      </c>
      <c r="I22" s="2" t="s">
        <v>1374</v>
      </c>
      <c r="J22" s="2" t="s">
        <v>1375</v>
      </c>
      <c r="K22" s="2" t="s">
        <v>1477</v>
      </c>
      <c r="L22" s="2" t="s">
        <v>1478</v>
      </c>
      <c r="M22" t="s">
        <v>1479</v>
      </c>
      <c r="N22" t="s">
        <v>1479</v>
      </c>
      <c r="O22" t="s">
        <v>1479</v>
      </c>
      <c r="P22" t="s">
        <v>1479</v>
      </c>
      <c r="Q22" t="s">
        <v>1479</v>
      </c>
      <c r="R22" t="s">
        <v>1479</v>
      </c>
      <c r="S22" t="s">
        <v>1379</v>
      </c>
      <c r="T22" t="s">
        <v>1480</v>
      </c>
      <c r="U22" t="s">
        <v>1481</v>
      </c>
      <c r="BK22" t="s">
        <v>1382</v>
      </c>
      <c r="BL22" t="s">
        <v>1383</v>
      </c>
    </row>
    <row r="23" spans="1:64" ht="158.4" customHeight="1" x14ac:dyDescent="0.55000000000000004">
      <c r="A23" s="2" t="s">
        <v>222</v>
      </c>
      <c r="B23" s="2" t="s">
        <v>223</v>
      </c>
      <c r="C23" s="2" t="s">
        <v>232</v>
      </c>
      <c r="D23" s="2" t="s">
        <v>1482</v>
      </c>
      <c r="E23" s="2" t="s">
        <v>1483</v>
      </c>
      <c r="F23" s="2" t="s">
        <v>1484</v>
      </c>
      <c r="G23" s="2" t="s">
        <v>1485</v>
      </c>
      <c r="H23" s="2" t="s">
        <v>1486</v>
      </c>
      <c r="I23" s="2" t="s">
        <v>1487</v>
      </c>
      <c r="J23" s="2" t="s">
        <v>1488</v>
      </c>
      <c r="K23" s="2" t="s">
        <v>1489</v>
      </c>
      <c r="L23" s="2" t="s">
        <v>1490</v>
      </c>
      <c r="M23" t="s">
        <v>1491</v>
      </c>
      <c r="N23" t="s">
        <v>1491</v>
      </c>
      <c r="O23" t="s">
        <v>1491</v>
      </c>
      <c r="P23" t="s">
        <v>1491</v>
      </c>
      <c r="Q23" t="s">
        <v>1491</v>
      </c>
      <c r="R23" t="s">
        <v>1491</v>
      </c>
      <c r="S23" t="s">
        <v>1492</v>
      </c>
      <c r="T23" t="s">
        <v>1493</v>
      </c>
      <c r="U23" t="s">
        <v>1494</v>
      </c>
      <c r="BK23" t="s">
        <v>1495</v>
      </c>
      <c r="BL23" t="s">
        <v>1495</v>
      </c>
    </row>
    <row r="24" spans="1:64" ht="158.4" customHeight="1" x14ac:dyDescent="0.55000000000000004">
      <c r="A24" s="2" t="s">
        <v>222</v>
      </c>
      <c r="B24" s="2" t="s">
        <v>239</v>
      </c>
      <c r="C24" s="2" t="s">
        <v>232</v>
      </c>
      <c r="D24" s="2" t="s">
        <v>1482</v>
      </c>
      <c r="E24" s="2" t="s">
        <v>1483</v>
      </c>
      <c r="F24" s="2" t="s">
        <v>1496</v>
      </c>
      <c r="G24" s="2" t="s">
        <v>1497</v>
      </c>
      <c r="H24" s="2" t="s">
        <v>1486</v>
      </c>
      <c r="I24" s="2" t="s">
        <v>1487</v>
      </c>
      <c r="J24" s="2" t="s">
        <v>1488</v>
      </c>
      <c r="K24" s="2" t="s">
        <v>1489</v>
      </c>
      <c r="L24" s="2" t="s">
        <v>1498</v>
      </c>
      <c r="M24" t="s">
        <v>1491</v>
      </c>
      <c r="N24" t="s">
        <v>1491</v>
      </c>
      <c r="O24" t="s">
        <v>1491</v>
      </c>
      <c r="P24" t="s">
        <v>1491</v>
      </c>
      <c r="Q24" t="s">
        <v>1491</v>
      </c>
      <c r="R24" t="s">
        <v>1491</v>
      </c>
      <c r="S24" t="s">
        <v>1492</v>
      </c>
      <c r="T24" t="s">
        <v>1493</v>
      </c>
      <c r="U24" t="s">
        <v>1499</v>
      </c>
      <c r="BK24" t="s">
        <v>1495</v>
      </c>
      <c r="BL24" t="s">
        <v>1495</v>
      </c>
    </row>
    <row r="25" spans="1:64" ht="158.4" customHeight="1" x14ac:dyDescent="0.55000000000000004">
      <c r="A25" s="2" t="s">
        <v>222</v>
      </c>
      <c r="B25" s="2" t="s">
        <v>247</v>
      </c>
      <c r="C25" s="2" t="s">
        <v>232</v>
      </c>
      <c r="D25" s="2" t="s">
        <v>1482</v>
      </c>
      <c r="E25" s="2" t="s">
        <v>1483</v>
      </c>
      <c r="F25" s="2" t="s">
        <v>1500</v>
      </c>
      <c r="G25" s="2" t="s">
        <v>1501</v>
      </c>
      <c r="H25" s="2" t="s">
        <v>1486</v>
      </c>
      <c r="I25" s="2" t="s">
        <v>1487</v>
      </c>
      <c r="J25" s="2" t="s">
        <v>1488</v>
      </c>
      <c r="K25" s="2" t="s">
        <v>1489</v>
      </c>
      <c r="L25" s="2" t="s">
        <v>1502</v>
      </c>
      <c r="M25" t="s">
        <v>1491</v>
      </c>
      <c r="N25" t="s">
        <v>1491</v>
      </c>
      <c r="O25" t="s">
        <v>1491</v>
      </c>
      <c r="P25" t="s">
        <v>1491</v>
      </c>
      <c r="Q25" t="s">
        <v>1491</v>
      </c>
      <c r="R25" t="s">
        <v>1491</v>
      </c>
      <c r="S25" t="s">
        <v>1492</v>
      </c>
      <c r="T25" t="s">
        <v>1493</v>
      </c>
      <c r="U25" t="s">
        <v>1503</v>
      </c>
      <c r="BK25" t="s">
        <v>1495</v>
      </c>
      <c r="BL25" t="s">
        <v>1495</v>
      </c>
    </row>
    <row r="26" spans="1:64" ht="158.4" customHeight="1" x14ac:dyDescent="0.55000000000000004">
      <c r="A26" s="2" t="s">
        <v>222</v>
      </c>
      <c r="B26" s="2" t="s">
        <v>254</v>
      </c>
      <c r="C26" s="2" t="s">
        <v>232</v>
      </c>
      <c r="D26" s="2" t="s">
        <v>1482</v>
      </c>
      <c r="E26" s="2" t="s">
        <v>1483</v>
      </c>
      <c r="F26" s="2" t="s">
        <v>1504</v>
      </c>
      <c r="G26" s="2" t="s">
        <v>1505</v>
      </c>
      <c r="H26" s="2" t="s">
        <v>1486</v>
      </c>
      <c r="I26" s="2" t="s">
        <v>1487</v>
      </c>
      <c r="J26" s="2" t="s">
        <v>1488</v>
      </c>
      <c r="K26" s="2" t="s">
        <v>1489</v>
      </c>
      <c r="L26" s="2" t="s">
        <v>1506</v>
      </c>
      <c r="M26" t="s">
        <v>1491</v>
      </c>
      <c r="N26" t="s">
        <v>1491</v>
      </c>
      <c r="O26" t="s">
        <v>1491</v>
      </c>
      <c r="P26" t="s">
        <v>1491</v>
      </c>
      <c r="Q26" t="s">
        <v>1491</v>
      </c>
      <c r="R26" t="s">
        <v>1491</v>
      </c>
      <c r="S26" t="s">
        <v>1492</v>
      </c>
      <c r="T26" t="s">
        <v>1493</v>
      </c>
      <c r="U26" t="s">
        <v>1507</v>
      </c>
      <c r="BK26" t="s">
        <v>1495</v>
      </c>
      <c r="BL26" t="s">
        <v>1495</v>
      </c>
    </row>
    <row r="27" spans="1:64" ht="158.4" customHeight="1" x14ac:dyDescent="0.55000000000000004">
      <c r="A27" s="2" t="s">
        <v>222</v>
      </c>
      <c r="B27" s="2" t="s">
        <v>261</v>
      </c>
      <c r="C27" s="2" t="s">
        <v>232</v>
      </c>
      <c r="D27" s="2" t="s">
        <v>1482</v>
      </c>
      <c r="E27" s="2" t="s">
        <v>1483</v>
      </c>
      <c r="F27" s="2" t="s">
        <v>1508</v>
      </c>
      <c r="G27" s="2" t="s">
        <v>1509</v>
      </c>
      <c r="H27" s="2" t="s">
        <v>1486</v>
      </c>
      <c r="I27" s="2" t="s">
        <v>1487</v>
      </c>
      <c r="J27" s="2" t="s">
        <v>1488</v>
      </c>
      <c r="K27" s="2" t="s">
        <v>1489</v>
      </c>
      <c r="L27" s="2" t="s">
        <v>1510</v>
      </c>
      <c r="M27" t="s">
        <v>1491</v>
      </c>
      <c r="N27" t="s">
        <v>1491</v>
      </c>
      <c r="O27" t="s">
        <v>1491</v>
      </c>
      <c r="P27" t="s">
        <v>1491</v>
      </c>
      <c r="Q27" t="s">
        <v>1491</v>
      </c>
      <c r="R27" t="s">
        <v>1491</v>
      </c>
      <c r="S27" t="s">
        <v>1492</v>
      </c>
      <c r="T27" t="s">
        <v>1493</v>
      </c>
      <c r="U27" t="s">
        <v>1511</v>
      </c>
      <c r="BK27" t="s">
        <v>1495</v>
      </c>
      <c r="BL27" t="s">
        <v>1495</v>
      </c>
    </row>
    <row r="28" spans="1:64" ht="158.4" customHeight="1" x14ac:dyDescent="0.55000000000000004">
      <c r="A28" s="2" t="s">
        <v>222</v>
      </c>
      <c r="B28" s="2" t="s">
        <v>267</v>
      </c>
      <c r="C28" s="2" t="s">
        <v>232</v>
      </c>
      <c r="D28" s="2" t="s">
        <v>1482</v>
      </c>
      <c r="E28" s="2" t="s">
        <v>1483</v>
      </c>
      <c r="F28" s="2" t="s">
        <v>1512</v>
      </c>
      <c r="G28" s="2" t="s">
        <v>1513</v>
      </c>
      <c r="H28" s="2" t="s">
        <v>1486</v>
      </c>
      <c r="I28" s="2" t="s">
        <v>1487</v>
      </c>
      <c r="J28" s="2" t="s">
        <v>1488</v>
      </c>
      <c r="K28" s="2" t="s">
        <v>1489</v>
      </c>
      <c r="L28" s="2" t="s">
        <v>1514</v>
      </c>
      <c r="M28" t="s">
        <v>1491</v>
      </c>
      <c r="N28" t="s">
        <v>1491</v>
      </c>
      <c r="O28" t="s">
        <v>1491</v>
      </c>
      <c r="P28" t="s">
        <v>1491</v>
      </c>
      <c r="Q28" t="s">
        <v>1491</v>
      </c>
      <c r="R28" t="s">
        <v>1491</v>
      </c>
      <c r="S28" t="s">
        <v>1492</v>
      </c>
      <c r="T28" t="s">
        <v>1493</v>
      </c>
      <c r="U28" t="s">
        <v>1515</v>
      </c>
      <c r="BK28" t="s">
        <v>1495</v>
      </c>
      <c r="BL28" t="s">
        <v>1495</v>
      </c>
    </row>
    <row r="29" spans="1:64" ht="86.4" customHeight="1" x14ac:dyDescent="0.55000000000000004">
      <c r="A29" s="2" t="s">
        <v>273</v>
      </c>
      <c r="B29" s="2" t="s">
        <v>274</v>
      </c>
      <c r="C29" s="2" t="s">
        <v>99</v>
      </c>
      <c r="D29" s="2" t="s">
        <v>1516</v>
      </c>
      <c r="E29" s="2" t="s">
        <v>1517</v>
      </c>
      <c r="F29" s="2" t="s">
        <v>1518</v>
      </c>
      <c r="G29" s="2" t="s">
        <v>1519</v>
      </c>
      <c r="H29" s="2" t="s">
        <v>1520</v>
      </c>
      <c r="I29" s="2" t="s">
        <v>1521</v>
      </c>
      <c r="J29" s="2" t="s">
        <v>1522</v>
      </c>
      <c r="K29" s="2" t="s">
        <v>1523</v>
      </c>
      <c r="L29" s="2" t="s">
        <v>1524</v>
      </c>
      <c r="M29" t="s">
        <v>1525</v>
      </c>
      <c r="N29" t="s">
        <v>1526</v>
      </c>
      <c r="O29" t="s">
        <v>1527</v>
      </c>
      <c r="P29" t="s">
        <v>1528</v>
      </c>
      <c r="Q29" t="s">
        <v>1529</v>
      </c>
      <c r="R29" t="s">
        <v>1530</v>
      </c>
      <c r="S29" t="s">
        <v>1531</v>
      </c>
      <c r="T29" t="s">
        <v>1532</v>
      </c>
      <c r="U29" t="s">
        <v>1533</v>
      </c>
      <c r="BK29" t="s">
        <v>1534</v>
      </c>
      <c r="BL29" t="s">
        <v>1535</v>
      </c>
    </row>
    <row r="30" spans="1:64" ht="86.4" customHeight="1" x14ac:dyDescent="0.55000000000000004">
      <c r="A30" s="2" t="s">
        <v>284</v>
      </c>
      <c r="B30" s="2" t="s">
        <v>285</v>
      </c>
      <c r="C30" s="2" t="s">
        <v>292</v>
      </c>
      <c r="D30" s="2" t="s">
        <v>1536</v>
      </c>
      <c r="E30" s="2" t="s">
        <v>1537</v>
      </c>
      <c r="F30" s="2" t="s">
        <v>1538</v>
      </c>
      <c r="G30" s="2" t="s">
        <v>1539</v>
      </c>
      <c r="H30" s="2" t="s">
        <v>1540</v>
      </c>
      <c r="I30" s="2" t="s">
        <v>1541</v>
      </c>
      <c r="J30" s="2" t="s">
        <v>1542</v>
      </c>
      <c r="K30" s="2" t="s">
        <v>1543</v>
      </c>
      <c r="L30" s="2" t="s">
        <v>1544</v>
      </c>
      <c r="M30" t="s">
        <v>1545</v>
      </c>
      <c r="N30" t="s">
        <v>1546</v>
      </c>
      <c r="O30" t="s">
        <v>1545</v>
      </c>
      <c r="P30" t="s">
        <v>1546</v>
      </c>
      <c r="Q30" t="s">
        <v>1545</v>
      </c>
      <c r="R30" t="s">
        <v>1545</v>
      </c>
      <c r="S30" t="s">
        <v>1547</v>
      </c>
      <c r="T30" t="s">
        <v>1548</v>
      </c>
      <c r="U30" t="s">
        <v>1549</v>
      </c>
      <c r="BK30" t="s">
        <v>1550</v>
      </c>
      <c r="BL30" t="s">
        <v>1551</v>
      </c>
    </row>
    <row r="31" spans="1:64" ht="86.4" customHeight="1" x14ac:dyDescent="0.55000000000000004">
      <c r="A31" s="2" t="s">
        <v>298</v>
      </c>
      <c r="B31" s="2" t="s">
        <v>299</v>
      </c>
      <c r="C31" s="2" t="s">
        <v>232</v>
      </c>
      <c r="D31" s="2" t="s">
        <v>1552</v>
      </c>
      <c r="E31" s="2" t="s">
        <v>1553</v>
      </c>
      <c r="F31" s="2" t="s">
        <v>1554</v>
      </c>
      <c r="G31" s="2" t="s">
        <v>1555</v>
      </c>
      <c r="H31" s="2" t="s">
        <v>1556</v>
      </c>
      <c r="I31" s="2" t="s">
        <v>1557</v>
      </c>
      <c r="J31" s="2" t="s">
        <v>1558</v>
      </c>
      <c r="K31" s="2" t="s">
        <v>1559</v>
      </c>
      <c r="L31" s="2" t="s">
        <v>1560</v>
      </c>
      <c r="M31" t="s">
        <v>1561</v>
      </c>
      <c r="N31" t="s">
        <v>1561</v>
      </c>
      <c r="O31" t="s">
        <v>1561</v>
      </c>
      <c r="P31" t="s">
        <v>1561</v>
      </c>
      <c r="Q31" t="s">
        <v>1561</v>
      </c>
      <c r="R31" t="s">
        <v>1561</v>
      </c>
      <c r="S31" t="s">
        <v>1562</v>
      </c>
      <c r="T31" t="s">
        <v>1563</v>
      </c>
      <c r="U31" t="s">
        <v>1564</v>
      </c>
      <c r="BK31" t="s">
        <v>1565</v>
      </c>
      <c r="BL31" t="s">
        <v>1566</v>
      </c>
    </row>
    <row r="32" spans="1:64" ht="86.4" customHeight="1" x14ac:dyDescent="0.55000000000000004">
      <c r="A32" s="2" t="s">
        <v>298</v>
      </c>
      <c r="B32" s="2" t="s">
        <v>307</v>
      </c>
      <c r="C32" s="2" t="s">
        <v>232</v>
      </c>
      <c r="D32" s="2" t="s">
        <v>1552</v>
      </c>
      <c r="E32" s="2" t="s">
        <v>1553</v>
      </c>
      <c r="F32" s="2" t="s">
        <v>1567</v>
      </c>
      <c r="G32" s="2" t="s">
        <v>1568</v>
      </c>
      <c r="H32" s="2" t="s">
        <v>1556</v>
      </c>
      <c r="I32" s="2" t="s">
        <v>1557</v>
      </c>
      <c r="J32" s="2" t="s">
        <v>1558</v>
      </c>
      <c r="K32" s="2" t="s">
        <v>1569</v>
      </c>
      <c r="L32" s="2" t="s">
        <v>1560</v>
      </c>
      <c r="M32" t="s">
        <v>1561</v>
      </c>
      <c r="N32" t="s">
        <v>1561</v>
      </c>
      <c r="O32" t="s">
        <v>1561</v>
      </c>
      <c r="P32" t="s">
        <v>1561</v>
      </c>
      <c r="Q32" t="s">
        <v>1561</v>
      </c>
      <c r="R32" t="s">
        <v>1561</v>
      </c>
      <c r="S32" t="s">
        <v>1562</v>
      </c>
      <c r="T32" t="s">
        <v>1563</v>
      </c>
      <c r="U32" t="s">
        <v>1570</v>
      </c>
      <c r="BK32" t="s">
        <v>1571</v>
      </c>
      <c r="BL32" t="s">
        <v>1572</v>
      </c>
    </row>
    <row r="33" spans="1:64" ht="86.4" customHeight="1" x14ac:dyDescent="0.55000000000000004">
      <c r="A33" s="2" t="s">
        <v>298</v>
      </c>
      <c r="B33" s="2" t="s">
        <v>314</v>
      </c>
      <c r="C33" s="2" t="s">
        <v>232</v>
      </c>
      <c r="D33" s="2" t="s">
        <v>1552</v>
      </c>
      <c r="E33" s="2" t="s">
        <v>1553</v>
      </c>
      <c r="F33" s="2" t="s">
        <v>1573</v>
      </c>
      <c r="G33" s="2" t="s">
        <v>1574</v>
      </c>
      <c r="H33" s="2" t="s">
        <v>1556</v>
      </c>
      <c r="I33" s="2" t="s">
        <v>1557</v>
      </c>
      <c r="J33" s="2" t="s">
        <v>1558</v>
      </c>
      <c r="K33" s="2" t="s">
        <v>1575</v>
      </c>
      <c r="L33" s="2" t="s">
        <v>1576</v>
      </c>
      <c r="M33" t="s">
        <v>1561</v>
      </c>
      <c r="N33" t="s">
        <v>1561</v>
      </c>
      <c r="O33" t="s">
        <v>1561</v>
      </c>
      <c r="P33" t="s">
        <v>1561</v>
      </c>
      <c r="Q33" t="s">
        <v>1561</v>
      </c>
      <c r="R33" t="s">
        <v>1561</v>
      </c>
      <c r="S33" t="s">
        <v>1562</v>
      </c>
      <c r="T33" t="s">
        <v>1563</v>
      </c>
      <c r="U33" t="s">
        <v>1577</v>
      </c>
      <c r="BK33" t="s">
        <v>1578</v>
      </c>
      <c r="BL33" t="s">
        <v>1579</v>
      </c>
    </row>
    <row r="34" spans="1:64" ht="86.4" customHeight="1" x14ac:dyDescent="0.55000000000000004">
      <c r="A34" s="2" t="s">
        <v>298</v>
      </c>
      <c r="B34" s="2" t="s">
        <v>320</v>
      </c>
      <c r="C34" s="2" t="s">
        <v>232</v>
      </c>
      <c r="D34" s="2" t="s">
        <v>1580</v>
      </c>
      <c r="E34" s="2" t="s">
        <v>1581</v>
      </c>
      <c r="F34" s="2" t="s">
        <v>1582</v>
      </c>
      <c r="G34" s="2" t="s">
        <v>1583</v>
      </c>
      <c r="H34" s="2" t="s">
        <v>1556</v>
      </c>
      <c r="I34" s="2" t="s">
        <v>1557</v>
      </c>
      <c r="J34" s="2" t="s">
        <v>1558</v>
      </c>
      <c r="K34" s="2" t="s">
        <v>1584</v>
      </c>
      <c r="L34" s="2" t="s">
        <v>1585</v>
      </c>
      <c r="M34" t="s">
        <v>1561</v>
      </c>
      <c r="N34" t="s">
        <v>1561</v>
      </c>
      <c r="O34" t="s">
        <v>1561</v>
      </c>
      <c r="P34" t="s">
        <v>1561</v>
      </c>
      <c r="Q34" t="s">
        <v>1561</v>
      </c>
      <c r="R34" t="s">
        <v>1561</v>
      </c>
      <c r="S34" t="s">
        <v>1562</v>
      </c>
      <c r="T34" t="s">
        <v>1563</v>
      </c>
      <c r="U34" t="s">
        <v>1586</v>
      </c>
      <c r="BK34" t="s">
        <v>1587</v>
      </c>
      <c r="BL34" t="s">
        <v>1588</v>
      </c>
    </row>
    <row r="35" spans="1:64" ht="86.4" customHeight="1" x14ac:dyDescent="0.55000000000000004">
      <c r="A35" s="2" t="s">
        <v>298</v>
      </c>
      <c r="B35" s="2" t="s">
        <v>328</v>
      </c>
      <c r="C35" s="2" t="s">
        <v>232</v>
      </c>
      <c r="D35" s="2" t="s">
        <v>1580</v>
      </c>
      <c r="E35" s="2" t="s">
        <v>1581</v>
      </c>
      <c r="F35" s="2" t="s">
        <v>1589</v>
      </c>
      <c r="G35" s="2" t="s">
        <v>1590</v>
      </c>
      <c r="H35" s="2" t="s">
        <v>1556</v>
      </c>
      <c r="I35" s="2" t="s">
        <v>1557</v>
      </c>
      <c r="J35" s="2" t="s">
        <v>1558</v>
      </c>
      <c r="K35" s="2" t="s">
        <v>1591</v>
      </c>
      <c r="L35" s="2" t="s">
        <v>1585</v>
      </c>
      <c r="M35" t="s">
        <v>1561</v>
      </c>
      <c r="N35" t="s">
        <v>1561</v>
      </c>
      <c r="O35" t="s">
        <v>1561</v>
      </c>
      <c r="P35" t="s">
        <v>1561</v>
      </c>
      <c r="Q35" t="s">
        <v>1561</v>
      </c>
      <c r="R35" t="s">
        <v>1561</v>
      </c>
      <c r="S35" t="s">
        <v>1562</v>
      </c>
      <c r="T35" t="s">
        <v>1563</v>
      </c>
      <c r="U35" t="s">
        <v>1592</v>
      </c>
      <c r="BK35" t="s">
        <v>1593</v>
      </c>
      <c r="BL35" t="s">
        <v>1594</v>
      </c>
    </row>
    <row r="36" spans="1:64" ht="100.8" customHeight="1" x14ac:dyDescent="0.55000000000000004">
      <c r="A36" s="2" t="s">
        <v>298</v>
      </c>
      <c r="B36" s="2" t="s">
        <v>334</v>
      </c>
      <c r="C36" s="2" t="s">
        <v>232</v>
      </c>
      <c r="D36" s="2" t="s">
        <v>1595</v>
      </c>
      <c r="E36" s="2" t="s">
        <v>1596</v>
      </c>
      <c r="F36" s="2" t="s">
        <v>1597</v>
      </c>
      <c r="G36" s="2" t="s">
        <v>1598</v>
      </c>
      <c r="H36" s="2" t="s">
        <v>1556</v>
      </c>
      <c r="I36" s="2" t="s">
        <v>1557</v>
      </c>
      <c r="J36" s="2" t="s">
        <v>1558</v>
      </c>
      <c r="K36" s="2" t="s">
        <v>1599</v>
      </c>
      <c r="L36" s="2" t="s">
        <v>1560</v>
      </c>
      <c r="M36" t="s">
        <v>1561</v>
      </c>
      <c r="N36" t="s">
        <v>1561</v>
      </c>
      <c r="O36" t="s">
        <v>1561</v>
      </c>
      <c r="P36" t="s">
        <v>1561</v>
      </c>
      <c r="Q36" t="s">
        <v>1561</v>
      </c>
      <c r="R36" t="s">
        <v>1561</v>
      </c>
      <c r="S36" t="s">
        <v>1562</v>
      </c>
      <c r="T36" t="s">
        <v>1563</v>
      </c>
      <c r="U36" t="s">
        <v>1600</v>
      </c>
      <c r="BK36" t="s">
        <v>1601</v>
      </c>
      <c r="BL36" t="s">
        <v>1602</v>
      </c>
    </row>
    <row r="37" spans="1:64" ht="86.4" customHeight="1" x14ac:dyDescent="0.55000000000000004">
      <c r="A37" s="2" t="s">
        <v>298</v>
      </c>
      <c r="B37" s="2" t="s">
        <v>340</v>
      </c>
      <c r="C37" s="2" t="s">
        <v>232</v>
      </c>
      <c r="D37" s="2" t="s">
        <v>1603</v>
      </c>
      <c r="E37" s="2" t="s">
        <v>1604</v>
      </c>
      <c r="F37" s="2" t="s">
        <v>1605</v>
      </c>
      <c r="G37" s="2" t="s">
        <v>1606</v>
      </c>
      <c r="H37" s="2" t="s">
        <v>1556</v>
      </c>
      <c r="I37" s="2" t="s">
        <v>1557</v>
      </c>
      <c r="J37" s="2" t="s">
        <v>1558</v>
      </c>
      <c r="K37" s="2" t="s">
        <v>1607</v>
      </c>
      <c r="L37" s="2" t="s">
        <v>1608</v>
      </c>
      <c r="M37" t="s">
        <v>1561</v>
      </c>
      <c r="N37" t="s">
        <v>1561</v>
      </c>
      <c r="O37" t="s">
        <v>1561</v>
      </c>
      <c r="P37" t="s">
        <v>1561</v>
      </c>
      <c r="Q37" t="s">
        <v>1561</v>
      </c>
      <c r="R37" t="s">
        <v>1561</v>
      </c>
      <c r="S37" t="s">
        <v>1562</v>
      </c>
      <c r="T37" t="s">
        <v>1563</v>
      </c>
      <c r="U37" t="s">
        <v>1609</v>
      </c>
      <c r="BK37" t="s">
        <v>1610</v>
      </c>
      <c r="BL37" t="s">
        <v>1611</v>
      </c>
    </row>
    <row r="38" spans="1:64" ht="100.8" customHeight="1" x14ac:dyDescent="0.55000000000000004">
      <c r="A38" s="2" t="s">
        <v>298</v>
      </c>
      <c r="B38" s="2" t="s">
        <v>347</v>
      </c>
      <c r="C38" s="2" t="s">
        <v>232</v>
      </c>
      <c r="D38" s="2" t="s">
        <v>1612</v>
      </c>
      <c r="E38" s="2" t="s">
        <v>1613</v>
      </c>
      <c r="F38" s="2" t="s">
        <v>1614</v>
      </c>
      <c r="G38" s="2" t="s">
        <v>1615</v>
      </c>
      <c r="H38" s="2" t="s">
        <v>1556</v>
      </c>
      <c r="I38" s="2" t="s">
        <v>1557</v>
      </c>
      <c r="J38" s="2" t="s">
        <v>1558</v>
      </c>
      <c r="K38" s="2" t="s">
        <v>1616</v>
      </c>
      <c r="L38" s="2" t="s">
        <v>1617</v>
      </c>
      <c r="M38" t="s">
        <v>1561</v>
      </c>
      <c r="N38" t="s">
        <v>1561</v>
      </c>
      <c r="O38" t="s">
        <v>1561</v>
      </c>
      <c r="P38" t="s">
        <v>1561</v>
      </c>
      <c r="Q38" t="s">
        <v>1561</v>
      </c>
      <c r="R38" t="s">
        <v>1561</v>
      </c>
      <c r="S38" t="s">
        <v>1562</v>
      </c>
      <c r="T38" t="s">
        <v>1563</v>
      </c>
      <c r="U38" t="s">
        <v>1618</v>
      </c>
      <c r="BK38" t="s">
        <v>1619</v>
      </c>
      <c r="BL38" t="s">
        <v>1620</v>
      </c>
    </row>
    <row r="39" spans="1:64" ht="100.8" customHeight="1" x14ac:dyDescent="0.55000000000000004">
      <c r="A39" s="2" t="s">
        <v>355</v>
      </c>
      <c r="B39" s="2" t="s">
        <v>356</v>
      </c>
      <c r="C39" s="2" t="s">
        <v>292</v>
      </c>
      <c r="D39" s="2" t="s">
        <v>1621</v>
      </c>
      <c r="E39" s="2" t="s">
        <v>1622</v>
      </c>
      <c r="F39" s="2" t="s">
        <v>1623</v>
      </c>
      <c r="G39" s="2" t="s">
        <v>1624</v>
      </c>
      <c r="H39" s="2" t="s">
        <v>1625</v>
      </c>
      <c r="I39" s="2" t="s">
        <v>1626</v>
      </c>
      <c r="J39" s="2" t="s">
        <v>1627</v>
      </c>
      <c r="K39" s="2" t="s">
        <v>1628</v>
      </c>
      <c r="L39" s="2" t="s">
        <v>1629</v>
      </c>
      <c r="M39" t="s">
        <v>1630</v>
      </c>
      <c r="N39" t="s">
        <v>1630</v>
      </c>
      <c r="O39" t="s">
        <v>1630</v>
      </c>
      <c r="P39" t="s">
        <v>1631</v>
      </c>
      <c r="Q39" t="s">
        <v>1630</v>
      </c>
      <c r="R39" t="s">
        <v>1630</v>
      </c>
      <c r="S39" t="s">
        <v>1632</v>
      </c>
      <c r="T39" t="s">
        <v>1633</v>
      </c>
      <c r="U39" t="s">
        <v>1634</v>
      </c>
      <c r="BK39" t="s">
        <v>1635</v>
      </c>
      <c r="BL39" t="s">
        <v>1636</v>
      </c>
    </row>
    <row r="40" spans="1:64" ht="100.8" customHeight="1" x14ac:dyDescent="0.55000000000000004">
      <c r="A40" s="2" t="s">
        <v>355</v>
      </c>
      <c r="B40" s="2" t="s">
        <v>368</v>
      </c>
      <c r="C40" s="2" t="s">
        <v>292</v>
      </c>
      <c r="D40" s="2" t="s">
        <v>1621</v>
      </c>
      <c r="E40" s="2" t="s">
        <v>1622</v>
      </c>
      <c r="F40" s="2" t="s">
        <v>1637</v>
      </c>
      <c r="G40" s="2" t="s">
        <v>1638</v>
      </c>
      <c r="H40" s="2" t="s">
        <v>1625</v>
      </c>
      <c r="I40" s="2" t="s">
        <v>1626</v>
      </c>
      <c r="J40" s="2" t="s">
        <v>1627</v>
      </c>
      <c r="K40" s="2" t="s">
        <v>1628</v>
      </c>
      <c r="L40" s="2" t="s">
        <v>1629</v>
      </c>
      <c r="M40" t="s">
        <v>1639</v>
      </c>
      <c r="N40" t="s">
        <v>1640</v>
      </c>
      <c r="O40" t="s">
        <v>1640</v>
      </c>
      <c r="P40" t="s">
        <v>1639</v>
      </c>
      <c r="Q40" t="s">
        <v>1639</v>
      </c>
      <c r="R40" t="s">
        <v>1640</v>
      </c>
      <c r="S40" t="s">
        <v>1632</v>
      </c>
      <c r="T40" t="s">
        <v>1641</v>
      </c>
      <c r="U40" t="s">
        <v>1642</v>
      </c>
      <c r="BK40" t="s">
        <v>1643</v>
      </c>
      <c r="BL40" t="s">
        <v>1644</v>
      </c>
    </row>
    <row r="41" spans="1:64" ht="100.8" customHeight="1" x14ac:dyDescent="0.55000000000000004">
      <c r="A41" s="2" t="s">
        <v>355</v>
      </c>
      <c r="B41" s="2" t="s">
        <v>374</v>
      </c>
      <c r="C41" s="2" t="s">
        <v>292</v>
      </c>
      <c r="D41" s="2" t="s">
        <v>1621</v>
      </c>
      <c r="E41" s="2" t="s">
        <v>1622</v>
      </c>
      <c r="F41" s="2" t="s">
        <v>1645</v>
      </c>
      <c r="G41" s="2" t="s">
        <v>1646</v>
      </c>
      <c r="H41" s="2" t="s">
        <v>1625</v>
      </c>
      <c r="I41" s="2" t="s">
        <v>1626</v>
      </c>
      <c r="J41" s="2" t="s">
        <v>1627</v>
      </c>
      <c r="K41" s="2" t="s">
        <v>1628</v>
      </c>
      <c r="L41" s="2" t="s">
        <v>1629</v>
      </c>
      <c r="M41" t="s">
        <v>1647</v>
      </c>
      <c r="N41" t="s">
        <v>1647</v>
      </c>
      <c r="O41" t="s">
        <v>1647</v>
      </c>
      <c r="P41" t="s">
        <v>1648</v>
      </c>
      <c r="Q41" t="s">
        <v>1647</v>
      </c>
      <c r="R41" t="s">
        <v>1647</v>
      </c>
      <c r="S41" t="s">
        <v>1632</v>
      </c>
      <c r="T41" t="s">
        <v>1649</v>
      </c>
      <c r="U41" t="s">
        <v>1650</v>
      </c>
      <c r="BK41" t="s">
        <v>1651</v>
      </c>
      <c r="BL41" t="s">
        <v>1652</v>
      </c>
    </row>
    <row r="42" spans="1:64" ht="100.8" customHeight="1" x14ac:dyDescent="0.55000000000000004">
      <c r="A42" s="2" t="s">
        <v>355</v>
      </c>
      <c r="B42" s="2" t="s">
        <v>381</v>
      </c>
      <c r="C42" s="2" t="s">
        <v>292</v>
      </c>
      <c r="D42" s="2" t="s">
        <v>1621</v>
      </c>
      <c r="E42" s="2" t="s">
        <v>1622</v>
      </c>
      <c r="F42" s="2" t="s">
        <v>1653</v>
      </c>
      <c r="G42" s="2" t="s">
        <v>1654</v>
      </c>
      <c r="H42" s="2" t="s">
        <v>1625</v>
      </c>
      <c r="I42" s="2" t="s">
        <v>1626</v>
      </c>
      <c r="J42" s="2" t="s">
        <v>1627</v>
      </c>
      <c r="K42" s="2" t="s">
        <v>1628</v>
      </c>
      <c r="L42" s="2" t="s">
        <v>1629</v>
      </c>
      <c r="M42" t="s">
        <v>1655</v>
      </c>
      <c r="N42" t="s">
        <v>1655</v>
      </c>
      <c r="O42" t="s">
        <v>1655</v>
      </c>
      <c r="P42" t="s">
        <v>1655</v>
      </c>
      <c r="Q42" t="s">
        <v>1656</v>
      </c>
      <c r="R42" t="s">
        <v>1655</v>
      </c>
      <c r="S42" t="s">
        <v>1632</v>
      </c>
      <c r="T42" t="s">
        <v>1657</v>
      </c>
      <c r="U42" t="s">
        <v>1658</v>
      </c>
      <c r="BK42" t="s">
        <v>1659</v>
      </c>
      <c r="BL42" t="s">
        <v>1660</v>
      </c>
    </row>
    <row r="43" spans="1:64" ht="100.8" customHeight="1" x14ac:dyDescent="0.55000000000000004">
      <c r="A43" s="2" t="s">
        <v>355</v>
      </c>
      <c r="B43" s="2" t="s">
        <v>387</v>
      </c>
      <c r="C43" s="2" t="s">
        <v>292</v>
      </c>
      <c r="D43" s="2" t="s">
        <v>1621</v>
      </c>
      <c r="E43" s="2" t="s">
        <v>1622</v>
      </c>
      <c r="F43" s="2" t="s">
        <v>1661</v>
      </c>
      <c r="G43" s="2" t="s">
        <v>1662</v>
      </c>
      <c r="H43" s="2" t="s">
        <v>1625</v>
      </c>
      <c r="I43" s="2" t="s">
        <v>1626</v>
      </c>
      <c r="J43" s="2" t="s">
        <v>1627</v>
      </c>
      <c r="K43" s="2" t="s">
        <v>1628</v>
      </c>
      <c r="L43" s="2" t="s">
        <v>1629</v>
      </c>
      <c r="M43" t="s">
        <v>1663</v>
      </c>
      <c r="N43" t="s">
        <v>1663</v>
      </c>
      <c r="O43" t="s">
        <v>1663</v>
      </c>
      <c r="P43" t="s">
        <v>1664</v>
      </c>
      <c r="Q43" t="s">
        <v>1663</v>
      </c>
      <c r="R43" t="s">
        <v>1663</v>
      </c>
      <c r="S43" t="s">
        <v>1632</v>
      </c>
      <c r="T43" t="s">
        <v>1665</v>
      </c>
      <c r="U43" t="s">
        <v>1666</v>
      </c>
      <c r="BK43" t="s">
        <v>1667</v>
      </c>
      <c r="BL43" t="s">
        <v>1668</v>
      </c>
    </row>
    <row r="44" spans="1:64" ht="100.8" customHeight="1" x14ac:dyDescent="0.55000000000000004">
      <c r="A44" s="2" t="s">
        <v>355</v>
      </c>
      <c r="B44" s="2" t="s">
        <v>393</v>
      </c>
      <c r="C44" s="2" t="s">
        <v>292</v>
      </c>
      <c r="D44" s="2" t="s">
        <v>1621</v>
      </c>
      <c r="E44" s="2" t="s">
        <v>1622</v>
      </c>
      <c r="F44" s="2" t="s">
        <v>1669</v>
      </c>
      <c r="G44" s="2" t="s">
        <v>1670</v>
      </c>
      <c r="H44" s="2" t="s">
        <v>1625</v>
      </c>
      <c r="I44" s="2" t="s">
        <v>1626</v>
      </c>
      <c r="J44" s="2" t="s">
        <v>1627</v>
      </c>
      <c r="K44" s="2" t="s">
        <v>1628</v>
      </c>
      <c r="L44" s="2" t="s">
        <v>1629</v>
      </c>
      <c r="M44" t="s">
        <v>1671</v>
      </c>
      <c r="N44" t="s">
        <v>1671</v>
      </c>
      <c r="O44" t="s">
        <v>1671</v>
      </c>
      <c r="P44" t="s">
        <v>1671</v>
      </c>
      <c r="Q44" t="s">
        <v>1671</v>
      </c>
      <c r="R44" t="s">
        <v>1671</v>
      </c>
      <c r="S44" t="s">
        <v>1632</v>
      </c>
      <c r="T44" t="s">
        <v>1672</v>
      </c>
      <c r="U44" t="s">
        <v>1673</v>
      </c>
      <c r="BK44" t="s">
        <v>1674</v>
      </c>
      <c r="BL44" t="s">
        <v>1675</v>
      </c>
    </row>
    <row r="45" spans="1:64" ht="100.8" customHeight="1" x14ac:dyDescent="0.55000000000000004">
      <c r="A45" s="2" t="s">
        <v>355</v>
      </c>
      <c r="B45" s="2" t="s">
        <v>400</v>
      </c>
      <c r="C45" s="2" t="s">
        <v>292</v>
      </c>
      <c r="D45" s="2" t="s">
        <v>1621</v>
      </c>
      <c r="E45" s="2" t="s">
        <v>1622</v>
      </c>
      <c r="F45" s="2" t="s">
        <v>1676</v>
      </c>
      <c r="G45" s="2" t="s">
        <v>1677</v>
      </c>
      <c r="H45" s="2" t="s">
        <v>1625</v>
      </c>
      <c r="I45" s="2" t="s">
        <v>1626</v>
      </c>
      <c r="J45" s="2" t="s">
        <v>1627</v>
      </c>
      <c r="K45" s="2" t="s">
        <v>1628</v>
      </c>
      <c r="L45" s="2" t="s">
        <v>1629</v>
      </c>
      <c r="M45" t="s">
        <v>1678</v>
      </c>
      <c r="N45" t="s">
        <v>1679</v>
      </c>
      <c r="O45" t="s">
        <v>1678</v>
      </c>
      <c r="P45" t="s">
        <v>1679</v>
      </c>
      <c r="Q45" t="s">
        <v>1679</v>
      </c>
      <c r="R45" t="s">
        <v>1679</v>
      </c>
      <c r="S45" t="s">
        <v>1632</v>
      </c>
      <c r="T45" t="s">
        <v>1680</v>
      </c>
      <c r="U45" t="s">
        <v>1681</v>
      </c>
      <c r="BK45" t="s">
        <v>1682</v>
      </c>
      <c r="BL45" t="s">
        <v>1683</v>
      </c>
    </row>
    <row r="46" spans="1:64" ht="100.8" customHeight="1" x14ac:dyDescent="0.55000000000000004">
      <c r="A46" s="2" t="s">
        <v>355</v>
      </c>
      <c r="B46" s="2" t="s">
        <v>406</v>
      </c>
      <c r="C46" s="2" t="s">
        <v>292</v>
      </c>
      <c r="D46" s="2" t="s">
        <v>1621</v>
      </c>
      <c r="E46" s="2" t="s">
        <v>1622</v>
      </c>
      <c r="F46" s="2" t="s">
        <v>1684</v>
      </c>
      <c r="G46" s="2" t="s">
        <v>1685</v>
      </c>
      <c r="H46" s="2" t="s">
        <v>1625</v>
      </c>
      <c r="I46" s="2" t="s">
        <v>1626</v>
      </c>
      <c r="J46" s="2" t="s">
        <v>1627</v>
      </c>
      <c r="K46" s="2" t="s">
        <v>1628</v>
      </c>
      <c r="L46" s="2" t="s">
        <v>1629</v>
      </c>
      <c r="M46" t="s">
        <v>1686</v>
      </c>
      <c r="N46" t="s">
        <v>1686</v>
      </c>
      <c r="O46" t="s">
        <v>1687</v>
      </c>
      <c r="P46" t="s">
        <v>1686</v>
      </c>
      <c r="Q46" t="s">
        <v>1687</v>
      </c>
      <c r="R46" t="s">
        <v>1686</v>
      </c>
      <c r="S46" t="s">
        <v>1632</v>
      </c>
      <c r="T46" t="s">
        <v>1688</v>
      </c>
      <c r="U46" t="s">
        <v>1689</v>
      </c>
      <c r="BK46" t="s">
        <v>1690</v>
      </c>
      <c r="BL46" t="s">
        <v>1691</v>
      </c>
    </row>
    <row r="47" spans="1:64" ht="158.4" customHeight="1" x14ac:dyDescent="0.55000000000000004">
      <c r="A47" s="2" t="s">
        <v>415</v>
      </c>
      <c r="B47" s="2" t="s">
        <v>416</v>
      </c>
      <c r="C47" s="2" t="s">
        <v>1692</v>
      </c>
      <c r="D47" s="2" t="s">
        <v>1693</v>
      </c>
      <c r="E47" s="2" t="s">
        <v>1694</v>
      </c>
      <c r="F47" s="2" t="s">
        <v>1695</v>
      </c>
      <c r="G47" s="2" t="s">
        <v>1696</v>
      </c>
      <c r="H47" s="2" t="s">
        <v>1697</v>
      </c>
      <c r="I47" s="2" t="s">
        <v>1698</v>
      </c>
      <c r="J47" s="2" t="s">
        <v>1699</v>
      </c>
      <c r="K47" s="2" t="s">
        <v>1700</v>
      </c>
      <c r="L47" s="2" t="s">
        <v>1701</v>
      </c>
      <c r="M47" t="s">
        <v>1702</v>
      </c>
      <c r="N47" t="s">
        <v>1702</v>
      </c>
      <c r="O47" t="s">
        <v>1702</v>
      </c>
      <c r="P47" t="s">
        <v>1702</v>
      </c>
      <c r="Q47" t="s">
        <v>1702</v>
      </c>
      <c r="R47" t="s">
        <v>1702</v>
      </c>
      <c r="S47" t="s">
        <v>1703</v>
      </c>
      <c r="T47" t="s">
        <v>1704</v>
      </c>
      <c r="U47" t="s">
        <v>1705</v>
      </c>
      <c r="BK47" t="s">
        <v>1706</v>
      </c>
      <c r="BL47" t="s">
        <v>1707</v>
      </c>
    </row>
    <row r="48" spans="1:64" ht="129.6" customHeight="1" x14ac:dyDescent="0.55000000000000004">
      <c r="A48" s="2" t="s">
        <v>415</v>
      </c>
      <c r="B48" s="2" t="s">
        <v>416</v>
      </c>
      <c r="C48" s="2" t="s">
        <v>99</v>
      </c>
      <c r="D48" s="2" t="s">
        <v>1693</v>
      </c>
      <c r="E48" s="2" t="s">
        <v>1694</v>
      </c>
      <c r="F48" s="2" t="s">
        <v>1708</v>
      </c>
      <c r="G48" s="2" t="s">
        <v>1709</v>
      </c>
      <c r="H48" s="2" t="s">
        <v>1710</v>
      </c>
      <c r="I48" s="2" t="s">
        <v>1711</v>
      </c>
      <c r="J48" s="2" t="s">
        <v>1712</v>
      </c>
      <c r="K48" s="2" t="s">
        <v>1713</v>
      </c>
      <c r="L48" s="2" t="s">
        <v>1714</v>
      </c>
      <c r="M48" t="s">
        <v>1702</v>
      </c>
      <c r="N48" t="s">
        <v>1702</v>
      </c>
      <c r="O48" t="s">
        <v>1702</v>
      </c>
      <c r="P48" t="s">
        <v>1702</v>
      </c>
      <c r="Q48" t="s">
        <v>1702</v>
      </c>
      <c r="R48" t="s">
        <v>1702</v>
      </c>
      <c r="S48" t="s">
        <v>1703</v>
      </c>
      <c r="T48" t="s">
        <v>1704</v>
      </c>
      <c r="BK48" t="s">
        <v>1706</v>
      </c>
      <c r="BL48" t="s">
        <v>1707</v>
      </c>
    </row>
    <row r="49" spans="1:64" ht="86.4" customHeight="1" x14ac:dyDescent="0.55000000000000004">
      <c r="A49" s="2" t="s">
        <v>430</v>
      </c>
      <c r="B49" s="2" t="s">
        <v>431</v>
      </c>
      <c r="C49" s="2" t="s">
        <v>438</v>
      </c>
      <c r="D49" s="2" t="s">
        <v>1715</v>
      </c>
      <c r="E49" s="2" t="s">
        <v>1716</v>
      </c>
      <c r="F49" s="2" t="s">
        <v>1717</v>
      </c>
      <c r="G49" s="2" t="s">
        <v>1718</v>
      </c>
      <c r="H49" s="2" t="s">
        <v>1719</v>
      </c>
      <c r="I49" s="2" t="s">
        <v>1720</v>
      </c>
      <c r="J49" s="2" t="s">
        <v>1721</v>
      </c>
      <c r="K49" s="2" t="s">
        <v>1722</v>
      </c>
      <c r="L49" s="2" t="s">
        <v>1723</v>
      </c>
      <c r="M49" t="s">
        <v>1724</v>
      </c>
      <c r="N49" t="s">
        <v>1725</v>
      </c>
      <c r="O49" t="s">
        <v>1726</v>
      </c>
      <c r="P49" t="s">
        <v>1727</v>
      </c>
      <c r="Q49" t="s">
        <v>1728</v>
      </c>
      <c r="R49" t="s">
        <v>1729</v>
      </c>
      <c r="S49" t="s">
        <v>1730</v>
      </c>
      <c r="T49" t="s">
        <v>1731</v>
      </c>
      <c r="U49" t="s">
        <v>1732</v>
      </c>
      <c r="BK49" t="s">
        <v>1733</v>
      </c>
      <c r="BL49" t="s">
        <v>1734</v>
      </c>
    </row>
    <row r="50" spans="1:64" ht="86.4" customHeight="1" x14ac:dyDescent="0.55000000000000004">
      <c r="A50" s="2" t="s">
        <v>430</v>
      </c>
      <c r="B50" s="2" t="s">
        <v>443</v>
      </c>
      <c r="C50" s="2" t="s">
        <v>438</v>
      </c>
      <c r="D50" s="2" t="s">
        <v>1715</v>
      </c>
      <c r="E50" s="2" t="s">
        <v>1716</v>
      </c>
      <c r="F50" s="2" t="s">
        <v>1735</v>
      </c>
      <c r="G50" s="2" t="s">
        <v>1736</v>
      </c>
      <c r="H50" s="2" t="s">
        <v>1719</v>
      </c>
      <c r="I50" s="2" t="s">
        <v>1737</v>
      </c>
      <c r="J50" s="2" t="s">
        <v>1721</v>
      </c>
      <c r="K50" s="2" t="s">
        <v>1738</v>
      </c>
      <c r="L50" s="2" t="s">
        <v>1739</v>
      </c>
      <c r="M50" t="s">
        <v>1740</v>
      </c>
      <c r="N50" t="s">
        <v>1741</v>
      </c>
      <c r="O50" t="s">
        <v>1742</v>
      </c>
      <c r="P50" t="s">
        <v>1743</v>
      </c>
      <c r="Q50" t="s">
        <v>1744</v>
      </c>
      <c r="R50" t="s">
        <v>1745</v>
      </c>
      <c r="S50" t="s">
        <v>1730</v>
      </c>
      <c r="T50" t="s">
        <v>1731</v>
      </c>
      <c r="U50" t="s">
        <v>1746</v>
      </c>
      <c r="BK50" t="s">
        <v>1747</v>
      </c>
      <c r="BL50" t="s">
        <v>1734</v>
      </c>
    </row>
    <row r="51" spans="1:64" ht="86.4" customHeight="1" x14ac:dyDescent="0.55000000000000004">
      <c r="A51" s="2" t="s">
        <v>430</v>
      </c>
      <c r="B51" s="2" t="s">
        <v>448</v>
      </c>
      <c r="C51" s="2" t="s">
        <v>438</v>
      </c>
      <c r="D51" s="2" t="s">
        <v>1715</v>
      </c>
      <c r="E51" s="2" t="s">
        <v>1716</v>
      </c>
      <c r="F51" s="2" t="s">
        <v>1748</v>
      </c>
      <c r="G51" s="2" t="s">
        <v>1749</v>
      </c>
      <c r="H51" s="2" t="s">
        <v>1719</v>
      </c>
      <c r="I51" s="2" t="s">
        <v>1737</v>
      </c>
      <c r="J51" s="2" t="s">
        <v>1721</v>
      </c>
      <c r="K51" s="2" t="s">
        <v>1750</v>
      </c>
      <c r="L51" s="2" t="s">
        <v>1751</v>
      </c>
      <c r="M51" t="s">
        <v>1752</v>
      </c>
      <c r="N51" t="s">
        <v>1741</v>
      </c>
      <c r="O51" t="s">
        <v>1753</v>
      </c>
      <c r="P51" t="s">
        <v>1754</v>
      </c>
      <c r="Q51" t="s">
        <v>1744</v>
      </c>
      <c r="R51" t="s">
        <v>1755</v>
      </c>
      <c r="S51" t="s">
        <v>1730</v>
      </c>
      <c r="T51" t="s">
        <v>1731</v>
      </c>
      <c r="U51" t="s">
        <v>1756</v>
      </c>
      <c r="BK51" t="s">
        <v>1757</v>
      </c>
      <c r="BL51" t="s">
        <v>1734</v>
      </c>
    </row>
    <row r="52" spans="1:64" ht="86.4" customHeight="1" x14ac:dyDescent="0.55000000000000004">
      <c r="A52" s="2" t="s">
        <v>430</v>
      </c>
      <c r="B52" s="2" t="s">
        <v>453</v>
      </c>
      <c r="C52" s="2" t="s">
        <v>438</v>
      </c>
      <c r="D52" s="2" t="s">
        <v>1715</v>
      </c>
      <c r="E52" s="2" t="s">
        <v>1716</v>
      </c>
      <c r="F52" s="2" t="s">
        <v>1758</v>
      </c>
      <c r="G52" s="2" t="s">
        <v>1759</v>
      </c>
      <c r="H52" s="2" t="s">
        <v>1719</v>
      </c>
      <c r="I52" s="2" t="s">
        <v>1737</v>
      </c>
      <c r="J52" s="2" t="s">
        <v>1721</v>
      </c>
      <c r="K52" s="2" t="s">
        <v>1760</v>
      </c>
      <c r="L52" s="2" t="s">
        <v>1751</v>
      </c>
      <c r="M52" t="s">
        <v>1761</v>
      </c>
      <c r="N52" t="s">
        <v>1741</v>
      </c>
      <c r="O52" t="s">
        <v>1762</v>
      </c>
      <c r="P52" t="s">
        <v>1763</v>
      </c>
      <c r="Q52" t="s">
        <v>1744</v>
      </c>
      <c r="R52" t="s">
        <v>1764</v>
      </c>
      <c r="S52" t="s">
        <v>1730</v>
      </c>
      <c r="T52" t="s">
        <v>1731</v>
      </c>
      <c r="U52" t="s">
        <v>1765</v>
      </c>
      <c r="BK52" t="s">
        <v>1766</v>
      </c>
      <c r="BL52" t="s">
        <v>1734</v>
      </c>
    </row>
    <row r="53" spans="1:64" ht="86.4" customHeight="1" x14ac:dyDescent="0.55000000000000004">
      <c r="A53" s="2" t="s">
        <v>430</v>
      </c>
      <c r="B53" s="2" t="s">
        <v>458</v>
      </c>
      <c r="C53" s="2" t="s">
        <v>438</v>
      </c>
      <c r="D53" s="2" t="s">
        <v>1715</v>
      </c>
      <c r="E53" s="2" t="s">
        <v>1716</v>
      </c>
      <c r="F53" s="2" t="s">
        <v>1767</v>
      </c>
      <c r="G53" s="2" t="s">
        <v>1768</v>
      </c>
      <c r="H53" s="2" t="s">
        <v>1719</v>
      </c>
      <c r="I53" s="2" t="s">
        <v>1737</v>
      </c>
      <c r="J53" s="2" t="s">
        <v>1721</v>
      </c>
      <c r="K53" s="2" t="s">
        <v>1769</v>
      </c>
      <c r="L53" s="2" t="s">
        <v>1770</v>
      </c>
      <c r="M53" t="s">
        <v>1771</v>
      </c>
      <c r="N53" t="s">
        <v>1741</v>
      </c>
      <c r="O53" t="s">
        <v>1772</v>
      </c>
      <c r="P53" t="s">
        <v>1773</v>
      </c>
      <c r="Q53" t="s">
        <v>1744</v>
      </c>
      <c r="R53" t="s">
        <v>1774</v>
      </c>
      <c r="S53" t="s">
        <v>1730</v>
      </c>
      <c r="T53" t="s">
        <v>1731</v>
      </c>
      <c r="U53" t="s">
        <v>1775</v>
      </c>
      <c r="BK53" t="s">
        <v>1776</v>
      </c>
      <c r="BL53" t="s">
        <v>1734</v>
      </c>
    </row>
    <row r="54" spans="1:64" ht="86.4" customHeight="1" x14ac:dyDescent="0.55000000000000004">
      <c r="A54" s="2" t="s">
        <v>430</v>
      </c>
      <c r="B54" s="2" t="s">
        <v>465</v>
      </c>
      <c r="C54" s="2" t="s">
        <v>438</v>
      </c>
      <c r="D54" s="2" t="s">
        <v>1715</v>
      </c>
      <c r="E54" s="2" t="s">
        <v>1716</v>
      </c>
      <c r="F54" s="2" t="s">
        <v>1777</v>
      </c>
      <c r="G54" s="2" t="s">
        <v>1778</v>
      </c>
      <c r="H54" s="2" t="s">
        <v>1719</v>
      </c>
      <c r="I54" s="2" t="s">
        <v>1737</v>
      </c>
      <c r="J54" s="2" t="s">
        <v>1721</v>
      </c>
      <c r="K54" s="2" t="s">
        <v>1779</v>
      </c>
      <c r="L54" s="2" t="s">
        <v>1780</v>
      </c>
      <c r="M54" t="s">
        <v>1781</v>
      </c>
      <c r="N54" t="s">
        <v>1782</v>
      </c>
      <c r="O54" t="s">
        <v>1783</v>
      </c>
      <c r="P54" t="s">
        <v>1784</v>
      </c>
      <c r="Q54" t="s">
        <v>1785</v>
      </c>
      <c r="R54" t="s">
        <v>1786</v>
      </c>
      <c r="S54" t="s">
        <v>1730</v>
      </c>
      <c r="T54" t="s">
        <v>1731</v>
      </c>
      <c r="U54" t="s">
        <v>1787</v>
      </c>
      <c r="BK54" t="s">
        <v>1788</v>
      </c>
      <c r="BL54" t="s">
        <v>1734</v>
      </c>
    </row>
    <row r="55" spans="1:64" ht="86.4" customHeight="1" x14ac:dyDescent="0.55000000000000004">
      <c r="A55" s="2" t="s">
        <v>430</v>
      </c>
      <c r="B55" s="2" t="s">
        <v>471</v>
      </c>
      <c r="C55" s="2" t="s">
        <v>438</v>
      </c>
      <c r="D55" s="2" t="s">
        <v>1715</v>
      </c>
      <c r="E55" s="2" t="s">
        <v>1716</v>
      </c>
      <c r="F55" s="2" t="s">
        <v>1789</v>
      </c>
      <c r="G55" s="2" t="s">
        <v>1790</v>
      </c>
      <c r="H55" s="2" t="s">
        <v>1719</v>
      </c>
      <c r="I55" s="2" t="s">
        <v>1737</v>
      </c>
      <c r="J55" s="2" t="s">
        <v>1721</v>
      </c>
      <c r="K55" s="2" t="s">
        <v>1791</v>
      </c>
      <c r="L55" s="2" t="s">
        <v>1792</v>
      </c>
      <c r="M55" t="s">
        <v>1793</v>
      </c>
      <c r="N55" t="s">
        <v>1741</v>
      </c>
      <c r="O55" t="s">
        <v>1794</v>
      </c>
      <c r="P55" t="s">
        <v>1795</v>
      </c>
      <c r="Q55" t="s">
        <v>1744</v>
      </c>
      <c r="R55" t="s">
        <v>1796</v>
      </c>
      <c r="S55" t="s">
        <v>1730</v>
      </c>
      <c r="T55" t="s">
        <v>1731</v>
      </c>
      <c r="U55" t="s">
        <v>1797</v>
      </c>
      <c r="BK55" t="s">
        <v>1798</v>
      </c>
      <c r="BL55" t="s">
        <v>1734</v>
      </c>
    </row>
    <row r="56" spans="1:64" ht="100.8" customHeight="1" x14ac:dyDescent="0.55000000000000004">
      <c r="A56" s="2" t="s">
        <v>476</v>
      </c>
      <c r="B56" s="2" t="s">
        <v>477</v>
      </c>
      <c r="C56" s="2" t="s">
        <v>438</v>
      </c>
      <c r="D56" s="2" t="s">
        <v>1799</v>
      </c>
      <c r="E56" s="2" t="s">
        <v>1800</v>
      </c>
      <c r="F56" s="2" t="s">
        <v>1801</v>
      </c>
      <c r="G56" s="2" t="s">
        <v>1802</v>
      </c>
      <c r="H56" s="2" t="s">
        <v>1803</v>
      </c>
      <c r="I56" s="2" t="s">
        <v>1804</v>
      </c>
      <c r="J56" s="2" t="s">
        <v>1805</v>
      </c>
      <c r="K56" s="2" t="s">
        <v>1806</v>
      </c>
      <c r="L56" s="2" t="s">
        <v>1807</v>
      </c>
      <c r="M56" t="s">
        <v>1808</v>
      </c>
      <c r="N56" t="s">
        <v>1809</v>
      </c>
      <c r="O56" t="s">
        <v>1810</v>
      </c>
      <c r="P56" t="s">
        <v>1811</v>
      </c>
      <c r="Q56" t="s">
        <v>1812</v>
      </c>
      <c r="R56" t="s">
        <v>1813</v>
      </c>
      <c r="S56" t="s">
        <v>1814</v>
      </c>
      <c r="T56" t="s">
        <v>1815</v>
      </c>
      <c r="U56" t="s">
        <v>1816</v>
      </c>
      <c r="BK56" t="s">
        <v>1817</v>
      </c>
      <c r="BL56" t="s">
        <v>1818</v>
      </c>
    </row>
    <row r="57" spans="1:64" ht="100.8" customHeight="1" x14ac:dyDescent="0.55000000000000004">
      <c r="A57" s="2" t="s">
        <v>476</v>
      </c>
      <c r="B57" s="2" t="s">
        <v>486</v>
      </c>
      <c r="C57" s="2" t="s">
        <v>438</v>
      </c>
      <c r="D57" s="2" t="s">
        <v>1819</v>
      </c>
      <c r="E57" s="2" t="s">
        <v>1820</v>
      </c>
      <c r="F57" s="2" t="s">
        <v>1821</v>
      </c>
      <c r="G57" s="2" t="s">
        <v>1822</v>
      </c>
      <c r="H57" s="2" t="s">
        <v>1823</v>
      </c>
      <c r="I57" s="2" t="s">
        <v>1824</v>
      </c>
      <c r="J57" s="2" t="s">
        <v>1825</v>
      </c>
      <c r="K57" s="2" t="s">
        <v>1826</v>
      </c>
      <c r="L57" s="2" t="s">
        <v>1827</v>
      </c>
      <c r="M57" t="s">
        <v>1828</v>
      </c>
      <c r="N57" t="s">
        <v>1829</v>
      </c>
      <c r="O57" t="s">
        <v>1830</v>
      </c>
      <c r="P57" t="s">
        <v>1831</v>
      </c>
      <c r="Q57" t="s">
        <v>1728</v>
      </c>
      <c r="R57" t="s">
        <v>1832</v>
      </c>
      <c r="S57" t="s">
        <v>1814</v>
      </c>
      <c r="T57" t="s">
        <v>1833</v>
      </c>
      <c r="U57" t="s">
        <v>1834</v>
      </c>
      <c r="BK57" t="s">
        <v>1835</v>
      </c>
      <c r="BL57" t="s">
        <v>1836</v>
      </c>
    </row>
    <row r="58" spans="1:64" ht="115.2" customHeight="1" x14ac:dyDescent="0.55000000000000004">
      <c r="A58" s="2" t="s">
        <v>476</v>
      </c>
      <c r="B58" s="2" t="s">
        <v>495</v>
      </c>
      <c r="C58" s="2" t="s">
        <v>438</v>
      </c>
      <c r="D58" s="2" t="s">
        <v>1837</v>
      </c>
      <c r="E58" s="2" t="s">
        <v>1838</v>
      </c>
      <c r="F58" s="2" t="s">
        <v>1839</v>
      </c>
      <c r="G58" s="2" t="s">
        <v>1840</v>
      </c>
      <c r="H58" s="2" t="s">
        <v>1803</v>
      </c>
      <c r="I58" s="2" t="s">
        <v>1841</v>
      </c>
      <c r="J58" s="2" t="s">
        <v>1842</v>
      </c>
      <c r="K58" s="2" t="s">
        <v>1826</v>
      </c>
      <c r="L58" s="2" t="s">
        <v>1843</v>
      </c>
      <c r="M58" t="s">
        <v>1844</v>
      </c>
      <c r="N58" t="s">
        <v>1845</v>
      </c>
      <c r="O58" t="s">
        <v>1846</v>
      </c>
      <c r="P58" t="s">
        <v>1847</v>
      </c>
      <c r="Q58" t="s">
        <v>1848</v>
      </c>
      <c r="R58" t="s">
        <v>1849</v>
      </c>
      <c r="S58" t="s">
        <v>1814</v>
      </c>
      <c r="T58" t="s">
        <v>1850</v>
      </c>
      <c r="U58" t="s">
        <v>1851</v>
      </c>
      <c r="BK58" t="s">
        <v>1852</v>
      </c>
      <c r="BL58" t="s">
        <v>1853</v>
      </c>
    </row>
    <row r="59" spans="1:64" ht="129.6" customHeight="1" x14ac:dyDescent="0.55000000000000004">
      <c r="A59" s="2" t="s">
        <v>476</v>
      </c>
      <c r="B59" s="2" t="s">
        <v>505</v>
      </c>
      <c r="C59" s="2" t="s">
        <v>438</v>
      </c>
      <c r="D59" s="2" t="s">
        <v>1854</v>
      </c>
      <c r="E59" s="2" t="s">
        <v>1855</v>
      </c>
      <c r="F59" s="2" t="s">
        <v>1856</v>
      </c>
      <c r="G59" s="2" t="s">
        <v>1857</v>
      </c>
      <c r="H59" s="2" t="s">
        <v>1803</v>
      </c>
      <c r="I59" s="2" t="s">
        <v>1858</v>
      </c>
      <c r="J59" s="2" t="s">
        <v>1859</v>
      </c>
      <c r="K59" s="2" t="s">
        <v>1860</v>
      </c>
      <c r="L59" s="2" t="s">
        <v>1861</v>
      </c>
      <c r="M59" t="s">
        <v>1862</v>
      </c>
      <c r="N59" t="s">
        <v>1862</v>
      </c>
      <c r="O59" t="s">
        <v>1862</v>
      </c>
      <c r="P59" t="s">
        <v>1862</v>
      </c>
      <c r="Q59" t="s">
        <v>1862</v>
      </c>
      <c r="R59" t="s">
        <v>1862</v>
      </c>
      <c r="S59" t="s">
        <v>1814</v>
      </c>
      <c r="T59" t="s">
        <v>1863</v>
      </c>
      <c r="U59" t="s">
        <v>1864</v>
      </c>
      <c r="BK59" t="s">
        <v>1865</v>
      </c>
      <c r="BL59" t="s">
        <v>1866</v>
      </c>
    </row>
    <row r="60" spans="1:64" ht="115.2" customHeight="1" x14ac:dyDescent="0.55000000000000004">
      <c r="A60" s="2" t="s">
        <v>476</v>
      </c>
      <c r="B60" s="2" t="s">
        <v>516</v>
      </c>
      <c r="C60" s="2" t="s">
        <v>438</v>
      </c>
      <c r="D60" s="2" t="s">
        <v>1867</v>
      </c>
      <c r="E60" s="2" t="s">
        <v>1868</v>
      </c>
      <c r="F60" s="2" t="s">
        <v>1869</v>
      </c>
      <c r="G60" s="2" t="s">
        <v>1870</v>
      </c>
      <c r="H60" s="2" t="s">
        <v>1803</v>
      </c>
      <c r="I60" s="2" t="s">
        <v>1871</v>
      </c>
      <c r="J60" s="2" t="s">
        <v>1872</v>
      </c>
      <c r="K60" s="2" t="s">
        <v>1873</v>
      </c>
      <c r="L60" s="2" t="s">
        <v>1874</v>
      </c>
      <c r="M60" t="s">
        <v>1875</v>
      </c>
      <c r="N60" t="s">
        <v>1875</v>
      </c>
      <c r="O60" t="s">
        <v>1875</v>
      </c>
      <c r="P60" t="s">
        <v>1875</v>
      </c>
      <c r="Q60" t="s">
        <v>1875</v>
      </c>
      <c r="R60" t="s">
        <v>1875</v>
      </c>
      <c r="S60" t="s">
        <v>1814</v>
      </c>
      <c r="T60" t="s">
        <v>1876</v>
      </c>
      <c r="U60" t="s">
        <v>1877</v>
      </c>
      <c r="BK60" t="s">
        <v>1878</v>
      </c>
      <c r="BL60" t="s">
        <v>1879</v>
      </c>
    </row>
    <row r="61" spans="1:64" ht="100.8" customHeight="1" x14ac:dyDescent="0.55000000000000004">
      <c r="A61" s="2" t="s">
        <v>476</v>
      </c>
      <c r="B61" s="2" t="s">
        <v>521</v>
      </c>
      <c r="C61" s="2" t="s">
        <v>99</v>
      </c>
      <c r="D61" s="2" t="s">
        <v>1880</v>
      </c>
      <c r="E61" s="2" t="s">
        <v>1881</v>
      </c>
      <c r="F61" s="2" t="s">
        <v>1882</v>
      </c>
      <c r="G61" s="2" t="s">
        <v>1883</v>
      </c>
      <c r="H61" s="2" t="s">
        <v>1884</v>
      </c>
      <c r="I61" s="2" t="s">
        <v>1885</v>
      </c>
      <c r="J61" s="2" t="s">
        <v>1886</v>
      </c>
      <c r="K61" s="2" t="s">
        <v>1887</v>
      </c>
      <c r="L61" s="2" t="s">
        <v>1888</v>
      </c>
      <c r="M61" t="s">
        <v>1889</v>
      </c>
      <c r="N61" t="s">
        <v>1890</v>
      </c>
      <c r="O61" t="s">
        <v>1891</v>
      </c>
      <c r="P61" t="s">
        <v>1892</v>
      </c>
      <c r="Q61" t="s">
        <v>1893</v>
      </c>
      <c r="R61" t="s">
        <v>1894</v>
      </c>
      <c r="S61" t="s">
        <v>1814</v>
      </c>
      <c r="T61" t="s">
        <v>1895</v>
      </c>
      <c r="U61" t="s">
        <v>1896</v>
      </c>
      <c r="BK61" t="s">
        <v>1897</v>
      </c>
      <c r="BL61" t="s">
        <v>1898</v>
      </c>
    </row>
    <row r="62" spans="1:64" ht="86.4" customHeight="1" x14ac:dyDescent="0.55000000000000004">
      <c r="A62" s="2" t="s">
        <v>530</v>
      </c>
      <c r="B62" s="2" t="s">
        <v>531</v>
      </c>
      <c r="C62" s="2" t="s">
        <v>438</v>
      </c>
      <c r="D62" s="2" t="s">
        <v>1899</v>
      </c>
      <c r="E62" s="2" t="s">
        <v>1900</v>
      </c>
      <c r="F62" s="2" t="s">
        <v>1901</v>
      </c>
      <c r="G62" s="2" t="s">
        <v>1902</v>
      </c>
      <c r="H62" s="2" t="s">
        <v>1903</v>
      </c>
      <c r="I62" s="2" t="s">
        <v>1904</v>
      </c>
      <c r="J62" s="2" t="s">
        <v>1905</v>
      </c>
      <c r="K62" s="2" t="s">
        <v>1906</v>
      </c>
      <c r="L62" s="2" t="s">
        <v>1907</v>
      </c>
      <c r="M62" t="s">
        <v>1908</v>
      </c>
      <c r="N62" t="s">
        <v>1909</v>
      </c>
      <c r="O62" t="s">
        <v>1908</v>
      </c>
      <c r="P62" t="s">
        <v>1908</v>
      </c>
      <c r="Q62" t="s">
        <v>1908</v>
      </c>
      <c r="R62" t="s">
        <v>1909</v>
      </c>
      <c r="S62" t="s">
        <v>1910</v>
      </c>
      <c r="T62" t="s">
        <v>1911</v>
      </c>
      <c r="U62" t="s">
        <v>1912</v>
      </c>
      <c r="BK62" t="s">
        <v>1913</v>
      </c>
      <c r="BL62" t="s">
        <v>1914</v>
      </c>
    </row>
    <row r="63" spans="1:64" ht="86.4" customHeight="1" x14ac:dyDescent="0.55000000000000004">
      <c r="A63" s="2" t="s">
        <v>530</v>
      </c>
      <c r="B63" s="2" t="s">
        <v>544</v>
      </c>
      <c r="C63" s="2" t="s">
        <v>438</v>
      </c>
      <c r="D63" s="2" t="s">
        <v>1915</v>
      </c>
      <c r="E63" s="2" t="s">
        <v>1916</v>
      </c>
      <c r="F63" s="2" t="s">
        <v>1917</v>
      </c>
      <c r="G63" s="2" t="s">
        <v>1918</v>
      </c>
      <c r="H63" s="2" t="s">
        <v>1903</v>
      </c>
      <c r="I63" s="2" t="s">
        <v>1919</v>
      </c>
      <c r="J63" s="2" t="s">
        <v>1920</v>
      </c>
      <c r="K63" s="2" t="s">
        <v>1921</v>
      </c>
      <c r="L63" s="2" t="s">
        <v>1922</v>
      </c>
      <c r="M63" t="s">
        <v>1923</v>
      </c>
      <c r="N63" t="s">
        <v>1924</v>
      </c>
      <c r="O63" t="s">
        <v>1923</v>
      </c>
      <c r="P63" t="s">
        <v>1923</v>
      </c>
      <c r="Q63" t="s">
        <v>1923</v>
      </c>
      <c r="R63" t="s">
        <v>1924</v>
      </c>
      <c r="S63" t="s">
        <v>1910</v>
      </c>
      <c r="T63" t="s">
        <v>1911</v>
      </c>
      <c r="U63" t="s">
        <v>1925</v>
      </c>
      <c r="BK63" t="s">
        <v>1926</v>
      </c>
      <c r="BL63" t="s">
        <v>1927</v>
      </c>
    </row>
    <row r="64" spans="1:64" ht="57.6" customHeight="1" x14ac:dyDescent="0.55000000000000004">
      <c r="A64" s="2" t="s">
        <v>530</v>
      </c>
      <c r="B64" s="2" t="s">
        <v>552</v>
      </c>
      <c r="C64" s="2" t="s">
        <v>438</v>
      </c>
      <c r="D64" s="2" t="s">
        <v>1928</v>
      </c>
      <c r="E64" s="2" t="s">
        <v>1929</v>
      </c>
      <c r="F64" s="2" t="s">
        <v>1930</v>
      </c>
      <c r="G64" s="2" t="s">
        <v>1931</v>
      </c>
      <c r="H64" s="2" t="s">
        <v>1903</v>
      </c>
      <c r="I64" s="2" t="s">
        <v>1932</v>
      </c>
      <c r="J64" s="2" t="s">
        <v>1933</v>
      </c>
      <c r="K64" s="2" t="s">
        <v>1934</v>
      </c>
      <c r="L64" s="2" t="s">
        <v>1935</v>
      </c>
      <c r="M64" t="s">
        <v>1936</v>
      </c>
      <c r="N64" t="s">
        <v>1937</v>
      </c>
      <c r="O64" t="s">
        <v>1936</v>
      </c>
      <c r="P64" t="s">
        <v>1936</v>
      </c>
      <c r="Q64" t="s">
        <v>1936</v>
      </c>
      <c r="R64" t="s">
        <v>1937</v>
      </c>
      <c r="S64" t="s">
        <v>1910</v>
      </c>
      <c r="T64" t="s">
        <v>1911</v>
      </c>
      <c r="U64" t="s">
        <v>1938</v>
      </c>
      <c r="BK64" t="s">
        <v>1939</v>
      </c>
      <c r="BL64" t="s">
        <v>1940</v>
      </c>
    </row>
    <row r="65" spans="1:64" ht="57.6" customHeight="1" x14ac:dyDescent="0.55000000000000004">
      <c r="A65" s="2" t="s">
        <v>530</v>
      </c>
      <c r="B65" s="2" t="s">
        <v>560</v>
      </c>
      <c r="C65" s="2" t="s">
        <v>438</v>
      </c>
      <c r="D65" s="2" t="s">
        <v>1941</v>
      </c>
      <c r="E65" s="2" t="s">
        <v>1929</v>
      </c>
      <c r="F65" s="2" t="s">
        <v>1942</v>
      </c>
      <c r="G65" s="2" t="s">
        <v>1943</v>
      </c>
      <c r="H65" s="2" t="s">
        <v>1903</v>
      </c>
      <c r="I65" s="2" t="s">
        <v>1932</v>
      </c>
      <c r="J65" s="2" t="s">
        <v>1944</v>
      </c>
      <c r="K65" s="2" t="s">
        <v>1945</v>
      </c>
      <c r="L65" s="2" t="s">
        <v>1946</v>
      </c>
      <c r="M65" t="s">
        <v>1947</v>
      </c>
      <c r="N65" t="s">
        <v>1948</v>
      </c>
      <c r="O65" t="s">
        <v>1947</v>
      </c>
      <c r="P65" t="s">
        <v>1947</v>
      </c>
      <c r="Q65" t="s">
        <v>1947</v>
      </c>
      <c r="R65" t="s">
        <v>1948</v>
      </c>
      <c r="S65" t="s">
        <v>1910</v>
      </c>
      <c r="T65" t="s">
        <v>1911</v>
      </c>
      <c r="U65" t="s">
        <v>1949</v>
      </c>
      <c r="BK65" t="s">
        <v>1950</v>
      </c>
      <c r="BL65" t="s">
        <v>1951</v>
      </c>
    </row>
    <row r="66" spans="1:64" ht="115.2" customHeight="1" x14ac:dyDescent="0.55000000000000004">
      <c r="A66" s="2" t="s">
        <v>568</v>
      </c>
      <c r="B66" s="2" t="s">
        <v>569</v>
      </c>
      <c r="C66" s="2" t="s">
        <v>99</v>
      </c>
      <c r="D66" s="2" t="s">
        <v>1952</v>
      </c>
      <c r="E66" s="2" t="s">
        <v>1953</v>
      </c>
      <c r="F66" s="2" t="s">
        <v>1954</v>
      </c>
      <c r="G66" s="2" t="s">
        <v>1955</v>
      </c>
      <c r="H66" s="2" t="s">
        <v>1956</v>
      </c>
      <c r="I66" s="2" t="s">
        <v>1957</v>
      </c>
      <c r="J66" s="2" t="s">
        <v>1958</v>
      </c>
      <c r="K66" s="2" t="s">
        <v>1959</v>
      </c>
      <c r="L66" s="2" t="s">
        <v>1960</v>
      </c>
      <c r="M66" t="s">
        <v>1961</v>
      </c>
      <c r="N66" t="s">
        <v>1962</v>
      </c>
      <c r="O66" t="s">
        <v>1961</v>
      </c>
      <c r="P66" t="s">
        <v>1961</v>
      </c>
      <c r="Q66" t="s">
        <v>1961</v>
      </c>
      <c r="R66" t="s">
        <v>1961</v>
      </c>
      <c r="S66" t="s">
        <v>1963</v>
      </c>
      <c r="T66" t="s">
        <v>1964</v>
      </c>
      <c r="U66" t="s">
        <v>1965</v>
      </c>
      <c r="BK66" t="s">
        <v>1966</v>
      </c>
      <c r="BL66" t="s">
        <v>1967</v>
      </c>
    </row>
    <row r="67" spans="1:64" ht="86.4" customHeight="1" x14ac:dyDescent="0.55000000000000004">
      <c r="A67" s="2" t="s">
        <v>568</v>
      </c>
      <c r="B67" s="2" t="s">
        <v>580</v>
      </c>
      <c r="C67" s="2" t="s">
        <v>99</v>
      </c>
      <c r="D67" s="2" t="s">
        <v>1968</v>
      </c>
      <c r="E67" s="2" t="s">
        <v>1969</v>
      </c>
      <c r="F67" s="2" t="s">
        <v>1970</v>
      </c>
      <c r="G67" s="2" t="s">
        <v>1971</v>
      </c>
      <c r="H67" s="2" t="s">
        <v>1972</v>
      </c>
      <c r="I67" s="2" t="s">
        <v>1973</v>
      </c>
      <c r="J67" s="2" t="s">
        <v>1974</v>
      </c>
      <c r="K67" s="2" t="s">
        <v>1959</v>
      </c>
      <c r="L67" s="2" t="s">
        <v>1975</v>
      </c>
      <c r="M67" t="s">
        <v>1976</v>
      </c>
      <c r="N67" t="s">
        <v>1977</v>
      </c>
      <c r="O67" t="s">
        <v>1976</v>
      </c>
      <c r="P67" t="s">
        <v>1977</v>
      </c>
      <c r="Q67" t="s">
        <v>1976</v>
      </c>
      <c r="R67" t="s">
        <v>1977</v>
      </c>
      <c r="S67" t="s">
        <v>1963</v>
      </c>
      <c r="T67" t="s">
        <v>1964</v>
      </c>
      <c r="U67" t="s">
        <v>1978</v>
      </c>
      <c r="BK67" t="s">
        <v>1979</v>
      </c>
      <c r="BL67" t="s">
        <v>1980</v>
      </c>
    </row>
    <row r="68" spans="1:64" ht="86.4" customHeight="1" x14ac:dyDescent="0.55000000000000004">
      <c r="A68" s="2" t="s">
        <v>568</v>
      </c>
      <c r="B68" s="2" t="s">
        <v>588</v>
      </c>
      <c r="C68" s="2" t="s">
        <v>99</v>
      </c>
      <c r="D68" s="2" t="s">
        <v>1981</v>
      </c>
      <c r="E68" s="2" t="s">
        <v>1982</v>
      </c>
      <c r="F68" s="2" t="s">
        <v>1983</v>
      </c>
      <c r="G68" s="2" t="s">
        <v>1984</v>
      </c>
      <c r="H68" s="2" t="s">
        <v>1972</v>
      </c>
      <c r="I68" s="2" t="s">
        <v>1973</v>
      </c>
      <c r="J68" s="2" t="s">
        <v>1974</v>
      </c>
      <c r="K68" s="2" t="s">
        <v>1959</v>
      </c>
      <c r="L68" s="2" t="s">
        <v>1985</v>
      </c>
      <c r="M68" t="s">
        <v>1986</v>
      </c>
      <c r="N68" t="s">
        <v>1986</v>
      </c>
      <c r="O68" t="s">
        <v>1986</v>
      </c>
      <c r="P68" t="s">
        <v>1986</v>
      </c>
      <c r="Q68" t="s">
        <v>1986</v>
      </c>
      <c r="R68" t="s">
        <v>1987</v>
      </c>
      <c r="S68" t="s">
        <v>1963</v>
      </c>
      <c r="T68" t="s">
        <v>1964</v>
      </c>
      <c r="U68" t="s">
        <v>1988</v>
      </c>
      <c r="BK68" t="s">
        <v>1989</v>
      </c>
      <c r="BL68" t="s">
        <v>1980</v>
      </c>
    </row>
    <row r="69" spans="1:64" ht="72" customHeight="1" x14ac:dyDescent="0.55000000000000004">
      <c r="A69" s="2" t="s">
        <v>595</v>
      </c>
      <c r="B69" s="2" t="s">
        <v>596</v>
      </c>
      <c r="C69" s="2" t="s">
        <v>438</v>
      </c>
      <c r="D69" s="2" t="s">
        <v>1990</v>
      </c>
      <c r="E69" s="2" t="s">
        <v>1991</v>
      </c>
      <c r="F69" s="2" t="s">
        <v>1992</v>
      </c>
      <c r="G69" s="2" t="s">
        <v>1993</v>
      </c>
      <c r="H69" s="2" t="s">
        <v>1994</v>
      </c>
      <c r="I69" s="2" t="s">
        <v>1995</v>
      </c>
      <c r="J69" s="2" t="s">
        <v>1996</v>
      </c>
      <c r="K69" s="2" t="s">
        <v>1997</v>
      </c>
      <c r="L69" s="2" t="s">
        <v>1998</v>
      </c>
      <c r="M69" t="s">
        <v>1999</v>
      </c>
      <c r="N69" t="s">
        <v>2000</v>
      </c>
      <c r="O69" t="s">
        <v>2000</v>
      </c>
      <c r="P69" t="s">
        <v>1999</v>
      </c>
      <c r="Q69" t="s">
        <v>1999</v>
      </c>
      <c r="R69" t="s">
        <v>2000</v>
      </c>
      <c r="S69" t="s">
        <v>2001</v>
      </c>
      <c r="T69" t="s">
        <v>2002</v>
      </c>
      <c r="U69" t="s">
        <v>2003</v>
      </c>
      <c r="BK69" t="s">
        <v>2004</v>
      </c>
      <c r="BL69" t="s">
        <v>2005</v>
      </c>
    </row>
    <row r="70" spans="1:64" ht="43.2" customHeight="1" x14ac:dyDescent="0.55000000000000004">
      <c r="A70" s="2" t="s">
        <v>595</v>
      </c>
      <c r="B70" s="2" t="s">
        <v>607</v>
      </c>
      <c r="C70" s="2" t="s">
        <v>438</v>
      </c>
      <c r="D70" s="2" t="s">
        <v>2006</v>
      </c>
      <c r="E70" s="2" t="s">
        <v>2007</v>
      </c>
      <c r="F70" s="2" t="s">
        <v>2008</v>
      </c>
      <c r="G70" s="2" t="s">
        <v>2009</v>
      </c>
      <c r="H70" s="2" t="s">
        <v>1994</v>
      </c>
      <c r="I70" s="2" t="s">
        <v>2010</v>
      </c>
      <c r="J70" s="2" t="s">
        <v>1996</v>
      </c>
      <c r="K70" s="2" t="s">
        <v>2011</v>
      </c>
      <c r="L70" s="2" t="s">
        <v>2012</v>
      </c>
      <c r="M70" t="s">
        <v>2013</v>
      </c>
      <c r="N70" t="s">
        <v>2014</v>
      </c>
      <c r="O70" t="s">
        <v>2014</v>
      </c>
      <c r="P70" t="s">
        <v>2014</v>
      </c>
      <c r="Q70" t="s">
        <v>2014</v>
      </c>
      <c r="R70" t="s">
        <v>2014</v>
      </c>
      <c r="S70" t="s">
        <v>2001</v>
      </c>
      <c r="T70" t="s">
        <v>2015</v>
      </c>
      <c r="U70" t="s">
        <v>2016</v>
      </c>
      <c r="BK70" t="s">
        <v>2017</v>
      </c>
      <c r="BL70" t="s">
        <v>2018</v>
      </c>
    </row>
    <row r="71" spans="1:64" ht="57.6" customHeight="1" x14ac:dyDescent="0.55000000000000004">
      <c r="A71" s="2" t="s">
        <v>595</v>
      </c>
      <c r="B71" s="2" t="s">
        <v>615</v>
      </c>
      <c r="C71" s="2" t="s">
        <v>438</v>
      </c>
      <c r="D71" s="2" t="s">
        <v>2019</v>
      </c>
      <c r="E71" s="2" t="s">
        <v>2020</v>
      </c>
      <c r="F71" s="2" t="s">
        <v>2021</v>
      </c>
      <c r="G71" s="2" t="s">
        <v>2022</v>
      </c>
      <c r="H71" s="2" t="s">
        <v>1994</v>
      </c>
      <c r="I71" s="2" t="s">
        <v>2010</v>
      </c>
      <c r="J71" s="2" t="s">
        <v>2023</v>
      </c>
      <c r="K71" s="2" t="s">
        <v>2011</v>
      </c>
      <c r="L71" s="2" t="s">
        <v>2024</v>
      </c>
      <c r="M71" t="s">
        <v>2025</v>
      </c>
      <c r="N71" t="s">
        <v>2025</v>
      </c>
      <c r="O71" t="s">
        <v>2026</v>
      </c>
      <c r="P71" t="s">
        <v>2025</v>
      </c>
      <c r="Q71" t="s">
        <v>2026</v>
      </c>
      <c r="R71" t="s">
        <v>2025</v>
      </c>
      <c r="S71" t="s">
        <v>2001</v>
      </c>
      <c r="T71" t="s">
        <v>2027</v>
      </c>
      <c r="U71" t="s">
        <v>2028</v>
      </c>
      <c r="BK71" t="s">
        <v>2029</v>
      </c>
      <c r="BL71" t="s">
        <v>2030</v>
      </c>
    </row>
    <row r="72" spans="1:64" ht="43.2" customHeight="1" x14ac:dyDescent="0.55000000000000004">
      <c r="A72" s="2" t="s">
        <v>595</v>
      </c>
      <c r="B72" s="2" t="s">
        <v>622</v>
      </c>
      <c r="C72" s="2" t="s">
        <v>438</v>
      </c>
      <c r="D72" s="2" t="s">
        <v>2031</v>
      </c>
      <c r="E72" s="2" t="s">
        <v>2032</v>
      </c>
      <c r="F72" s="2" t="s">
        <v>2033</v>
      </c>
      <c r="G72" s="2" t="s">
        <v>2034</v>
      </c>
      <c r="H72" s="2" t="s">
        <v>1994</v>
      </c>
      <c r="I72" s="2" t="s">
        <v>2010</v>
      </c>
      <c r="J72" s="2" t="s">
        <v>1996</v>
      </c>
      <c r="K72" s="2" t="s">
        <v>2011</v>
      </c>
      <c r="L72" s="2" t="s">
        <v>2035</v>
      </c>
      <c r="M72" t="s">
        <v>2036</v>
      </c>
      <c r="N72" t="s">
        <v>2036</v>
      </c>
      <c r="O72" t="s">
        <v>2037</v>
      </c>
      <c r="P72" t="s">
        <v>2037</v>
      </c>
      <c r="Q72" t="s">
        <v>2036</v>
      </c>
      <c r="R72" t="s">
        <v>2036</v>
      </c>
      <c r="S72" t="s">
        <v>2001</v>
      </c>
      <c r="T72" t="s">
        <v>2038</v>
      </c>
      <c r="U72" t="s">
        <v>2039</v>
      </c>
      <c r="BK72" t="s">
        <v>2040</v>
      </c>
      <c r="BL72" t="s">
        <v>2041</v>
      </c>
    </row>
    <row r="73" spans="1:64" x14ac:dyDescent="0.55000000000000004">
      <c r="A73" t="s">
        <v>629</v>
      </c>
      <c r="B73" t="s">
        <v>630</v>
      </c>
      <c r="C73" t="s">
        <v>637</v>
      </c>
      <c r="D73" t="s">
        <v>2042</v>
      </c>
      <c r="E73" t="s">
        <v>2043</v>
      </c>
      <c r="F73" t="s">
        <v>2044</v>
      </c>
      <c r="G73" t="s">
        <v>2045</v>
      </c>
      <c r="H73" t="s">
        <v>2046</v>
      </c>
      <c r="I73" t="s">
        <v>2047</v>
      </c>
      <c r="J73" t="s">
        <v>2048</v>
      </c>
      <c r="K73" t="s">
        <v>2049</v>
      </c>
      <c r="L73" t="s">
        <v>2050</v>
      </c>
      <c r="M73" t="s">
        <v>2051</v>
      </c>
      <c r="N73" t="s">
        <v>2051</v>
      </c>
      <c r="O73" t="s">
        <v>2051</v>
      </c>
      <c r="P73" t="s">
        <v>2051</v>
      </c>
      <c r="Q73" t="s">
        <v>2051</v>
      </c>
      <c r="R73" t="s">
        <v>2051</v>
      </c>
      <c r="S73" t="s">
        <v>2052</v>
      </c>
      <c r="T73" t="s">
        <v>2053</v>
      </c>
      <c r="U73" t="s">
        <v>2054</v>
      </c>
      <c r="BK73" t="s">
        <v>2055</v>
      </c>
      <c r="BL73" t="s">
        <v>2056</v>
      </c>
    </row>
    <row r="74" spans="1:64" x14ac:dyDescent="0.55000000000000004">
      <c r="A74" t="s">
        <v>629</v>
      </c>
      <c r="B74" t="s">
        <v>643</v>
      </c>
      <c r="C74" t="s">
        <v>637</v>
      </c>
      <c r="D74" t="s">
        <v>2042</v>
      </c>
      <c r="E74" t="s">
        <v>2043</v>
      </c>
      <c r="F74" t="s">
        <v>2057</v>
      </c>
      <c r="G74" t="s">
        <v>2058</v>
      </c>
      <c r="H74" t="s">
        <v>2059</v>
      </c>
      <c r="I74" t="s">
        <v>2047</v>
      </c>
      <c r="J74" t="s">
        <v>2060</v>
      </c>
      <c r="K74" t="s">
        <v>2061</v>
      </c>
      <c r="L74" t="s">
        <v>2050</v>
      </c>
      <c r="M74" t="s">
        <v>2051</v>
      </c>
      <c r="N74" t="s">
        <v>2051</v>
      </c>
      <c r="O74" t="s">
        <v>2051</v>
      </c>
      <c r="P74" t="s">
        <v>2051</v>
      </c>
      <c r="Q74" t="s">
        <v>2051</v>
      </c>
      <c r="R74" t="s">
        <v>2051</v>
      </c>
      <c r="S74" t="s">
        <v>2052</v>
      </c>
      <c r="T74" t="s">
        <v>2053</v>
      </c>
      <c r="U74" t="s">
        <v>2062</v>
      </c>
      <c r="BK74" t="s">
        <v>2063</v>
      </c>
      <c r="BL74" t="s">
        <v>2056</v>
      </c>
    </row>
    <row r="75" spans="1:64" x14ac:dyDescent="0.55000000000000004">
      <c r="A75" t="s">
        <v>629</v>
      </c>
      <c r="B75" t="s">
        <v>649</v>
      </c>
      <c r="C75" t="s">
        <v>637</v>
      </c>
      <c r="D75" t="s">
        <v>2042</v>
      </c>
      <c r="E75" t="s">
        <v>2043</v>
      </c>
      <c r="F75" t="s">
        <v>2064</v>
      </c>
      <c r="G75" t="s">
        <v>2065</v>
      </c>
      <c r="H75" t="s">
        <v>2066</v>
      </c>
      <c r="I75" t="s">
        <v>2047</v>
      </c>
      <c r="J75" t="s">
        <v>2067</v>
      </c>
      <c r="K75" t="s">
        <v>2068</v>
      </c>
      <c r="L75" t="s">
        <v>2069</v>
      </c>
      <c r="M75" t="s">
        <v>2051</v>
      </c>
      <c r="N75" t="s">
        <v>2051</v>
      </c>
      <c r="O75" t="s">
        <v>2051</v>
      </c>
      <c r="P75" t="s">
        <v>2051</v>
      </c>
      <c r="Q75" t="s">
        <v>2051</v>
      </c>
      <c r="R75" t="s">
        <v>2051</v>
      </c>
      <c r="S75" t="s">
        <v>2052</v>
      </c>
      <c r="T75" t="s">
        <v>2053</v>
      </c>
      <c r="U75" t="s">
        <v>2070</v>
      </c>
      <c r="BK75" t="s">
        <v>2071</v>
      </c>
      <c r="BL75" t="s">
        <v>2056</v>
      </c>
    </row>
    <row r="76" spans="1:64" x14ac:dyDescent="0.55000000000000004">
      <c r="A76" t="s">
        <v>629</v>
      </c>
      <c r="B76" t="s">
        <v>654</v>
      </c>
      <c r="C76" t="s">
        <v>637</v>
      </c>
      <c r="D76" t="s">
        <v>2042</v>
      </c>
      <c r="E76" t="s">
        <v>2043</v>
      </c>
      <c r="F76" t="s">
        <v>2072</v>
      </c>
      <c r="G76" t="s">
        <v>2073</v>
      </c>
      <c r="H76" t="s">
        <v>2074</v>
      </c>
      <c r="I76" t="s">
        <v>2047</v>
      </c>
      <c r="J76" t="s">
        <v>2075</v>
      </c>
      <c r="K76" t="s">
        <v>2076</v>
      </c>
      <c r="L76" t="s">
        <v>2050</v>
      </c>
      <c r="M76" t="s">
        <v>2051</v>
      </c>
      <c r="N76" t="s">
        <v>2051</v>
      </c>
      <c r="O76" t="s">
        <v>2051</v>
      </c>
      <c r="P76" t="s">
        <v>2051</v>
      </c>
      <c r="Q76" t="s">
        <v>2051</v>
      </c>
      <c r="R76" t="s">
        <v>2051</v>
      </c>
      <c r="S76" t="s">
        <v>2052</v>
      </c>
      <c r="T76" t="s">
        <v>2053</v>
      </c>
      <c r="U76" t="s">
        <v>2077</v>
      </c>
      <c r="BK76" t="s">
        <v>2078</v>
      </c>
      <c r="BL76" t="s">
        <v>2056</v>
      </c>
    </row>
    <row r="77" spans="1:64" x14ac:dyDescent="0.55000000000000004">
      <c r="A77" t="s">
        <v>629</v>
      </c>
      <c r="B77" t="s">
        <v>659</v>
      </c>
      <c r="C77" t="s">
        <v>637</v>
      </c>
      <c r="D77" t="s">
        <v>2042</v>
      </c>
      <c r="E77" t="s">
        <v>2043</v>
      </c>
      <c r="F77" t="s">
        <v>2079</v>
      </c>
      <c r="G77" t="s">
        <v>2080</v>
      </c>
      <c r="H77" t="s">
        <v>2081</v>
      </c>
      <c r="I77" t="s">
        <v>2047</v>
      </c>
      <c r="J77" t="s">
        <v>2082</v>
      </c>
      <c r="K77" t="s">
        <v>2083</v>
      </c>
      <c r="L77" t="s">
        <v>2050</v>
      </c>
      <c r="M77" t="s">
        <v>2051</v>
      </c>
      <c r="N77" t="s">
        <v>2051</v>
      </c>
      <c r="O77" t="s">
        <v>2051</v>
      </c>
      <c r="P77" t="s">
        <v>2051</v>
      </c>
      <c r="Q77" t="s">
        <v>2051</v>
      </c>
      <c r="R77" t="s">
        <v>2051</v>
      </c>
      <c r="S77" t="s">
        <v>2052</v>
      </c>
      <c r="T77" t="s">
        <v>2053</v>
      </c>
      <c r="U77" t="s">
        <v>2084</v>
      </c>
      <c r="BK77" t="s">
        <v>2085</v>
      </c>
      <c r="BL77" t="s">
        <v>2056</v>
      </c>
    </row>
    <row r="78" spans="1:64" x14ac:dyDescent="0.55000000000000004">
      <c r="A78" t="s">
        <v>629</v>
      </c>
      <c r="B78" t="s">
        <v>664</v>
      </c>
      <c r="C78" t="s">
        <v>637</v>
      </c>
      <c r="D78" t="s">
        <v>2042</v>
      </c>
      <c r="E78" t="s">
        <v>2043</v>
      </c>
      <c r="F78" t="s">
        <v>2086</v>
      </c>
      <c r="G78" t="s">
        <v>2087</v>
      </c>
      <c r="H78" t="s">
        <v>2088</v>
      </c>
      <c r="I78" t="s">
        <v>2047</v>
      </c>
      <c r="J78" t="s">
        <v>2089</v>
      </c>
      <c r="K78" t="s">
        <v>2090</v>
      </c>
      <c r="L78" t="s">
        <v>2091</v>
      </c>
      <c r="M78" t="s">
        <v>2051</v>
      </c>
      <c r="N78" t="s">
        <v>2051</v>
      </c>
      <c r="O78" t="s">
        <v>2051</v>
      </c>
      <c r="P78" t="s">
        <v>2051</v>
      </c>
      <c r="Q78" t="s">
        <v>2051</v>
      </c>
      <c r="R78" t="s">
        <v>2051</v>
      </c>
      <c r="S78" t="s">
        <v>2052</v>
      </c>
      <c r="T78" t="s">
        <v>2053</v>
      </c>
      <c r="U78" t="s">
        <v>2092</v>
      </c>
      <c r="BK78" t="s">
        <v>2093</v>
      </c>
      <c r="BL78" t="s">
        <v>2056</v>
      </c>
    </row>
    <row r="79" spans="1:64" x14ac:dyDescent="0.55000000000000004">
      <c r="A79" t="s">
        <v>629</v>
      </c>
      <c r="B79" t="s">
        <v>669</v>
      </c>
      <c r="C79" t="s">
        <v>637</v>
      </c>
      <c r="D79" t="s">
        <v>2042</v>
      </c>
      <c r="E79" t="s">
        <v>2043</v>
      </c>
      <c r="F79" t="s">
        <v>2094</v>
      </c>
      <c r="G79" t="s">
        <v>2095</v>
      </c>
      <c r="H79" t="s">
        <v>2096</v>
      </c>
      <c r="I79" t="s">
        <v>2047</v>
      </c>
      <c r="J79" t="s">
        <v>2097</v>
      </c>
      <c r="K79" t="s">
        <v>2098</v>
      </c>
      <c r="L79" t="s">
        <v>2050</v>
      </c>
      <c r="M79" t="s">
        <v>2051</v>
      </c>
      <c r="N79" t="s">
        <v>2051</v>
      </c>
      <c r="O79" t="s">
        <v>2051</v>
      </c>
      <c r="P79" t="s">
        <v>2051</v>
      </c>
      <c r="Q79" t="s">
        <v>2051</v>
      </c>
      <c r="R79" t="s">
        <v>2051</v>
      </c>
      <c r="S79" t="s">
        <v>2052</v>
      </c>
      <c r="T79" t="s">
        <v>2053</v>
      </c>
      <c r="U79" t="s">
        <v>2099</v>
      </c>
      <c r="BK79" t="s">
        <v>2100</v>
      </c>
      <c r="BL79" t="s">
        <v>2056</v>
      </c>
    </row>
    <row r="80" spans="1:64" x14ac:dyDescent="0.55000000000000004">
      <c r="A80" t="s">
        <v>673</v>
      </c>
      <c r="B80" t="s">
        <v>674</v>
      </c>
      <c r="C80" t="s">
        <v>99</v>
      </c>
      <c r="D80" t="s">
        <v>2101</v>
      </c>
      <c r="E80" t="s">
        <v>2102</v>
      </c>
      <c r="F80" t="s">
        <v>2103</v>
      </c>
      <c r="G80" t="s">
        <v>2104</v>
      </c>
      <c r="H80" t="s">
        <v>2105</v>
      </c>
      <c r="I80" t="s">
        <v>2106</v>
      </c>
      <c r="J80" t="s">
        <v>2107</v>
      </c>
      <c r="K80" t="s">
        <v>2108</v>
      </c>
      <c r="L80" t="s">
        <v>2109</v>
      </c>
      <c r="M80" t="s">
        <v>2110</v>
      </c>
      <c r="N80" t="s">
        <v>2111</v>
      </c>
      <c r="O80" t="s">
        <v>2112</v>
      </c>
      <c r="P80" t="s">
        <v>2113</v>
      </c>
      <c r="Q80" t="s">
        <v>2114</v>
      </c>
      <c r="R80" t="s">
        <v>2115</v>
      </c>
      <c r="S80" t="s">
        <v>2116</v>
      </c>
      <c r="T80" t="s">
        <v>2117</v>
      </c>
      <c r="U80" t="s">
        <v>2118</v>
      </c>
      <c r="BK80" t="s">
        <v>2119</v>
      </c>
      <c r="BL80" t="s">
        <v>2120</v>
      </c>
    </row>
    <row r="81" spans="1:64" x14ac:dyDescent="0.55000000000000004">
      <c r="A81" t="s">
        <v>673</v>
      </c>
      <c r="B81" t="s">
        <v>684</v>
      </c>
      <c r="C81" t="s">
        <v>99</v>
      </c>
      <c r="D81" t="s">
        <v>2101</v>
      </c>
      <c r="E81" t="s">
        <v>2102</v>
      </c>
      <c r="F81" t="s">
        <v>2121</v>
      </c>
      <c r="G81" t="s">
        <v>2122</v>
      </c>
      <c r="H81" t="s">
        <v>2105</v>
      </c>
      <c r="I81" t="s">
        <v>2106</v>
      </c>
      <c r="J81" t="s">
        <v>2107</v>
      </c>
      <c r="K81" t="s">
        <v>2123</v>
      </c>
      <c r="L81" t="s">
        <v>2109</v>
      </c>
      <c r="M81" t="s">
        <v>2124</v>
      </c>
      <c r="N81" t="s">
        <v>1829</v>
      </c>
      <c r="O81" t="s">
        <v>2125</v>
      </c>
      <c r="P81" t="s">
        <v>2126</v>
      </c>
      <c r="Q81" t="s">
        <v>2127</v>
      </c>
      <c r="R81" t="s">
        <v>2128</v>
      </c>
      <c r="S81" t="s">
        <v>2116</v>
      </c>
      <c r="T81" t="s">
        <v>2117</v>
      </c>
      <c r="U81" t="s">
        <v>2129</v>
      </c>
      <c r="BK81" t="s">
        <v>2119</v>
      </c>
      <c r="BL81" t="s">
        <v>2130</v>
      </c>
    </row>
    <row r="82" spans="1:64" x14ac:dyDescent="0.55000000000000004">
      <c r="A82" t="s">
        <v>673</v>
      </c>
      <c r="B82" t="s">
        <v>687</v>
      </c>
      <c r="C82" t="s">
        <v>99</v>
      </c>
      <c r="D82" t="s">
        <v>2101</v>
      </c>
      <c r="E82" t="s">
        <v>2102</v>
      </c>
      <c r="F82" t="s">
        <v>2131</v>
      </c>
      <c r="G82" t="s">
        <v>2132</v>
      </c>
      <c r="H82" t="s">
        <v>2105</v>
      </c>
      <c r="I82" t="s">
        <v>2106</v>
      </c>
      <c r="J82" t="s">
        <v>2107</v>
      </c>
      <c r="K82" t="s">
        <v>2133</v>
      </c>
      <c r="L82" t="s">
        <v>2109</v>
      </c>
      <c r="M82" t="s">
        <v>2134</v>
      </c>
      <c r="N82" t="s">
        <v>2111</v>
      </c>
      <c r="O82" t="s">
        <v>2135</v>
      </c>
      <c r="P82" t="s">
        <v>2113</v>
      </c>
      <c r="Q82" t="s">
        <v>2114</v>
      </c>
      <c r="R82" t="s">
        <v>2115</v>
      </c>
      <c r="S82" t="s">
        <v>2116</v>
      </c>
      <c r="T82" t="s">
        <v>2117</v>
      </c>
      <c r="U82" t="s">
        <v>2136</v>
      </c>
      <c r="BK82" t="s">
        <v>2119</v>
      </c>
      <c r="BL82" t="s">
        <v>2137</v>
      </c>
    </row>
    <row r="83" spans="1:64" x14ac:dyDescent="0.55000000000000004">
      <c r="A83" t="s">
        <v>673</v>
      </c>
      <c r="B83" t="s">
        <v>690</v>
      </c>
      <c r="C83" t="s">
        <v>99</v>
      </c>
      <c r="D83" t="s">
        <v>2101</v>
      </c>
      <c r="E83" t="s">
        <v>2102</v>
      </c>
      <c r="F83" t="s">
        <v>2138</v>
      </c>
      <c r="G83" t="s">
        <v>2139</v>
      </c>
      <c r="H83" t="s">
        <v>2105</v>
      </c>
      <c r="I83" t="s">
        <v>2106</v>
      </c>
      <c r="J83" t="s">
        <v>2107</v>
      </c>
      <c r="K83" t="s">
        <v>2140</v>
      </c>
      <c r="L83" t="s">
        <v>2109</v>
      </c>
      <c r="M83" t="s">
        <v>2141</v>
      </c>
      <c r="N83" t="s">
        <v>2111</v>
      </c>
      <c r="O83" t="s">
        <v>2142</v>
      </c>
      <c r="P83" t="s">
        <v>2143</v>
      </c>
      <c r="Q83" t="s">
        <v>2114</v>
      </c>
      <c r="R83" t="s">
        <v>2115</v>
      </c>
      <c r="S83" t="s">
        <v>2116</v>
      </c>
      <c r="T83" t="s">
        <v>2117</v>
      </c>
      <c r="U83" t="s">
        <v>2144</v>
      </c>
      <c r="BK83" t="s">
        <v>2119</v>
      </c>
      <c r="BL83" t="s">
        <v>2145</v>
      </c>
    </row>
    <row r="84" spans="1:64" x14ac:dyDescent="0.55000000000000004">
      <c r="A84" t="s">
        <v>694</v>
      </c>
      <c r="B84" t="s">
        <v>695</v>
      </c>
      <c r="C84" t="s">
        <v>99</v>
      </c>
      <c r="D84" t="s">
        <v>2146</v>
      </c>
      <c r="E84" t="s">
        <v>2147</v>
      </c>
      <c r="F84" t="s">
        <v>2148</v>
      </c>
      <c r="G84" t="s">
        <v>2149</v>
      </c>
      <c r="H84" t="s">
        <v>2150</v>
      </c>
      <c r="I84" t="s">
        <v>2151</v>
      </c>
      <c r="J84" t="s">
        <v>2152</v>
      </c>
      <c r="K84" t="s">
        <v>2153</v>
      </c>
      <c r="L84" t="s">
        <v>2154</v>
      </c>
      <c r="M84" t="s">
        <v>2155</v>
      </c>
      <c r="N84" t="s">
        <v>2156</v>
      </c>
      <c r="O84" t="s">
        <v>2157</v>
      </c>
      <c r="P84" t="s">
        <v>2158</v>
      </c>
      <c r="Q84" t="s">
        <v>2159</v>
      </c>
      <c r="R84" t="s">
        <v>2160</v>
      </c>
      <c r="S84" t="s">
        <v>2161</v>
      </c>
      <c r="T84" t="s">
        <v>2162</v>
      </c>
      <c r="U84" t="s">
        <v>2163</v>
      </c>
      <c r="BK84" t="s">
        <v>2164</v>
      </c>
      <c r="BL84" t="s">
        <v>2165</v>
      </c>
    </row>
    <row r="85" spans="1:64" x14ac:dyDescent="0.55000000000000004">
      <c r="A85" t="s">
        <v>694</v>
      </c>
      <c r="B85" t="s">
        <v>705</v>
      </c>
      <c r="C85" t="s">
        <v>99</v>
      </c>
      <c r="D85" t="s">
        <v>2146</v>
      </c>
      <c r="E85" t="s">
        <v>2147</v>
      </c>
      <c r="F85" t="s">
        <v>2148</v>
      </c>
      <c r="G85" t="s">
        <v>2166</v>
      </c>
      <c r="H85" t="s">
        <v>2150</v>
      </c>
      <c r="I85" t="s">
        <v>2151</v>
      </c>
      <c r="J85" t="s">
        <v>2152</v>
      </c>
      <c r="K85" t="s">
        <v>2153</v>
      </c>
      <c r="L85" t="s">
        <v>2154</v>
      </c>
      <c r="M85" t="s">
        <v>2155</v>
      </c>
      <c r="N85" t="s">
        <v>2156</v>
      </c>
      <c r="O85" t="s">
        <v>2157</v>
      </c>
      <c r="P85" t="s">
        <v>2158</v>
      </c>
      <c r="Q85" t="s">
        <v>2159</v>
      </c>
      <c r="R85" t="s">
        <v>2160</v>
      </c>
      <c r="S85" t="s">
        <v>2161</v>
      </c>
      <c r="T85" t="s">
        <v>2162</v>
      </c>
      <c r="U85" t="s">
        <v>2167</v>
      </c>
      <c r="BK85" t="s">
        <v>2168</v>
      </c>
      <c r="BL85" t="s">
        <v>2165</v>
      </c>
    </row>
    <row r="86" spans="1:64" x14ac:dyDescent="0.55000000000000004">
      <c r="A86" t="s">
        <v>707</v>
      </c>
      <c r="B86" t="s">
        <v>708</v>
      </c>
      <c r="C86" t="s">
        <v>232</v>
      </c>
      <c r="D86" t="s">
        <v>2169</v>
      </c>
      <c r="E86" t="s">
        <v>2170</v>
      </c>
      <c r="F86" t="s">
        <v>2171</v>
      </c>
      <c r="G86" t="s">
        <v>2172</v>
      </c>
      <c r="H86" t="s">
        <v>2173</v>
      </c>
      <c r="I86" t="s">
        <v>2174</v>
      </c>
      <c r="J86" t="s">
        <v>2175</v>
      </c>
      <c r="K86" t="s">
        <v>2176</v>
      </c>
      <c r="L86" t="s">
        <v>2177</v>
      </c>
      <c r="M86" t="s">
        <v>2178</v>
      </c>
      <c r="N86" t="s">
        <v>2178</v>
      </c>
      <c r="O86" t="s">
        <v>2178</v>
      </c>
      <c r="P86" t="s">
        <v>2178</v>
      </c>
      <c r="Q86" t="s">
        <v>2178</v>
      </c>
      <c r="R86" t="s">
        <v>2178</v>
      </c>
      <c r="S86" t="s">
        <v>2179</v>
      </c>
      <c r="T86" t="s">
        <v>2180</v>
      </c>
      <c r="U86" t="s">
        <v>2181</v>
      </c>
      <c r="BK86" t="s">
        <v>2182</v>
      </c>
      <c r="BL86" t="s">
        <v>2183</v>
      </c>
    </row>
    <row r="87" spans="1:64" x14ac:dyDescent="0.55000000000000004">
      <c r="A87" t="s">
        <v>720</v>
      </c>
      <c r="B87" t="s">
        <v>721</v>
      </c>
      <c r="C87" t="s">
        <v>232</v>
      </c>
      <c r="D87" t="s">
        <v>2184</v>
      </c>
      <c r="E87" t="s">
        <v>2185</v>
      </c>
      <c r="F87" t="s">
        <v>2186</v>
      </c>
      <c r="G87" t="s">
        <v>2187</v>
      </c>
      <c r="H87" t="s">
        <v>2188</v>
      </c>
      <c r="I87" t="s">
        <v>2189</v>
      </c>
      <c r="J87" t="s">
        <v>2190</v>
      </c>
      <c r="K87" t="s">
        <v>2191</v>
      </c>
      <c r="L87" t="s">
        <v>2192</v>
      </c>
      <c r="M87" t="s">
        <v>2193</v>
      </c>
      <c r="N87" t="s">
        <v>2193</v>
      </c>
      <c r="O87" t="s">
        <v>2193</v>
      </c>
      <c r="P87" t="s">
        <v>2193</v>
      </c>
      <c r="Q87" t="s">
        <v>2193</v>
      </c>
      <c r="R87" t="s">
        <v>2193</v>
      </c>
      <c r="S87" t="s">
        <v>2194</v>
      </c>
      <c r="T87" t="s">
        <v>2195</v>
      </c>
      <c r="U87" t="s">
        <v>2196</v>
      </c>
      <c r="BK87" t="s">
        <v>2197</v>
      </c>
      <c r="BL87" t="s">
        <v>2198</v>
      </c>
    </row>
    <row r="88" spans="1:64" x14ac:dyDescent="0.55000000000000004">
      <c r="A88" t="s">
        <v>733</v>
      </c>
      <c r="B88" t="s">
        <v>649</v>
      </c>
      <c r="C88" t="s">
        <v>232</v>
      </c>
      <c r="D88" t="s">
        <v>2199</v>
      </c>
      <c r="E88" t="s">
        <v>2200</v>
      </c>
      <c r="F88" t="s">
        <v>2201</v>
      </c>
      <c r="G88" t="s">
        <v>2202</v>
      </c>
      <c r="H88" t="s">
        <v>2203</v>
      </c>
      <c r="I88" t="s">
        <v>2204</v>
      </c>
      <c r="J88" t="s">
        <v>2190</v>
      </c>
      <c r="K88" t="s">
        <v>2205</v>
      </c>
      <c r="L88" t="s">
        <v>2206</v>
      </c>
      <c r="M88" t="s">
        <v>2207</v>
      </c>
      <c r="N88" t="s">
        <v>2207</v>
      </c>
      <c r="O88" t="s">
        <v>2207</v>
      </c>
      <c r="P88" t="s">
        <v>2207</v>
      </c>
      <c r="Q88" t="s">
        <v>2207</v>
      </c>
      <c r="R88" t="s">
        <v>2207</v>
      </c>
      <c r="S88" t="s">
        <v>2208</v>
      </c>
      <c r="T88" t="s">
        <v>2209</v>
      </c>
      <c r="U88" t="s">
        <v>2210</v>
      </c>
      <c r="BK88" t="s">
        <v>2211</v>
      </c>
      <c r="BL88" t="s">
        <v>2212</v>
      </c>
    </row>
    <row r="89" spans="1:64" x14ac:dyDescent="0.55000000000000004">
      <c r="A89" t="s">
        <v>744</v>
      </c>
      <c r="B89" t="s">
        <v>745</v>
      </c>
      <c r="C89" t="s">
        <v>232</v>
      </c>
      <c r="D89" t="s">
        <v>2213</v>
      </c>
      <c r="E89" t="s">
        <v>2214</v>
      </c>
      <c r="F89" t="s">
        <v>2215</v>
      </c>
      <c r="G89" t="s">
        <v>2216</v>
      </c>
      <c r="H89" t="s">
        <v>2203</v>
      </c>
      <c r="I89" t="s">
        <v>2217</v>
      </c>
      <c r="J89" t="s">
        <v>2190</v>
      </c>
      <c r="K89" t="s">
        <v>2218</v>
      </c>
      <c r="L89" t="s">
        <v>2219</v>
      </c>
      <c r="M89" t="s">
        <v>2220</v>
      </c>
      <c r="N89" t="s">
        <v>2220</v>
      </c>
      <c r="O89" t="s">
        <v>2220</v>
      </c>
      <c r="P89" t="s">
        <v>2220</v>
      </c>
      <c r="Q89" t="s">
        <v>2220</v>
      </c>
      <c r="R89" t="s">
        <v>2220</v>
      </c>
      <c r="S89" t="s">
        <v>2221</v>
      </c>
      <c r="T89" t="s">
        <v>2222</v>
      </c>
      <c r="U89" t="s">
        <v>2223</v>
      </c>
      <c r="BK89" t="s">
        <v>2224</v>
      </c>
      <c r="BL89" t="s">
        <v>2225</v>
      </c>
    </row>
    <row r="90" spans="1:64" x14ac:dyDescent="0.55000000000000004">
      <c r="A90" t="s">
        <v>755</v>
      </c>
      <c r="B90" t="s">
        <v>756</v>
      </c>
      <c r="C90" t="s">
        <v>763</v>
      </c>
      <c r="D90" t="s">
        <v>2226</v>
      </c>
      <c r="E90" t="s">
        <v>2227</v>
      </c>
      <c r="F90" t="s">
        <v>2228</v>
      </c>
      <c r="G90" t="s">
        <v>2229</v>
      </c>
      <c r="H90" t="s">
        <v>2230</v>
      </c>
      <c r="I90" t="s">
        <v>2231</v>
      </c>
      <c r="J90" t="s">
        <v>2232</v>
      </c>
      <c r="K90" t="s">
        <v>2233</v>
      </c>
      <c r="L90" t="s">
        <v>2234</v>
      </c>
      <c r="M90" t="s">
        <v>2235</v>
      </c>
      <c r="N90" t="s">
        <v>2236</v>
      </c>
      <c r="O90" t="s">
        <v>2235</v>
      </c>
      <c r="P90" t="s">
        <v>2235</v>
      </c>
      <c r="Q90" t="s">
        <v>2235</v>
      </c>
      <c r="R90" t="s">
        <v>2236</v>
      </c>
      <c r="S90" t="s">
        <v>2237</v>
      </c>
      <c r="T90" t="s">
        <v>2238</v>
      </c>
      <c r="U90" t="s">
        <v>2239</v>
      </c>
      <c r="BK90" t="s">
        <v>2240</v>
      </c>
      <c r="BL90" t="s">
        <v>2241</v>
      </c>
    </row>
    <row r="91" spans="1:64" x14ac:dyDescent="0.55000000000000004">
      <c r="A91" t="s">
        <v>768</v>
      </c>
      <c r="B91" t="s">
        <v>769</v>
      </c>
      <c r="C91" t="s">
        <v>776</v>
      </c>
      <c r="D91" t="s">
        <v>2242</v>
      </c>
      <c r="E91" t="s">
        <v>2243</v>
      </c>
      <c r="F91" t="s">
        <v>2244</v>
      </c>
      <c r="G91" t="s">
        <v>2245</v>
      </c>
      <c r="H91" t="s">
        <v>2246</v>
      </c>
      <c r="I91" t="s">
        <v>2247</v>
      </c>
      <c r="J91" t="s">
        <v>2248</v>
      </c>
      <c r="K91" t="s">
        <v>2249</v>
      </c>
      <c r="L91" t="s">
        <v>2250</v>
      </c>
      <c r="M91" t="s">
        <v>2251</v>
      </c>
      <c r="N91" t="s">
        <v>2251</v>
      </c>
      <c r="O91" t="s">
        <v>2251</v>
      </c>
      <c r="P91" t="s">
        <v>2251</v>
      </c>
      <c r="Q91" t="s">
        <v>2251</v>
      </c>
      <c r="R91" t="s">
        <v>2251</v>
      </c>
      <c r="S91" t="s">
        <v>2252</v>
      </c>
      <c r="T91" t="s">
        <v>2253</v>
      </c>
      <c r="U91" t="s">
        <v>2254</v>
      </c>
      <c r="BK91" t="s">
        <v>2255</v>
      </c>
      <c r="BL91" t="s">
        <v>2256</v>
      </c>
    </row>
    <row r="92" spans="1:64" x14ac:dyDescent="0.55000000000000004">
      <c r="A92" t="s">
        <v>768</v>
      </c>
      <c r="B92" t="s">
        <v>781</v>
      </c>
      <c r="C92" t="s">
        <v>776</v>
      </c>
      <c r="D92" t="s">
        <v>2257</v>
      </c>
      <c r="E92" t="s">
        <v>2258</v>
      </c>
      <c r="F92" t="s">
        <v>2259</v>
      </c>
      <c r="G92" t="s">
        <v>2260</v>
      </c>
      <c r="H92" t="s">
        <v>2261</v>
      </c>
      <c r="I92" t="s">
        <v>2262</v>
      </c>
      <c r="J92" t="s">
        <v>2263</v>
      </c>
      <c r="K92" t="s">
        <v>2264</v>
      </c>
      <c r="L92" t="s">
        <v>2265</v>
      </c>
      <c r="M92" t="s">
        <v>2251</v>
      </c>
      <c r="N92" t="s">
        <v>2251</v>
      </c>
      <c r="O92" t="s">
        <v>2251</v>
      </c>
      <c r="P92" t="s">
        <v>2251</v>
      </c>
      <c r="Q92" t="s">
        <v>2251</v>
      </c>
      <c r="R92" t="s">
        <v>2251</v>
      </c>
      <c r="S92" t="s">
        <v>2252</v>
      </c>
      <c r="T92" t="s">
        <v>2253</v>
      </c>
      <c r="U92" t="s">
        <v>2266</v>
      </c>
      <c r="BK92" t="s">
        <v>2267</v>
      </c>
      <c r="BL92" t="s">
        <v>2268</v>
      </c>
    </row>
    <row r="93" spans="1:64" x14ac:dyDescent="0.55000000000000004">
      <c r="A93" t="s">
        <v>789</v>
      </c>
      <c r="B93" t="s">
        <v>790</v>
      </c>
      <c r="C93" t="s">
        <v>232</v>
      </c>
      <c r="D93" t="s">
        <v>2269</v>
      </c>
      <c r="E93" t="s">
        <v>2270</v>
      </c>
      <c r="F93" t="s">
        <v>2271</v>
      </c>
      <c r="G93" t="s">
        <v>2272</v>
      </c>
      <c r="H93" t="s">
        <v>2273</v>
      </c>
      <c r="I93" t="s">
        <v>2274</v>
      </c>
      <c r="J93" t="s">
        <v>2275</v>
      </c>
      <c r="K93" t="s">
        <v>2276</v>
      </c>
      <c r="L93" t="s">
        <v>2277</v>
      </c>
      <c r="M93" t="s">
        <v>2278</v>
      </c>
      <c r="N93" t="s">
        <v>2278</v>
      </c>
      <c r="O93" t="s">
        <v>2278</v>
      </c>
      <c r="P93" t="s">
        <v>2278</v>
      </c>
      <c r="Q93" t="s">
        <v>2278</v>
      </c>
      <c r="R93" t="s">
        <v>2278</v>
      </c>
      <c r="S93" t="s">
        <v>2279</v>
      </c>
      <c r="T93" t="s">
        <v>2280</v>
      </c>
      <c r="U93" t="s">
        <v>2281</v>
      </c>
      <c r="BK93" t="s">
        <v>2282</v>
      </c>
      <c r="BL93" t="s">
        <v>2283</v>
      </c>
    </row>
    <row r="94" spans="1:64" x14ac:dyDescent="0.55000000000000004">
      <c r="A94" t="s">
        <v>789</v>
      </c>
      <c r="B94" t="s">
        <v>800</v>
      </c>
      <c r="C94" t="s">
        <v>232</v>
      </c>
      <c r="D94" t="s">
        <v>2284</v>
      </c>
      <c r="E94" t="s">
        <v>2285</v>
      </c>
      <c r="F94" t="s">
        <v>2286</v>
      </c>
      <c r="G94" t="s">
        <v>2287</v>
      </c>
      <c r="H94" t="s">
        <v>2273</v>
      </c>
      <c r="I94" t="s">
        <v>2288</v>
      </c>
      <c r="J94" t="s">
        <v>2289</v>
      </c>
      <c r="K94" t="s">
        <v>2290</v>
      </c>
      <c r="L94" t="s">
        <v>2291</v>
      </c>
      <c r="M94" t="s">
        <v>2292</v>
      </c>
      <c r="N94" t="s">
        <v>2292</v>
      </c>
      <c r="O94" t="s">
        <v>2292</v>
      </c>
      <c r="P94" t="s">
        <v>2292</v>
      </c>
      <c r="Q94" t="s">
        <v>2292</v>
      </c>
      <c r="R94" t="s">
        <v>2292</v>
      </c>
      <c r="S94" t="s">
        <v>2279</v>
      </c>
      <c r="T94" t="s">
        <v>2293</v>
      </c>
      <c r="U94" t="s">
        <v>2294</v>
      </c>
      <c r="BK94" t="s">
        <v>2295</v>
      </c>
      <c r="BL94" t="s">
        <v>2296</v>
      </c>
    </row>
    <row r="95" spans="1:64" x14ac:dyDescent="0.55000000000000004">
      <c r="A95" t="s">
        <v>789</v>
      </c>
      <c r="B95" t="s">
        <v>809</v>
      </c>
      <c r="C95" t="s">
        <v>232</v>
      </c>
      <c r="D95" t="s">
        <v>2297</v>
      </c>
      <c r="E95" t="s">
        <v>2298</v>
      </c>
      <c r="F95" t="s">
        <v>2299</v>
      </c>
      <c r="G95" t="s">
        <v>2300</v>
      </c>
      <c r="H95" t="s">
        <v>2273</v>
      </c>
      <c r="I95" t="s">
        <v>2301</v>
      </c>
      <c r="J95" t="s">
        <v>2302</v>
      </c>
      <c r="K95" t="s">
        <v>2290</v>
      </c>
      <c r="L95" t="s">
        <v>2303</v>
      </c>
      <c r="M95" t="s">
        <v>2304</v>
      </c>
      <c r="N95" t="s">
        <v>2304</v>
      </c>
      <c r="O95" t="s">
        <v>2304</v>
      </c>
      <c r="P95" t="s">
        <v>2304</v>
      </c>
      <c r="Q95" t="s">
        <v>2304</v>
      </c>
      <c r="R95" t="s">
        <v>2304</v>
      </c>
      <c r="S95" t="s">
        <v>2279</v>
      </c>
      <c r="T95" t="s">
        <v>2305</v>
      </c>
      <c r="U95" t="s">
        <v>2306</v>
      </c>
      <c r="BK95" t="s">
        <v>2307</v>
      </c>
      <c r="BL95" t="s">
        <v>2308</v>
      </c>
    </row>
    <row r="96" spans="1:64" x14ac:dyDescent="0.55000000000000004">
      <c r="A96" t="s">
        <v>789</v>
      </c>
      <c r="B96" t="s">
        <v>818</v>
      </c>
      <c r="C96" t="s">
        <v>232</v>
      </c>
      <c r="D96" t="s">
        <v>2309</v>
      </c>
      <c r="E96" t="s">
        <v>2310</v>
      </c>
      <c r="F96" t="s">
        <v>2311</v>
      </c>
      <c r="G96" t="s">
        <v>2312</v>
      </c>
      <c r="H96" t="s">
        <v>2273</v>
      </c>
      <c r="I96" t="s">
        <v>2313</v>
      </c>
      <c r="J96" t="s">
        <v>2314</v>
      </c>
      <c r="K96" t="s">
        <v>2290</v>
      </c>
      <c r="L96" t="s">
        <v>2315</v>
      </c>
      <c r="M96" t="s">
        <v>2316</v>
      </c>
      <c r="N96" t="s">
        <v>2316</v>
      </c>
      <c r="O96" t="s">
        <v>2316</v>
      </c>
      <c r="P96" t="s">
        <v>2316</v>
      </c>
      <c r="Q96" t="s">
        <v>2316</v>
      </c>
      <c r="R96" t="s">
        <v>2316</v>
      </c>
      <c r="S96" t="s">
        <v>2279</v>
      </c>
      <c r="T96" t="s">
        <v>2317</v>
      </c>
      <c r="U96" t="s">
        <v>2318</v>
      </c>
      <c r="BK96" t="s">
        <v>2319</v>
      </c>
      <c r="BL96" t="s">
        <v>2320</v>
      </c>
    </row>
    <row r="97" spans="1:64" x14ac:dyDescent="0.55000000000000004">
      <c r="A97" t="s">
        <v>789</v>
      </c>
      <c r="B97" t="s">
        <v>824</v>
      </c>
      <c r="C97" t="s">
        <v>232</v>
      </c>
      <c r="D97" t="s">
        <v>2321</v>
      </c>
      <c r="E97" t="s">
        <v>2322</v>
      </c>
      <c r="F97" t="s">
        <v>2323</v>
      </c>
      <c r="G97" t="s">
        <v>2324</v>
      </c>
      <c r="H97" t="s">
        <v>2273</v>
      </c>
      <c r="I97" t="s">
        <v>2325</v>
      </c>
      <c r="J97" t="s">
        <v>2314</v>
      </c>
      <c r="K97" t="s">
        <v>2290</v>
      </c>
      <c r="L97" t="s">
        <v>2326</v>
      </c>
      <c r="M97" t="s">
        <v>2327</v>
      </c>
      <c r="N97" t="s">
        <v>2328</v>
      </c>
      <c r="O97" t="s">
        <v>2329</v>
      </c>
      <c r="P97" t="s">
        <v>2330</v>
      </c>
      <c r="Q97" t="s">
        <v>2331</v>
      </c>
      <c r="R97" t="s">
        <v>2332</v>
      </c>
      <c r="S97" t="s">
        <v>2279</v>
      </c>
      <c r="T97" t="s">
        <v>2333</v>
      </c>
      <c r="U97" t="s">
        <v>2334</v>
      </c>
      <c r="BK97" t="s">
        <v>2335</v>
      </c>
      <c r="BL97" t="s">
        <v>2336</v>
      </c>
    </row>
    <row r="98" spans="1:64" x14ac:dyDescent="0.55000000000000004">
      <c r="A98" t="s">
        <v>789</v>
      </c>
      <c r="B98" t="s">
        <v>834</v>
      </c>
      <c r="C98" t="s">
        <v>232</v>
      </c>
      <c r="D98" t="s">
        <v>2337</v>
      </c>
      <c r="E98" t="s">
        <v>2338</v>
      </c>
      <c r="F98" t="s">
        <v>2339</v>
      </c>
      <c r="G98" t="s">
        <v>2340</v>
      </c>
      <c r="H98" t="s">
        <v>2273</v>
      </c>
      <c r="I98" t="s">
        <v>2341</v>
      </c>
      <c r="J98" t="s">
        <v>2314</v>
      </c>
      <c r="K98" t="s">
        <v>2290</v>
      </c>
      <c r="L98" t="s">
        <v>2342</v>
      </c>
      <c r="M98" t="s">
        <v>2343</v>
      </c>
      <c r="N98" t="s">
        <v>2343</v>
      </c>
      <c r="O98" t="s">
        <v>2343</v>
      </c>
      <c r="P98" t="s">
        <v>2343</v>
      </c>
      <c r="Q98" t="s">
        <v>2343</v>
      </c>
      <c r="R98" t="s">
        <v>2343</v>
      </c>
      <c r="S98" t="s">
        <v>2279</v>
      </c>
      <c r="T98" t="s">
        <v>2344</v>
      </c>
      <c r="U98" t="s">
        <v>2345</v>
      </c>
      <c r="BK98" t="s">
        <v>2346</v>
      </c>
      <c r="BL98" t="s">
        <v>2347</v>
      </c>
    </row>
    <row r="99" spans="1:64" x14ac:dyDescent="0.55000000000000004">
      <c r="A99" t="s">
        <v>789</v>
      </c>
      <c r="B99" t="s">
        <v>844</v>
      </c>
      <c r="C99" t="s">
        <v>232</v>
      </c>
      <c r="D99" t="s">
        <v>2348</v>
      </c>
      <c r="E99" t="s">
        <v>2349</v>
      </c>
      <c r="F99" t="s">
        <v>2350</v>
      </c>
      <c r="G99" t="s">
        <v>2351</v>
      </c>
      <c r="H99" t="s">
        <v>2273</v>
      </c>
      <c r="I99" t="s">
        <v>2341</v>
      </c>
      <c r="J99" t="s">
        <v>2314</v>
      </c>
      <c r="K99" t="s">
        <v>2290</v>
      </c>
      <c r="L99" t="s">
        <v>2352</v>
      </c>
      <c r="M99" t="s">
        <v>2353</v>
      </c>
      <c r="N99" t="s">
        <v>2353</v>
      </c>
      <c r="O99" t="s">
        <v>2353</v>
      </c>
      <c r="P99" t="s">
        <v>2353</v>
      </c>
      <c r="Q99" t="s">
        <v>2353</v>
      </c>
      <c r="R99" t="s">
        <v>2353</v>
      </c>
      <c r="S99" t="s">
        <v>2279</v>
      </c>
      <c r="T99" t="s">
        <v>2354</v>
      </c>
      <c r="U99" t="s">
        <v>2355</v>
      </c>
      <c r="BK99" t="s">
        <v>2356</v>
      </c>
      <c r="BL99" t="s">
        <v>2357</v>
      </c>
    </row>
    <row r="100" spans="1:64" x14ac:dyDescent="0.55000000000000004">
      <c r="A100" t="s">
        <v>789</v>
      </c>
      <c r="B100" t="s">
        <v>853</v>
      </c>
      <c r="C100" t="s">
        <v>232</v>
      </c>
      <c r="D100" t="s">
        <v>2358</v>
      </c>
      <c r="E100" t="s">
        <v>2359</v>
      </c>
      <c r="F100" t="s">
        <v>2360</v>
      </c>
      <c r="G100" t="s">
        <v>2361</v>
      </c>
      <c r="H100" t="s">
        <v>2273</v>
      </c>
      <c r="I100" t="s">
        <v>2362</v>
      </c>
      <c r="J100" t="s">
        <v>2314</v>
      </c>
      <c r="K100" t="s">
        <v>2290</v>
      </c>
      <c r="L100" t="s">
        <v>2363</v>
      </c>
      <c r="M100" t="s">
        <v>2364</v>
      </c>
      <c r="N100" t="s">
        <v>2328</v>
      </c>
      <c r="O100" t="s">
        <v>2365</v>
      </c>
      <c r="P100" t="s">
        <v>2366</v>
      </c>
      <c r="Q100" t="s">
        <v>2367</v>
      </c>
      <c r="R100" t="s">
        <v>2368</v>
      </c>
      <c r="S100" t="s">
        <v>2279</v>
      </c>
      <c r="T100" t="s">
        <v>2369</v>
      </c>
      <c r="U100" t="s">
        <v>2370</v>
      </c>
      <c r="BK100" t="s">
        <v>2371</v>
      </c>
      <c r="BL100" t="s">
        <v>2372</v>
      </c>
    </row>
    <row r="101" spans="1:64" x14ac:dyDescent="0.55000000000000004">
      <c r="A101" t="s">
        <v>862</v>
      </c>
      <c r="B101" t="s">
        <v>863</v>
      </c>
      <c r="C101" t="s">
        <v>232</v>
      </c>
      <c r="D101" t="s">
        <v>2373</v>
      </c>
      <c r="E101" t="s">
        <v>2374</v>
      </c>
      <c r="F101" t="s">
        <v>2375</v>
      </c>
      <c r="G101" t="s">
        <v>2376</v>
      </c>
      <c r="H101" t="s">
        <v>2377</v>
      </c>
      <c r="I101" t="s">
        <v>2378</v>
      </c>
      <c r="J101" t="s">
        <v>2379</v>
      </c>
      <c r="K101" t="s">
        <v>2380</v>
      </c>
      <c r="L101" t="s">
        <v>2381</v>
      </c>
      <c r="M101" t="s">
        <v>2382</v>
      </c>
      <c r="N101" t="s">
        <v>2383</v>
      </c>
      <c r="O101" t="s">
        <v>2384</v>
      </c>
      <c r="P101" t="s">
        <v>2385</v>
      </c>
      <c r="Q101" t="s">
        <v>2386</v>
      </c>
      <c r="R101" t="s">
        <v>2387</v>
      </c>
      <c r="S101" t="s">
        <v>2388</v>
      </c>
      <c r="T101" t="s">
        <v>2389</v>
      </c>
      <c r="U101" t="s">
        <v>2390</v>
      </c>
      <c r="BK101" t="s">
        <v>2391</v>
      </c>
      <c r="BL101" t="s">
        <v>2392</v>
      </c>
    </row>
    <row r="102" spans="1:64" x14ac:dyDescent="0.55000000000000004">
      <c r="A102" t="s">
        <v>862</v>
      </c>
      <c r="B102" t="s">
        <v>872</v>
      </c>
      <c r="C102" t="s">
        <v>232</v>
      </c>
      <c r="D102" t="s">
        <v>2373</v>
      </c>
      <c r="E102" t="s">
        <v>2374</v>
      </c>
      <c r="F102" t="s">
        <v>2393</v>
      </c>
      <c r="G102" t="s">
        <v>2394</v>
      </c>
      <c r="H102" t="s">
        <v>2377</v>
      </c>
      <c r="I102" t="s">
        <v>2378</v>
      </c>
      <c r="J102" t="s">
        <v>2395</v>
      </c>
      <c r="K102" t="s">
        <v>2380</v>
      </c>
      <c r="L102" t="s">
        <v>2381</v>
      </c>
      <c r="M102" t="s">
        <v>2396</v>
      </c>
      <c r="N102" t="s">
        <v>2397</v>
      </c>
      <c r="O102" t="s">
        <v>2384</v>
      </c>
      <c r="P102" t="s">
        <v>2385</v>
      </c>
      <c r="Q102" t="s">
        <v>2398</v>
      </c>
      <c r="R102" t="s">
        <v>2399</v>
      </c>
      <c r="S102" t="s">
        <v>2388</v>
      </c>
      <c r="T102" t="s">
        <v>2389</v>
      </c>
      <c r="U102" t="s">
        <v>2400</v>
      </c>
      <c r="BK102" t="s">
        <v>2401</v>
      </c>
      <c r="BL102" t="s">
        <v>2402</v>
      </c>
    </row>
    <row r="103" spans="1:64" x14ac:dyDescent="0.55000000000000004">
      <c r="A103" t="s">
        <v>862</v>
      </c>
      <c r="B103" t="s">
        <v>875</v>
      </c>
      <c r="C103" t="s">
        <v>232</v>
      </c>
      <c r="D103" t="s">
        <v>2373</v>
      </c>
      <c r="E103" t="s">
        <v>2374</v>
      </c>
      <c r="F103" t="s">
        <v>2403</v>
      </c>
      <c r="G103" t="s">
        <v>2404</v>
      </c>
      <c r="H103" t="s">
        <v>2377</v>
      </c>
      <c r="I103" t="s">
        <v>2378</v>
      </c>
      <c r="J103" t="s">
        <v>2405</v>
      </c>
      <c r="K103" t="s">
        <v>2406</v>
      </c>
      <c r="L103" t="s">
        <v>2381</v>
      </c>
      <c r="M103" t="s">
        <v>2407</v>
      </c>
      <c r="N103" t="s">
        <v>2408</v>
      </c>
      <c r="O103" t="s">
        <v>2384</v>
      </c>
      <c r="P103" t="s">
        <v>2385</v>
      </c>
      <c r="Q103" t="s">
        <v>2409</v>
      </c>
      <c r="R103" t="s">
        <v>2387</v>
      </c>
      <c r="S103" t="s">
        <v>2388</v>
      </c>
      <c r="T103" t="s">
        <v>2389</v>
      </c>
      <c r="U103" t="s">
        <v>2410</v>
      </c>
      <c r="BK103" t="s">
        <v>2411</v>
      </c>
      <c r="BL103" t="s">
        <v>2402</v>
      </c>
    </row>
    <row r="104" spans="1:64" x14ac:dyDescent="0.55000000000000004">
      <c r="A104" t="s">
        <v>862</v>
      </c>
      <c r="B104" t="s">
        <v>878</v>
      </c>
      <c r="C104" t="s">
        <v>232</v>
      </c>
      <c r="D104" t="s">
        <v>2373</v>
      </c>
      <c r="E104" t="s">
        <v>2374</v>
      </c>
      <c r="F104" t="s">
        <v>2412</v>
      </c>
      <c r="G104" t="s">
        <v>2413</v>
      </c>
      <c r="H104" t="s">
        <v>2377</v>
      </c>
      <c r="I104" t="s">
        <v>2378</v>
      </c>
      <c r="J104" t="s">
        <v>2414</v>
      </c>
      <c r="K104" t="s">
        <v>2406</v>
      </c>
      <c r="L104" t="s">
        <v>2381</v>
      </c>
      <c r="M104" t="s">
        <v>2415</v>
      </c>
      <c r="N104" t="s">
        <v>2416</v>
      </c>
      <c r="O104" t="s">
        <v>2384</v>
      </c>
      <c r="P104" t="s">
        <v>2385</v>
      </c>
      <c r="Q104" t="s">
        <v>2409</v>
      </c>
      <c r="R104" t="s">
        <v>2387</v>
      </c>
      <c r="S104" t="s">
        <v>2388</v>
      </c>
      <c r="T104" t="s">
        <v>2389</v>
      </c>
      <c r="U104" t="s">
        <v>2417</v>
      </c>
      <c r="BK104" t="s">
        <v>2418</v>
      </c>
      <c r="BL104" t="s">
        <v>2402</v>
      </c>
    </row>
    <row r="105" spans="1:64" x14ac:dyDescent="0.55000000000000004">
      <c r="A105" t="s">
        <v>882</v>
      </c>
      <c r="B105" t="s">
        <v>471</v>
      </c>
      <c r="C105" t="s">
        <v>889</v>
      </c>
      <c r="D105" t="s">
        <v>2419</v>
      </c>
      <c r="E105" t="s">
        <v>2420</v>
      </c>
      <c r="F105" t="s">
        <v>2421</v>
      </c>
      <c r="G105" t="s">
        <v>2422</v>
      </c>
      <c r="H105" t="s">
        <v>2423</v>
      </c>
      <c r="I105" t="s">
        <v>2424</v>
      </c>
      <c r="J105" t="s">
        <v>2425</v>
      </c>
      <c r="K105" t="s">
        <v>2426</v>
      </c>
      <c r="L105" t="s">
        <v>2427</v>
      </c>
      <c r="M105" t="s">
        <v>1793</v>
      </c>
      <c r="N105" t="s">
        <v>2428</v>
      </c>
      <c r="O105" t="s">
        <v>2429</v>
      </c>
      <c r="P105" t="s">
        <v>2430</v>
      </c>
      <c r="Q105" t="s">
        <v>2431</v>
      </c>
      <c r="R105" t="s">
        <v>2432</v>
      </c>
      <c r="S105" t="s">
        <v>2433</v>
      </c>
      <c r="T105" t="s">
        <v>2434</v>
      </c>
      <c r="U105" t="s">
        <v>2435</v>
      </c>
      <c r="BK105" t="s">
        <v>2436</v>
      </c>
      <c r="BL105" t="s">
        <v>2437</v>
      </c>
    </row>
    <row r="106" spans="1:64" x14ac:dyDescent="0.55000000000000004">
      <c r="A106" t="s">
        <v>893</v>
      </c>
      <c r="B106" t="s">
        <v>894</v>
      </c>
      <c r="C106" t="s">
        <v>438</v>
      </c>
      <c r="D106" t="s">
        <v>2438</v>
      </c>
      <c r="E106" t="s">
        <v>2439</v>
      </c>
      <c r="F106" t="s">
        <v>2440</v>
      </c>
      <c r="G106" t="s">
        <v>2441</v>
      </c>
      <c r="H106" t="s">
        <v>2442</v>
      </c>
      <c r="I106" t="s">
        <v>2443</v>
      </c>
      <c r="J106" t="s">
        <v>2444</v>
      </c>
      <c r="K106" t="s">
        <v>2445</v>
      </c>
      <c r="L106" t="s">
        <v>2446</v>
      </c>
      <c r="M106" t="s">
        <v>2447</v>
      </c>
      <c r="N106" t="s">
        <v>2448</v>
      </c>
      <c r="O106" t="s">
        <v>2449</v>
      </c>
      <c r="P106" t="s">
        <v>2450</v>
      </c>
      <c r="Q106" t="s">
        <v>2451</v>
      </c>
      <c r="R106" t="s">
        <v>2452</v>
      </c>
      <c r="S106" t="s">
        <v>2453</v>
      </c>
      <c r="T106" t="s">
        <v>2454</v>
      </c>
      <c r="U106" t="s">
        <v>2455</v>
      </c>
      <c r="BK106" t="s">
        <v>2456</v>
      </c>
      <c r="BL106" t="s">
        <v>2457</v>
      </c>
    </row>
    <row r="107" spans="1:64" x14ac:dyDescent="0.55000000000000004">
      <c r="A107" t="s">
        <v>893</v>
      </c>
      <c r="B107" t="s">
        <v>904</v>
      </c>
      <c r="C107" t="s">
        <v>438</v>
      </c>
      <c r="D107" t="s">
        <v>2458</v>
      </c>
      <c r="E107" t="s">
        <v>2459</v>
      </c>
      <c r="F107" t="s">
        <v>2460</v>
      </c>
      <c r="G107" t="s">
        <v>2461</v>
      </c>
      <c r="H107" t="s">
        <v>2442</v>
      </c>
      <c r="I107" t="s">
        <v>2462</v>
      </c>
      <c r="J107" t="s">
        <v>2463</v>
      </c>
      <c r="K107" t="s">
        <v>2464</v>
      </c>
      <c r="L107" t="s">
        <v>2465</v>
      </c>
      <c r="M107" t="s">
        <v>2466</v>
      </c>
      <c r="N107" t="s">
        <v>2448</v>
      </c>
      <c r="O107" t="s">
        <v>2449</v>
      </c>
      <c r="P107" t="s">
        <v>2467</v>
      </c>
      <c r="Q107" t="s">
        <v>2451</v>
      </c>
      <c r="R107" t="s">
        <v>2452</v>
      </c>
      <c r="S107" t="s">
        <v>2453</v>
      </c>
      <c r="T107" t="s">
        <v>2454</v>
      </c>
      <c r="U107" t="s">
        <v>2468</v>
      </c>
      <c r="BK107" t="s">
        <v>2469</v>
      </c>
      <c r="BL107" t="s">
        <v>2470</v>
      </c>
    </row>
    <row r="108" spans="1:64" x14ac:dyDescent="0.55000000000000004">
      <c r="A108" t="s">
        <v>910</v>
      </c>
      <c r="B108" t="s">
        <v>911</v>
      </c>
      <c r="C108" t="s">
        <v>918</v>
      </c>
      <c r="D108" t="s">
        <v>2471</v>
      </c>
      <c r="E108" t="s">
        <v>2472</v>
      </c>
      <c r="F108" t="s">
        <v>2473</v>
      </c>
      <c r="G108" t="s">
        <v>2474</v>
      </c>
      <c r="H108" t="s">
        <v>2475</v>
      </c>
      <c r="I108" t="s">
        <v>2476</v>
      </c>
      <c r="J108" t="s">
        <v>2477</v>
      </c>
      <c r="K108" t="s">
        <v>2478</v>
      </c>
      <c r="L108" t="s">
        <v>2479</v>
      </c>
      <c r="M108" t="s">
        <v>2480</v>
      </c>
      <c r="N108" t="s">
        <v>2481</v>
      </c>
      <c r="O108" t="s">
        <v>2482</v>
      </c>
      <c r="P108" t="s">
        <v>2483</v>
      </c>
      <c r="Q108" t="s">
        <v>2484</v>
      </c>
      <c r="R108" t="s">
        <v>2485</v>
      </c>
      <c r="S108" t="s">
        <v>2486</v>
      </c>
      <c r="T108" t="s">
        <v>2487</v>
      </c>
      <c r="U108" t="s">
        <v>2488</v>
      </c>
      <c r="BK108" t="s">
        <v>2489</v>
      </c>
      <c r="BL108" t="s">
        <v>2490</v>
      </c>
    </row>
    <row r="109" spans="1:64" x14ac:dyDescent="0.55000000000000004">
      <c r="A109" t="s">
        <v>922</v>
      </c>
      <c r="B109" t="s">
        <v>923</v>
      </c>
      <c r="C109" t="s">
        <v>99</v>
      </c>
      <c r="D109" t="s">
        <v>2491</v>
      </c>
      <c r="E109" t="s">
        <v>2492</v>
      </c>
      <c r="F109" t="s">
        <v>2493</v>
      </c>
      <c r="G109" t="s">
        <v>2494</v>
      </c>
      <c r="H109" t="s">
        <v>2495</v>
      </c>
      <c r="I109" t="s">
        <v>2496</v>
      </c>
      <c r="J109" t="s">
        <v>2497</v>
      </c>
      <c r="K109" t="s">
        <v>2498</v>
      </c>
      <c r="L109" t="s">
        <v>2499</v>
      </c>
      <c r="M109" t="s">
        <v>2500</v>
      </c>
      <c r="N109" t="s">
        <v>2501</v>
      </c>
      <c r="O109" t="s">
        <v>2502</v>
      </c>
      <c r="P109" t="s">
        <v>2503</v>
      </c>
      <c r="Q109" t="s">
        <v>2504</v>
      </c>
      <c r="R109" t="s">
        <v>2505</v>
      </c>
      <c r="S109" t="s">
        <v>2506</v>
      </c>
      <c r="T109" t="s">
        <v>2507</v>
      </c>
      <c r="U109" t="s">
        <v>2508</v>
      </c>
      <c r="BK109" t="s">
        <v>2509</v>
      </c>
      <c r="BL109" t="s">
        <v>2510</v>
      </c>
    </row>
    <row r="110" spans="1:64" x14ac:dyDescent="0.55000000000000004">
      <c r="A110" t="s">
        <v>789</v>
      </c>
      <c r="B110" t="s">
        <v>932</v>
      </c>
      <c r="C110" t="s">
        <v>232</v>
      </c>
      <c r="D110" t="s">
        <v>2511</v>
      </c>
      <c r="E110" t="s">
        <v>2512</v>
      </c>
      <c r="F110" t="s">
        <v>2513</v>
      </c>
      <c r="G110" t="s">
        <v>2514</v>
      </c>
      <c r="H110" t="s">
        <v>2515</v>
      </c>
      <c r="I110" t="s">
        <v>2516</v>
      </c>
      <c r="J110" t="s">
        <v>2517</v>
      </c>
      <c r="K110" t="s">
        <v>2498</v>
      </c>
      <c r="L110" t="s">
        <v>2518</v>
      </c>
      <c r="M110" t="s">
        <v>2519</v>
      </c>
      <c r="N110" t="s">
        <v>2519</v>
      </c>
      <c r="O110" t="s">
        <v>2519</v>
      </c>
      <c r="P110" t="s">
        <v>2519</v>
      </c>
      <c r="Q110" t="s">
        <v>2519</v>
      </c>
      <c r="R110" t="s">
        <v>2519</v>
      </c>
      <c r="S110" t="s">
        <v>2520</v>
      </c>
      <c r="T110" t="s">
        <v>2521</v>
      </c>
      <c r="U110" t="s">
        <v>2522</v>
      </c>
      <c r="BK110" t="s">
        <v>2523</v>
      </c>
      <c r="BL110" t="s">
        <v>2524</v>
      </c>
    </row>
    <row r="111" spans="1:64" x14ac:dyDescent="0.55000000000000004">
      <c r="A111" t="s">
        <v>941</v>
      </c>
      <c r="B111" t="s">
        <v>942</v>
      </c>
      <c r="C111" t="s">
        <v>949</v>
      </c>
      <c r="D111" t="s">
        <v>2525</v>
      </c>
      <c r="E111" t="s">
        <v>2526</v>
      </c>
      <c r="F111" t="s">
        <v>2527</v>
      </c>
      <c r="G111" t="s">
        <v>2528</v>
      </c>
      <c r="H111" t="s">
        <v>2529</v>
      </c>
      <c r="I111" t="s">
        <v>2530</v>
      </c>
      <c r="J111" t="s">
        <v>2531</v>
      </c>
      <c r="K111" t="s">
        <v>2532</v>
      </c>
      <c r="L111" t="s">
        <v>2533</v>
      </c>
      <c r="M111" t="s">
        <v>2480</v>
      </c>
      <c r="N111" t="s">
        <v>2534</v>
      </c>
      <c r="O111" t="s">
        <v>2535</v>
      </c>
      <c r="P111" t="s">
        <v>2536</v>
      </c>
      <c r="Q111" t="s">
        <v>2537</v>
      </c>
      <c r="R111" t="s">
        <v>2538</v>
      </c>
      <c r="S111" t="s">
        <v>2539</v>
      </c>
      <c r="T111" t="s">
        <v>2540</v>
      </c>
      <c r="U111" t="s">
        <v>2541</v>
      </c>
      <c r="BK111" t="s">
        <v>2542</v>
      </c>
      <c r="BL111" t="s">
        <v>2543</v>
      </c>
    </row>
    <row r="112" spans="1:64" x14ac:dyDescent="0.55000000000000004">
      <c r="A112" t="s">
        <v>953</v>
      </c>
      <c r="B112" t="s">
        <v>954</v>
      </c>
      <c r="C112" t="s">
        <v>961</v>
      </c>
      <c r="D112" t="s">
        <v>2544</v>
      </c>
      <c r="E112" t="s">
        <v>2545</v>
      </c>
      <c r="F112" t="s">
        <v>2546</v>
      </c>
      <c r="G112" t="s">
        <v>2547</v>
      </c>
      <c r="H112" t="s">
        <v>2548</v>
      </c>
      <c r="I112" t="s">
        <v>2549</v>
      </c>
      <c r="J112" t="s">
        <v>2550</v>
      </c>
      <c r="K112" t="s">
        <v>2498</v>
      </c>
      <c r="L112" t="s">
        <v>2551</v>
      </c>
      <c r="M112" t="s">
        <v>2552</v>
      </c>
      <c r="N112" t="s">
        <v>2552</v>
      </c>
      <c r="O112" t="s">
        <v>2552</v>
      </c>
      <c r="P112" t="s">
        <v>2552</v>
      </c>
      <c r="Q112" t="s">
        <v>2552</v>
      </c>
      <c r="R112" t="s">
        <v>2552</v>
      </c>
      <c r="S112" t="s">
        <v>2553</v>
      </c>
      <c r="T112" t="s">
        <v>2554</v>
      </c>
      <c r="U112" t="s">
        <v>2555</v>
      </c>
      <c r="BK112" t="s">
        <v>2556</v>
      </c>
      <c r="BL112" t="s">
        <v>2557</v>
      </c>
    </row>
    <row r="113" spans="1:64" x14ac:dyDescent="0.55000000000000004">
      <c r="A113" t="s">
        <v>953</v>
      </c>
      <c r="B113" t="s">
        <v>965</v>
      </c>
      <c r="C113" t="s">
        <v>961</v>
      </c>
      <c r="D113" t="s">
        <v>2558</v>
      </c>
      <c r="E113" t="s">
        <v>2559</v>
      </c>
      <c r="F113" t="s">
        <v>2560</v>
      </c>
      <c r="G113" t="s">
        <v>2561</v>
      </c>
      <c r="H113" t="s">
        <v>2562</v>
      </c>
      <c r="I113" t="s">
        <v>2563</v>
      </c>
      <c r="J113" t="s">
        <v>2564</v>
      </c>
      <c r="K113" t="s">
        <v>2498</v>
      </c>
      <c r="L113" t="s">
        <v>2565</v>
      </c>
      <c r="M113" t="s">
        <v>2552</v>
      </c>
      <c r="N113" t="s">
        <v>2552</v>
      </c>
      <c r="O113" t="s">
        <v>2552</v>
      </c>
      <c r="P113" t="s">
        <v>2552</v>
      </c>
      <c r="Q113" t="s">
        <v>2552</v>
      </c>
      <c r="R113" t="s">
        <v>2552</v>
      </c>
      <c r="S113" t="s">
        <v>2553</v>
      </c>
      <c r="T113" t="s">
        <v>2554</v>
      </c>
      <c r="U113" t="s">
        <v>2566</v>
      </c>
      <c r="BK113" t="s">
        <v>2556</v>
      </c>
      <c r="BL113" t="s">
        <v>2567</v>
      </c>
    </row>
    <row r="114" spans="1:64" x14ac:dyDescent="0.55000000000000004">
      <c r="A114" t="s">
        <v>953</v>
      </c>
      <c r="B114" t="s">
        <v>968</v>
      </c>
      <c r="C114" t="s">
        <v>961</v>
      </c>
      <c r="D114" t="s">
        <v>2568</v>
      </c>
      <c r="E114" t="s">
        <v>2559</v>
      </c>
      <c r="F114" t="s">
        <v>2569</v>
      </c>
      <c r="G114" t="s">
        <v>2570</v>
      </c>
      <c r="H114" t="s">
        <v>2562</v>
      </c>
      <c r="I114" t="s">
        <v>2571</v>
      </c>
      <c r="J114" t="s">
        <v>2572</v>
      </c>
      <c r="K114" t="s">
        <v>2498</v>
      </c>
      <c r="L114" t="s">
        <v>2573</v>
      </c>
      <c r="M114" t="s">
        <v>2552</v>
      </c>
      <c r="N114" t="s">
        <v>2552</v>
      </c>
      <c r="O114" t="s">
        <v>2552</v>
      </c>
      <c r="P114" t="s">
        <v>2552</v>
      </c>
      <c r="Q114" t="s">
        <v>2552</v>
      </c>
      <c r="R114" t="s">
        <v>2552</v>
      </c>
      <c r="S114" t="s">
        <v>2553</v>
      </c>
      <c r="T114" t="s">
        <v>2554</v>
      </c>
      <c r="U114" t="s">
        <v>2574</v>
      </c>
      <c r="BK114" t="s">
        <v>2556</v>
      </c>
      <c r="BL114" t="s">
        <v>2575</v>
      </c>
    </row>
    <row r="115" spans="1:64" x14ac:dyDescent="0.55000000000000004">
      <c r="A115" t="s">
        <v>973</v>
      </c>
      <c r="B115" t="s">
        <v>974</v>
      </c>
      <c r="C115" t="s">
        <v>232</v>
      </c>
      <c r="D115" t="s">
        <v>2576</v>
      </c>
      <c r="E115" t="s">
        <v>2577</v>
      </c>
      <c r="F115" t="s">
        <v>2578</v>
      </c>
      <c r="G115" t="s">
        <v>2579</v>
      </c>
      <c r="H115" t="s">
        <v>2580</v>
      </c>
      <c r="I115" t="s">
        <v>2581</v>
      </c>
      <c r="J115" t="s">
        <v>2582</v>
      </c>
      <c r="K115" t="s">
        <v>2583</v>
      </c>
      <c r="L115" t="s">
        <v>2584</v>
      </c>
      <c r="M115" t="s">
        <v>2585</v>
      </c>
      <c r="N115" t="s">
        <v>2585</v>
      </c>
      <c r="O115" t="s">
        <v>2585</v>
      </c>
      <c r="P115" t="s">
        <v>2585</v>
      </c>
      <c r="Q115" t="s">
        <v>2585</v>
      </c>
      <c r="R115" t="s">
        <v>2585</v>
      </c>
      <c r="S115" t="s">
        <v>2586</v>
      </c>
      <c r="T115" t="s">
        <v>2587</v>
      </c>
      <c r="U115" t="s">
        <v>2588</v>
      </c>
      <c r="BK115" t="s">
        <v>2589</v>
      </c>
      <c r="BL115" t="s">
        <v>2590</v>
      </c>
    </row>
    <row r="116" spans="1:64" x14ac:dyDescent="0.55000000000000004">
      <c r="A116" t="s">
        <v>985</v>
      </c>
      <c r="B116" t="s">
        <v>986</v>
      </c>
      <c r="C116" t="s">
        <v>232</v>
      </c>
      <c r="D116" t="s">
        <v>2591</v>
      </c>
      <c r="E116" t="s">
        <v>2592</v>
      </c>
      <c r="F116" t="s">
        <v>2593</v>
      </c>
      <c r="G116" t="s">
        <v>2594</v>
      </c>
      <c r="H116" t="s">
        <v>2580</v>
      </c>
      <c r="I116" t="s">
        <v>2595</v>
      </c>
      <c r="J116" t="s">
        <v>2596</v>
      </c>
      <c r="K116" t="s">
        <v>2597</v>
      </c>
      <c r="L116" t="s">
        <v>2598</v>
      </c>
      <c r="M116" t="s">
        <v>2599</v>
      </c>
      <c r="N116" t="s">
        <v>2600</v>
      </c>
      <c r="O116" t="s">
        <v>2601</v>
      </c>
      <c r="P116" t="s">
        <v>2602</v>
      </c>
      <c r="Q116" t="s">
        <v>2603</v>
      </c>
      <c r="R116" t="s">
        <v>2604</v>
      </c>
      <c r="S116" t="s">
        <v>2605</v>
      </c>
      <c r="T116" t="s">
        <v>2606</v>
      </c>
      <c r="U116" t="s">
        <v>2607</v>
      </c>
      <c r="BK116" t="s">
        <v>2608</v>
      </c>
      <c r="BL116" t="s">
        <v>2609</v>
      </c>
    </row>
    <row r="117" spans="1:64" x14ac:dyDescent="0.55000000000000004">
      <c r="A117" t="s">
        <v>995</v>
      </c>
      <c r="B117" t="s">
        <v>996</v>
      </c>
      <c r="C117" t="s">
        <v>232</v>
      </c>
      <c r="D117" t="s">
        <v>2610</v>
      </c>
      <c r="E117" t="s">
        <v>2611</v>
      </c>
      <c r="F117" t="s">
        <v>2612</v>
      </c>
      <c r="G117" t="s">
        <v>2613</v>
      </c>
      <c r="H117" t="s">
        <v>2580</v>
      </c>
      <c r="I117" t="s">
        <v>2614</v>
      </c>
      <c r="J117" t="s">
        <v>2615</v>
      </c>
      <c r="K117" t="s">
        <v>2616</v>
      </c>
      <c r="L117" t="s">
        <v>2617</v>
      </c>
      <c r="M117" t="s">
        <v>2618</v>
      </c>
      <c r="N117" t="s">
        <v>2618</v>
      </c>
      <c r="O117" t="s">
        <v>2618</v>
      </c>
      <c r="P117" t="s">
        <v>2618</v>
      </c>
      <c r="Q117" t="s">
        <v>2618</v>
      </c>
      <c r="R117" t="s">
        <v>2618</v>
      </c>
      <c r="S117" t="s">
        <v>2619</v>
      </c>
      <c r="T117" t="s">
        <v>2620</v>
      </c>
      <c r="U117" t="s">
        <v>2621</v>
      </c>
      <c r="BK117" t="s">
        <v>2622</v>
      </c>
      <c r="BL117" t="s">
        <v>2623</v>
      </c>
    </row>
    <row r="118" spans="1:64" x14ac:dyDescent="0.55000000000000004">
      <c r="A118" t="s">
        <v>1004</v>
      </c>
      <c r="B118" t="s">
        <v>1005</v>
      </c>
      <c r="C118" t="s">
        <v>232</v>
      </c>
      <c r="D118" t="s">
        <v>2624</v>
      </c>
      <c r="E118" t="s">
        <v>2625</v>
      </c>
      <c r="F118" t="s">
        <v>2626</v>
      </c>
      <c r="G118" t="s">
        <v>2627</v>
      </c>
      <c r="H118" t="s">
        <v>2580</v>
      </c>
      <c r="I118" t="s">
        <v>2628</v>
      </c>
      <c r="J118" t="s">
        <v>2629</v>
      </c>
      <c r="K118" t="s">
        <v>2498</v>
      </c>
      <c r="L118" t="s">
        <v>2630</v>
      </c>
      <c r="M118" t="s">
        <v>2631</v>
      </c>
      <c r="N118" t="s">
        <v>2631</v>
      </c>
      <c r="O118" t="s">
        <v>2631</v>
      </c>
      <c r="P118" t="s">
        <v>2631</v>
      </c>
      <c r="Q118" t="s">
        <v>2631</v>
      </c>
      <c r="R118" t="s">
        <v>2631</v>
      </c>
      <c r="S118" t="s">
        <v>2632</v>
      </c>
      <c r="T118" t="s">
        <v>2633</v>
      </c>
      <c r="U118" t="s">
        <v>2634</v>
      </c>
      <c r="BK118" t="s">
        <v>2635</v>
      </c>
      <c r="BL118" t="s">
        <v>2636</v>
      </c>
    </row>
    <row r="119" spans="1:64" x14ac:dyDescent="0.55000000000000004">
      <c r="A119" t="s">
        <v>1004</v>
      </c>
      <c r="B119" t="s">
        <v>1013</v>
      </c>
      <c r="C119" t="s">
        <v>232</v>
      </c>
      <c r="D119" t="s">
        <v>2637</v>
      </c>
      <c r="E119" t="s">
        <v>2638</v>
      </c>
      <c r="F119" t="s">
        <v>2639</v>
      </c>
      <c r="G119" t="s">
        <v>2627</v>
      </c>
      <c r="H119" t="s">
        <v>2580</v>
      </c>
      <c r="I119" t="s">
        <v>2640</v>
      </c>
      <c r="J119" t="s">
        <v>2629</v>
      </c>
      <c r="K119" t="s">
        <v>2498</v>
      </c>
      <c r="L119" t="s">
        <v>2641</v>
      </c>
      <c r="M119" t="s">
        <v>2631</v>
      </c>
      <c r="N119" t="s">
        <v>2631</v>
      </c>
      <c r="O119" t="s">
        <v>2631</v>
      </c>
      <c r="P119" t="s">
        <v>2631</v>
      </c>
      <c r="Q119" t="s">
        <v>2631</v>
      </c>
      <c r="R119" t="s">
        <v>2631</v>
      </c>
      <c r="S119" t="s">
        <v>2632</v>
      </c>
      <c r="T119" t="s">
        <v>2633</v>
      </c>
      <c r="U119" t="s">
        <v>2642</v>
      </c>
      <c r="BK119" t="s">
        <v>2643</v>
      </c>
      <c r="BL119" t="s">
        <v>2644</v>
      </c>
    </row>
    <row r="120" spans="1:64" x14ac:dyDescent="0.55000000000000004">
      <c r="A120" t="s">
        <v>1022</v>
      </c>
      <c r="B120" t="s">
        <v>1023</v>
      </c>
      <c r="C120" t="s">
        <v>776</v>
      </c>
      <c r="D120" t="s">
        <v>2645</v>
      </c>
      <c r="E120" t="s">
        <v>2646</v>
      </c>
      <c r="F120" t="s">
        <v>2647</v>
      </c>
      <c r="G120" t="s">
        <v>2648</v>
      </c>
      <c r="H120" t="s">
        <v>2649</v>
      </c>
      <c r="I120" t="s">
        <v>2650</v>
      </c>
      <c r="J120" t="s">
        <v>2651</v>
      </c>
      <c r="K120" t="s">
        <v>2652</v>
      </c>
      <c r="L120" t="s">
        <v>2653</v>
      </c>
      <c r="M120" t="s">
        <v>2654</v>
      </c>
      <c r="N120" t="s">
        <v>2654</v>
      </c>
      <c r="O120" t="s">
        <v>2654</v>
      </c>
      <c r="P120" t="s">
        <v>2654</v>
      </c>
      <c r="Q120" t="s">
        <v>2655</v>
      </c>
      <c r="R120" t="s">
        <v>2654</v>
      </c>
      <c r="S120" t="s">
        <v>2656</v>
      </c>
      <c r="T120" t="s">
        <v>2657</v>
      </c>
      <c r="U120" t="s">
        <v>2658</v>
      </c>
      <c r="BK120" t="s">
        <v>2659</v>
      </c>
      <c r="BL120" t="s">
        <v>2660</v>
      </c>
    </row>
    <row r="121" spans="1:64" x14ac:dyDescent="0.55000000000000004">
      <c r="A121" t="s">
        <v>1031</v>
      </c>
      <c r="B121" t="s">
        <v>1032</v>
      </c>
      <c r="C121" t="s">
        <v>1039</v>
      </c>
      <c r="D121" t="s">
        <v>2661</v>
      </c>
      <c r="E121" t="s">
        <v>2662</v>
      </c>
      <c r="F121" t="s">
        <v>2663</v>
      </c>
      <c r="G121" t="s">
        <v>2664</v>
      </c>
      <c r="H121" t="s">
        <v>2665</v>
      </c>
      <c r="I121" t="s">
        <v>2666</v>
      </c>
      <c r="J121" t="s">
        <v>2667</v>
      </c>
      <c r="K121" t="s">
        <v>2668</v>
      </c>
      <c r="L121" t="s">
        <v>2669</v>
      </c>
      <c r="M121" t="s">
        <v>2670</v>
      </c>
      <c r="N121" t="s">
        <v>2670</v>
      </c>
      <c r="O121" t="s">
        <v>2670</v>
      </c>
      <c r="P121" t="s">
        <v>2670</v>
      </c>
      <c r="Q121" t="s">
        <v>2670</v>
      </c>
      <c r="R121" t="s">
        <v>2670</v>
      </c>
      <c r="S121" t="s">
        <v>2671</v>
      </c>
      <c r="T121" t="s">
        <v>2672</v>
      </c>
      <c r="U121" t="s">
        <v>2673</v>
      </c>
      <c r="BK121" t="s">
        <v>2674</v>
      </c>
      <c r="BL121" t="s">
        <v>2675</v>
      </c>
    </row>
    <row r="122" spans="1:64" x14ac:dyDescent="0.55000000000000004">
      <c r="A122" t="s">
        <v>1043</v>
      </c>
      <c r="B122" t="s">
        <v>1044</v>
      </c>
      <c r="C122" t="s">
        <v>1039</v>
      </c>
      <c r="D122" t="s">
        <v>2676</v>
      </c>
      <c r="E122" t="s">
        <v>2677</v>
      </c>
      <c r="F122" t="s">
        <v>2678</v>
      </c>
      <c r="G122" t="s">
        <v>2679</v>
      </c>
      <c r="H122" t="s">
        <v>2580</v>
      </c>
      <c r="I122" t="s">
        <v>2680</v>
      </c>
      <c r="J122" t="s">
        <v>2681</v>
      </c>
      <c r="K122" t="s">
        <v>2668</v>
      </c>
      <c r="L122" t="s">
        <v>2682</v>
      </c>
      <c r="M122" t="s">
        <v>2683</v>
      </c>
      <c r="N122" t="s">
        <v>2684</v>
      </c>
      <c r="O122" t="s">
        <v>2683</v>
      </c>
      <c r="P122" t="s">
        <v>2684</v>
      </c>
      <c r="Q122" t="s">
        <v>2683</v>
      </c>
      <c r="R122" t="s">
        <v>2684</v>
      </c>
      <c r="S122" t="s">
        <v>2685</v>
      </c>
      <c r="T122" t="s">
        <v>2686</v>
      </c>
      <c r="U122" t="s">
        <v>2687</v>
      </c>
      <c r="BK122" t="s">
        <v>2688</v>
      </c>
      <c r="BL122" t="s">
        <v>2689</v>
      </c>
    </row>
    <row r="123" spans="1:64" x14ac:dyDescent="0.55000000000000004">
      <c r="A123" t="s">
        <v>1053</v>
      </c>
      <c r="B123" t="s">
        <v>1054</v>
      </c>
      <c r="C123" t="s">
        <v>1060</v>
      </c>
      <c r="D123" t="s">
        <v>2690</v>
      </c>
      <c r="E123" t="s">
        <v>2691</v>
      </c>
      <c r="F123" t="s">
        <v>2692</v>
      </c>
      <c r="G123" t="s">
        <v>2693</v>
      </c>
      <c r="H123" t="s">
        <v>2580</v>
      </c>
      <c r="I123" t="s">
        <v>2694</v>
      </c>
      <c r="J123" t="s">
        <v>2695</v>
      </c>
      <c r="K123" t="s">
        <v>2696</v>
      </c>
      <c r="L123" t="s">
        <v>2697</v>
      </c>
      <c r="M123" t="s">
        <v>2698</v>
      </c>
      <c r="N123" t="s">
        <v>2698</v>
      </c>
      <c r="O123" t="s">
        <v>2698</v>
      </c>
      <c r="P123" t="s">
        <v>2698</v>
      </c>
      <c r="Q123" t="s">
        <v>2698</v>
      </c>
      <c r="R123" t="s">
        <v>2698</v>
      </c>
      <c r="S123" t="s">
        <v>2699</v>
      </c>
      <c r="T123" t="s">
        <v>2700</v>
      </c>
      <c r="U123" t="s">
        <v>2701</v>
      </c>
      <c r="BK123" t="s">
        <v>2702</v>
      </c>
      <c r="BL123" t="s">
        <v>2703</v>
      </c>
    </row>
    <row r="124" spans="1:64" x14ac:dyDescent="0.55000000000000004">
      <c r="A124" t="s">
        <v>1063</v>
      </c>
      <c r="B124" t="s">
        <v>1064</v>
      </c>
      <c r="C124" t="s">
        <v>1070</v>
      </c>
      <c r="D124" t="s">
        <v>2704</v>
      </c>
      <c r="E124" t="s">
        <v>2705</v>
      </c>
      <c r="F124" t="s">
        <v>2706</v>
      </c>
      <c r="G124" t="s">
        <v>2707</v>
      </c>
      <c r="H124" t="s">
        <v>2708</v>
      </c>
      <c r="I124" t="s">
        <v>2709</v>
      </c>
      <c r="J124" t="s">
        <v>2710</v>
      </c>
      <c r="K124" t="s">
        <v>2668</v>
      </c>
      <c r="L124" t="s">
        <v>2711</v>
      </c>
      <c r="M124" t="s">
        <v>2712</v>
      </c>
      <c r="N124" t="s">
        <v>2712</v>
      </c>
      <c r="O124" t="s">
        <v>2712</v>
      </c>
      <c r="P124" t="s">
        <v>2712</v>
      </c>
      <c r="Q124" t="s">
        <v>2712</v>
      </c>
      <c r="R124" t="s">
        <v>2712</v>
      </c>
      <c r="S124" t="s">
        <v>2713</v>
      </c>
      <c r="T124" t="s">
        <v>2714</v>
      </c>
      <c r="U124" t="s">
        <v>2715</v>
      </c>
      <c r="BK124" t="s">
        <v>2716</v>
      </c>
      <c r="BL124" t="s">
        <v>2717</v>
      </c>
    </row>
    <row r="125" spans="1:64" x14ac:dyDescent="0.55000000000000004">
      <c r="A125" t="s">
        <v>1074</v>
      </c>
      <c r="B125" t="s">
        <v>1075</v>
      </c>
      <c r="C125" t="s">
        <v>1081</v>
      </c>
      <c r="D125" t="s">
        <v>2718</v>
      </c>
      <c r="E125" t="s">
        <v>2719</v>
      </c>
      <c r="F125" t="s">
        <v>2720</v>
      </c>
      <c r="G125" t="s">
        <v>2721</v>
      </c>
      <c r="H125" t="s">
        <v>2722</v>
      </c>
      <c r="I125" t="s">
        <v>2723</v>
      </c>
      <c r="J125" t="s">
        <v>2724</v>
      </c>
      <c r="K125" t="s">
        <v>2725</v>
      </c>
      <c r="L125" t="s">
        <v>2726</v>
      </c>
      <c r="M125" t="s">
        <v>2727</v>
      </c>
      <c r="N125" t="s">
        <v>2727</v>
      </c>
      <c r="O125" t="s">
        <v>2727</v>
      </c>
      <c r="P125" t="s">
        <v>2727</v>
      </c>
      <c r="Q125" t="s">
        <v>2727</v>
      </c>
      <c r="R125" t="s">
        <v>2727</v>
      </c>
      <c r="S125" t="s">
        <v>2728</v>
      </c>
      <c r="T125" t="s">
        <v>2729</v>
      </c>
      <c r="U125" t="s">
        <v>2730</v>
      </c>
      <c r="BK125" t="s">
        <v>2731</v>
      </c>
      <c r="BL125" t="s">
        <v>2732</v>
      </c>
    </row>
    <row r="126" spans="1:64" x14ac:dyDescent="0.55000000000000004">
      <c r="A126" t="s">
        <v>1085</v>
      </c>
      <c r="B126" t="s">
        <v>1086</v>
      </c>
      <c r="C126" t="s">
        <v>1092</v>
      </c>
      <c r="D126" t="s">
        <v>2733</v>
      </c>
      <c r="E126" t="s">
        <v>2734</v>
      </c>
      <c r="F126" t="s">
        <v>2735</v>
      </c>
      <c r="G126" t="s">
        <v>2736</v>
      </c>
      <c r="H126" t="s">
        <v>2580</v>
      </c>
      <c r="I126" t="s">
        <v>2737</v>
      </c>
      <c r="J126" t="s">
        <v>2738</v>
      </c>
      <c r="K126" t="s">
        <v>2668</v>
      </c>
      <c r="L126" t="s">
        <v>2739</v>
      </c>
      <c r="M126" t="s">
        <v>2740</v>
      </c>
      <c r="N126" t="s">
        <v>2740</v>
      </c>
      <c r="O126" t="s">
        <v>2740</v>
      </c>
      <c r="P126" t="s">
        <v>2740</v>
      </c>
      <c r="Q126" t="s">
        <v>2740</v>
      </c>
      <c r="R126" t="s">
        <v>2740</v>
      </c>
      <c r="S126" t="s">
        <v>2741</v>
      </c>
      <c r="T126" t="s">
        <v>2742</v>
      </c>
      <c r="U126" t="s">
        <v>2743</v>
      </c>
      <c r="BK126" t="s">
        <v>2744</v>
      </c>
      <c r="BL126" t="s">
        <v>2745</v>
      </c>
    </row>
    <row r="127" spans="1:64" x14ac:dyDescent="0.55000000000000004">
      <c r="A127" t="s">
        <v>1095</v>
      </c>
      <c r="B127" t="s">
        <v>1096</v>
      </c>
      <c r="C127" t="s">
        <v>1102</v>
      </c>
      <c r="D127" t="s">
        <v>2746</v>
      </c>
      <c r="E127" t="s">
        <v>2747</v>
      </c>
      <c r="F127" t="s">
        <v>2748</v>
      </c>
      <c r="G127" t="s">
        <v>2749</v>
      </c>
      <c r="H127" t="s">
        <v>2750</v>
      </c>
      <c r="I127" t="s">
        <v>2751</v>
      </c>
      <c r="J127" t="s">
        <v>2752</v>
      </c>
      <c r="K127" t="s">
        <v>2753</v>
      </c>
      <c r="L127" t="s">
        <v>2754</v>
      </c>
      <c r="M127" t="s">
        <v>2755</v>
      </c>
      <c r="N127" t="s">
        <v>2755</v>
      </c>
      <c r="O127" t="s">
        <v>2755</v>
      </c>
      <c r="P127" t="s">
        <v>2755</v>
      </c>
      <c r="Q127" t="s">
        <v>2755</v>
      </c>
      <c r="R127" t="s">
        <v>2755</v>
      </c>
      <c r="S127" t="s">
        <v>2756</v>
      </c>
      <c r="T127" t="s">
        <v>2757</v>
      </c>
      <c r="U127" t="s">
        <v>2758</v>
      </c>
      <c r="BK127" t="s">
        <v>2759</v>
      </c>
      <c r="BL127" t="s">
        <v>2760</v>
      </c>
    </row>
    <row r="128" spans="1:64" x14ac:dyDescent="0.55000000000000004">
      <c r="A128" t="s">
        <v>1095</v>
      </c>
      <c r="B128" t="s">
        <v>1105</v>
      </c>
      <c r="C128" t="s">
        <v>1102</v>
      </c>
      <c r="D128" t="s">
        <v>2761</v>
      </c>
      <c r="E128" t="s">
        <v>2762</v>
      </c>
      <c r="F128" t="s">
        <v>2763</v>
      </c>
      <c r="G128" t="s">
        <v>2764</v>
      </c>
      <c r="H128" t="s">
        <v>2750</v>
      </c>
      <c r="I128" t="s">
        <v>2765</v>
      </c>
      <c r="J128" t="s">
        <v>2766</v>
      </c>
      <c r="K128" t="s">
        <v>2767</v>
      </c>
      <c r="L128" t="s">
        <v>2768</v>
      </c>
      <c r="M128" t="s">
        <v>2755</v>
      </c>
      <c r="N128" t="s">
        <v>2755</v>
      </c>
      <c r="O128" t="s">
        <v>2755</v>
      </c>
      <c r="P128" t="s">
        <v>2755</v>
      </c>
      <c r="Q128" t="s">
        <v>2755</v>
      </c>
      <c r="R128" t="s">
        <v>2755</v>
      </c>
      <c r="S128" t="s">
        <v>2756</v>
      </c>
      <c r="T128" t="s">
        <v>2757</v>
      </c>
      <c r="U128" t="s">
        <v>2769</v>
      </c>
      <c r="BK128" t="s">
        <v>2770</v>
      </c>
      <c r="BL128" t="s">
        <v>2771</v>
      </c>
    </row>
    <row r="129" spans="1:64" x14ac:dyDescent="0.55000000000000004">
      <c r="A129" t="s">
        <v>1111</v>
      </c>
      <c r="B129" t="s">
        <v>1112</v>
      </c>
      <c r="C129" t="s">
        <v>1119</v>
      </c>
      <c r="D129" t="s">
        <v>2772</v>
      </c>
      <c r="E129" t="s">
        <v>2773</v>
      </c>
      <c r="F129" t="s">
        <v>2774</v>
      </c>
      <c r="G129" t="s">
        <v>2775</v>
      </c>
      <c r="H129" t="s">
        <v>2776</v>
      </c>
      <c r="I129" t="s">
        <v>2777</v>
      </c>
      <c r="J129" t="s">
        <v>2778</v>
      </c>
      <c r="K129" t="s">
        <v>2779</v>
      </c>
      <c r="L129" t="s">
        <v>2780</v>
      </c>
      <c r="M129" t="s">
        <v>2781</v>
      </c>
      <c r="N129" t="s">
        <v>2782</v>
      </c>
      <c r="O129" t="s">
        <v>2782</v>
      </c>
      <c r="P129" t="s">
        <v>2782</v>
      </c>
      <c r="Q129" t="s">
        <v>2782</v>
      </c>
      <c r="R129" t="s">
        <v>2781</v>
      </c>
      <c r="S129" t="s">
        <v>2783</v>
      </c>
      <c r="T129" t="s">
        <v>2784</v>
      </c>
      <c r="U129" t="s">
        <v>2785</v>
      </c>
      <c r="BK129" t="s">
        <v>2786</v>
      </c>
      <c r="BL129" t="s">
        <v>2787</v>
      </c>
    </row>
    <row r="130" spans="1:64" x14ac:dyDescent="0.55000000000000004">
      <c r="A130" t="s">
        <v>1122</v>
      </c>
      <c r="B130" t="s">
        <v>1123</v>
      </c>
      <c r="C130" t="s">
        <v>1129</v>
      </c>
      <c r="D130" t="s">
        <v>2788</v>
      </c>
      <c r="E130" t="s">
        <v>2789</v>
      </c>
      <c r="F130" t="s">
        <v>2790</v>
      </c>
      <c r="G130" t="s">
        <v>2791</v>
      </c>
      <c r="H130" t="s">
        <v>2792</v>
      </c>
      <c r="I130" t="s">
        <v>2793</v>
      </c>
      <c r="J130" t="s">
        <v>2794</v>
      </c>
      <c r="K130" t="s">
        <v>2795</v>
      </c>
      <c r="L130" t="s">
        <v>2796</v>
      </c>
      <c r="M130" t="s">
        <v>2797</v>
      </c>
      <c r="N130" t="s">
        <v>2798</v>
      </c>
      <c r="O130" t="s">
        <v>2799</v>
      </c>
      <c r="P130" t="s">
        <v>2800</v>
      </c>
      <c r="Q130" t="s">
        <v>2801</v>
      </c>
      <c r="R130" t="s">
        <v>2802</v>
      </c>
      <c r="S130" t="s">
        <v>2803</v>
      </c>
      <c r="T130" t="s">
        <v>2804</v>
      </c>
      <c r="U130" t="s">
        <v>2805</v>
      </c>
      <c r="BK130" t="s">
        <v>2806</v>
      </c>
      <c r="BL130" t="s">
        <v>2807</v>
      </c>
    </row>
    <row r="131" spans="1:64" x14ac:dyDescent="0.55000000000000004">
      <c r="A131" t="s">
        <v>1133</v>
      </c>
      <c r="B131" t="s">
        <v>1134</v>
      </c>
      <c r="C131" t="s">
        <v>1140</v>
      </c>
      <c r="D131" t="s">
        <v>2808</v>
      </c>
      <c r="E131" t="s">
        <v>2809</v>
      </c>
      <c r="F131" t="s">
        <v>2810</v>
      </c>
      <c r="G131" t="s">
        <v>2811</v>
      </c>
      <c r="H131" t="s">
        <v>2812</v>
      </c>
      <c r="I131" t="s">
        <v>2813</v>
      </c>
      <c r="J131" t="s">
        <v>2814</v>
      </c>
      <c r="K131" t="s">
        <v>2815</v>
      </c>
      <c r="L131" t="s">
        <v>2816</v>
      </c>
      <c r="M131" t="s">
        <v>2817</v>
      </c>
      <c r="N131" t="s">
        <v>2817</v>
      </c>
      <c r="O131" t="s">
        <v>2817</v>
      </c>
      <c r="P131" t="s">
        <v>2817</v>
      </c>
      <c r="Q131" t="s">
        <v>2817</v>
      </c>
      <c r="R131" t="s">
        <v>2817</v>
      </c>
      <c r="S131" t="s">
        <v>2818</v>
      </c>
      <c r="T131" t="s">
        <v>2819</v>
      </c>
      <c r="U131" t="s">
        <v>2820</v>
      </c>
      <c r="BK131" t="s">
        <v>2821</v>
      </c>
      <c r="BL131" t="s">
        <v>2822</v>
      </c>
    </row>
    <row r="132" spans="1:64" x14ac:dyDescent="0.55000000000000004">
      <c r="A132" t="s">
        <v>1143</v>
      </c>
      <c r="B132" t="s">
        <v>1144</v>
      </c>
      <c r="C132" t="s">
        <v>1150</v>
      </c>
      <c r="D132" t="s">
        <v>2823</v>
      </c>
      <c r="E132" t="s">
        <v>2824</v>
      </c>
      <c r="F132" t="s">
        <v>2825</v>
      </c>
      <c r="G132" t="s">
        <v>2826</v>
      </c>
      <c r="H132" t="s">
        <v>2827</v>
      </c>
      <c r="I132" t="s">
        <v>2828</v>
      </c>
      <c r="J132" t="s">
        <v>2829</v>
      </c>
      <c r="K132" t="s">
        <v>2830</v>
      </c>
      <c r="L132" t="s">
        <v>2831</v>
      </c>
      <c r="M132" t="s">
        <v>2832</v>
      </c>
      <c r="N132" t="s">
        <v>2833</v>
      </c>
      <c r="O132" t="s">
        <v>2834</v>
      </c>
      <c r="P132" t="s">
        <v>2835</v>
      </c>
      <c r="Q132" t="s">
        <v>2836</v>
      </c>
      <c r="R132" t="s">
        <v>2837</v>
      </c>
      <c r="S132" t="s">
        <v>2838</v>
      </c>
      <c r="T132" t="s">
        <v>2839</v>
      </c>
      <c r="U132" t="s">
        <v>2840</v>
      </c>
      <c r="BK132" t="s">
        <v>2841</v>
      </c>
      <c r="BL132" t="s">
        <v>2842</v>
      </c>
    </row>
    <row r="133" spans="1:64" x14ac:dyDescent="0.55000000000000004">
      <c r="A133" t="s">
        <v>1153</v>
      </c>
      <c r="B133" t="s">
        <v>1154</v>
      </c>
      <c r="C133" t="s">
        <v>1150</v>
      </c>
      <c r="D133" t="s">
        <v>2843</v>
      </c>
      <c r="E133" t="s">
        <v>2844</v>
      </c>
      <c r="F133" t="s">
        <v>2845</v>
      </c>
      <c r="G133" t="s">
        <v>2846</v>
      </c>
      <c r="H133" t="s">
        <v>2847</v>
      </c>
      <c r="I133" t="s">
        <v>2848</v>
      </c>
      <c r="J133" t="s">
        <v>2849</v>
      </c>
      <c r="K133" t="s">
        <v>2830</v>
      </c>
      <c r="L133" t="s">
        <v>2850</v>
      </c>
      <c r="M133" t="s">
        <v>2851</v>
      </c>
      <c r="N133" t="s">
        <v>2851</v>
      </c>
      <c r="O133" t="s">
        <v>2851</v>
      </c>
      <c r="P133" t="s">
        <v>2852</v>
      </c>
      <c r="Q133" t="s">
        <v>2851</v>
      </c>
      <c r="R133" t="s">
        <v>2851</v>
      </c>
      <c r="S133" t="s">
        <v>2853</v>
      </c>
      <c r="T133" t="s">
        <v>2854</v>
      </c>
      <c r="U133" t="s">
        <v>2855</v>
      </c>
      <c r="BK133" t="s">
        <v>2856</v>
      </c>
      <c r="BL133" t="s">
        <v>2857</v>
      </c>
    </row>
    <row r="134" spans="1:64" x14ac:dyDescent="0.55000000000000004">
      <c r="A134" t="s">
        <v>789</v>
      </c>
      <c r="B134" t="s">
        <v>1160</v>
      </c>
      <c r="C134" t="s">
        <v>1166</v>
      </c>
      <c r="D134" t="s">
        <v>2858</v>
      </c>
      <c r="E134" t="s">
        <v>2859</v>
      </c>
      <c r="F134" t="s">
        <v>2860</v>
      </c>
      <c r="G134" t="s">
        <v>2861</v>
      </c>
      <c r="H134" t="s">
        <v>2862</v>
      </c>
      <c r="I134" t="s">
        <v>2863</v>
      </c>
      <c r="J134" t="s">
        <v>2864</v>
      </c>
      <c r="K134" t="s">
        <v>2865</v>
      </c>
      <c r="L134" t="s">
        <v>2866</v>
      </c>
      <c r="M134" t="s">
        <v>2867</v>
      </c>
      <c r="N134" t="s">
        <v>2867</v>
      </c>
      <c r="O134" t="s">
        <v>2867</v>
      </c>
      <c r="P134" t="s">
        <v>2867</v>
      </c>
      <c r="Q134" t="s">
        <v>2867</v>
      </c>
      <c r="R134" t="s">
        <v>2867</v>
      </c>
      <c r="S134" t="s">
        <v>2520</v>
      </c>
      <c r="T134" t="s">
        <v>2868</v>
      </c>
      <c r="U134" t="s">
        <v>2869</v>
      </c>
      <c r="BK134" t="s">
        <v>2870</v>
      </c>
      <c r="BL134" t="s">
        <v>2871</v>
      </c>
    </row>
    <row r="135" spans="1:64" x14ac:dyDescent="0.55000000000000004">
      <c r="A135" t="s">
        <v>1169</v>
      </c>
      <c r="B135" t="s">
        <v>1170</v>
      </c>
      <c r="C135" t="s">
        <v>1176</v>
      </c>
      <c r="D135" t="s">
        <v>2872</v>
      </c>
      <c r="E135" t="s">
        <v>2873</v>
      </c>
      <c r="F135" t="s">
        <v>2874</v>
      </c>
      <c r="G135" t="s">
        <v>2875</v>
      </c>
      <c r="H135" t="s">
        <v>2876</v>
      </c>
      <c r="I135" t="s">
        <v>2877</v>
      </c>
      <c r="J135" t="s">
        <v>2878</v>
      </c>
      <c r="K135" t="s">
        <v>2879</v>
      </c>
      <c r="L135" t="s">
        <v>2880</v>
      </c>
      <c r="M135" t="s">
        <v>2881</v>
      </c>
      <c r="N135" t="s">
        <v>2881</v>
      </c>
      <c r="O135" t="s">
        <v>2881</v>
      </c>
      <c r="P135" t="s">
        <v>2881</v>
      </c>
      <c r="Q135" t="s">
        <v>2881</v>
      </c>
      <c r="R135" t="s">
        <v>2881</v>
      </c>
      <c r="S135" t="s">
        <v>2882</v>
      </c>
      <c r="T135" t="s">
        <v>2883</v>
      </c>
      <c r="U135" t="s">
        <v>2884</v>
      </c>
      <c r="BK135" t="s">
        <v>2885</v>
      </c>
      <c r="BL135" t="s">
        <v>2886</v>
      </c>
    </row>
    <row r="136" spans="1:64" x14ac:dyDescent="0.55000000000000004">
      <c r="A136" t="s">
        <v>1179</v>
      </c>
      <c r="B136" t="s">
        <v>1180</v>
      </c>
      <c r="C136" t="s">
        <v>2887</v>
      </c>
      <c r="D136" t="s">
        <v>2888</v>
      </c>
      <c r="E136" t="s">
        <v>2889</v>
      </c>
      <c r="F136" t="s">
        <v>2890</v>
      </c>
      <c r="G136" t="s">
        <v>2891</v>
      </c>
      <c r="H136" t="s">
        <v>2892</v>
      </c>
      <c r="I136" t="s">
        <v>2893</v>
      </c>
      <c r="J136" t="s">
        <v>2894</v>
      </c>
      <c r="K136" t="s">
        <v>2895</v>
      </c>
      <c r="L136" t="s">
        <v>2896</v>
      </c>
      <c r="M136" t="s">
        <v>2897</v>
      </c>
      <c r="N136" t="s">
        <v>2897</v>
      </c>
      <c r="O136" t="s">
        <v>2897</v>
      </c>
      <c r="P136" t="s">
        <v>2897</v>
      </c>
      <c r="Q136" t="s">
        <v>2897</v>
      </c>
      <c r="R136" t="s">
        <v>2897</v>
      </c>
      <c r="S136" t="s">
        <v>2898</v>
      </c>
      <c r="T136" t="s">
        <v>2899</v>
      </c>
      <c r="U136" t="s">
        <v>2900</v>
      </c>
      <c r="BK136" t="s">
        <v>2901</v>
      </c>
      <c r="BL136" t="s">
        <v>2902</v>
      </c>
    </row>
    <row r="137" spans="1:64" x14ac:dyDescent="0.55000000000000004">
      <c r="A137" t="s">
        <v>1179</v>
      </c>
      <c r="B137" t="s">
        <v>1189</v>
      </c>
      <c r="C137" t="s">
        <v>2887</v>
      </c>
      <c r="D137" t="s">
        <v>2903</v>
      </c>
      <c r="E137" t="s">
        <v>2904</v>
      </c>
      <c r="F137" t="s">
        <v>2905</v>
      </c>
      <c r="G137" t="s">
        <v>2906</v>
      </c>
      <c r="H137" t="s">
        <v>2892</v>
      </c>
      <c r="I137" t="s">
        <v>2907</v>
      </c>
      <c r="J137" t="s">
        <v>2908</v>
      </c>
      <c r="K137" t="s">
        <v>2909</v>
      </c>
      <c r="L137" t="s">
        <v>2910</v>
      </c>
      <c r="M137" t="s">
        <v>2897</v>
      </c>
      <c r="N137" t="s">
        <v>2897</v>
      </c>
      <c r="O137" t="s">
        <v>2897</v>
      </c>
      <c r="P137" t="s">
        <v>2897</v>
      </c>
      <c r="Q137" t="s">
        <v>2897</v>
      </c>
      <c r="R137" t="s">
        <v>2897</v>
      </c>
      <c r="S137" t="s">
        <v>2898</v>
      </c>
      <c r="T137" t="s">
        <v>2899</v>
      </c>
      <c r="U137" t="s">
        <v>2911</v>
      </c>
      <c r="BK137" t="s">
        <v>2912</v>
      </c>
      <c r="BL137" t="s">
        <v>2913</v>
      </c>
    </row>
    <row r="138" spans="1:64" x14ac:dyDescent="0.55000000000000004">
      <c r="A138" t="s">
        <v>1193</v>
      </c>
      <c r="B138" t="s">
        <v>1194</v>
      </c>
      <c r="C138" t="s">
        <v>99</v>
      </c>
      <c r="D138" t="s">
        <v>2914</v>
      </c>
      <c r="E138" t="s">
        <v>2915</v>
      </c>
      <c r="F138" t="s">
        <v>2916</v>
      </c>
      <c r="G138" t="s">
        <v>2917</v>
      </c>
      <c r="H138" t="s">
        <v>2918</v>
      </c>
      <c r="I138" t="s">
        <v>2919</v>
      </c>
      <c r="J138" t="s">
        <v>2920</v>
      </c>
      <c r="K138" t="s">
        <v>2921</v>
      </c>
      <c r="L138" t="s">
        <v>2922</v>
      </c>
      <c r="M138" t="s">
        <v>2923</v>
      </c>
      <c r="N138" t="s">
        <v>2923</v>
      </c>
      <c r="O138" t="s">
        <v>2923</v>
      </c>
      <c r="P138" t="s">
        <v>2923</v>
      </c>
      <c r="Q138" t="s">
        <v>2923</v>
      </c>
      <c r="R138" t="s">
        <v>2923</v>
      </c>
      <c r="S138" t="s">
        <v>2924</v>
      </c>
      <c r="T138" t="s">
        <v>2925</v>
      </c>
      <c r="U138" t="s">
        <v>2926</v>
      </c>
      <c r="BK138" t="s">
        <v>2927</v>
      </c>
      <c r="BL138" t="s">
        <v>2928</v>
      </c>
    </row>
    <row r="139" spans="1:64" x14ac:dyDescent="0.55000000000000004">
      <c r="A139" t="s">
        <v>1193</v>
      </c>
      <c r="B139" t="s">
        <v>1205</v>
      </c>
      <c r="C139" t="s">
        <v>99</v>
      </c>
      <c r="D139" t="s">
        <v>2914</v>
      </c>
      <c r="E139" t="s">
        <v>2915</v>
      </c>
      <c r="F139" t="s">
        <v>2916</v>
      </c>
      <c r="G139" t="s">
        <v>2917</v>
      </c>
      <c r="H139" t="s">
        <v>2918</v>
      </c>
      <c r="I139" t="s">
        <v>2919</v>
      </c>
      <c r="J139" t="s">
        <v>2920</v>
      </c>
      <c r="K139" t="s">
        <v>2921</v>
      </c>
      <c r="L139" t="s">
        <v>2922</v>
      </c>
      <c r="M139" t="s">
        <v>2923</v>
      </c>
      <c r="N139" t="s">
        <v>2923</v>
      </c>
      <c r="O139" t="s">
        <v>2923</v>
      </c>
      <c r="P139" t="s">
        <v>2923</v>
      </c>
      <c r="Q139" t="s">
        <v>2923</v>
      </c>
      <c r="R139" t="s">
        <v>2923</v>
      </c>
      <c r="S139" t="s">
        <v>2924</v>
      </c>
      <c r="T139" t="s">
        <v>2925</v>
      </c>
      <c r="U139" t="s">
        <v>2929</v>
      </c>
      <c r="BK139" t="s">
        <v>2930</v>
      </c>
      <c r="BL139" t="s">
        <v>2931</v>
      </c>
    </row>
    <row r="140" spans="1:64" x14ac:dyDescent="0.55000000000000004">
      <c r="A140" t="s">
        <v>1193</v>
      </c>
      <c r="B140" t="s">
        <v>1207</v>
      </c>
      <c r="C140" t="s">
        <v>99</v>
      </c>
      <c r="D140" t="s">
        <v>2914</v>
      </c>
      <c r="E140" t="s">
        <v>2915</v>
      </c>
      <c r="F140" t="s">
        <v>2916</v>
      </c>
      <c r="G140" t="s">
        <v>2917</v>
      </c>
      <c r="H140" t="s">
        <v>2918</v>
      </c>
      <c r="I140" t="s">
        <v>2919</v>
      </c>
      <c r="J140" t="s">
        <v>2920</v>
      </c>
      <c r="K140" t="s">
        <v>2921</v>
      </c>
      <c r="L140" t="s">
        <v>2922</v>
      </c>
      <c r="M140" t="s">
        <v>2923</v>
      </c>
      <c r="N140" t="s">
        <v>2923</v>
      </c>
      <c r="O140" t="s">
        <v>2923</v>
      </c>
      <c r="P140" t="s">
        <v>2923</v>
      </c>
      <c r="Q140" t="s">
        <v>2923</v>
      </c>
      <c r="R140" t="s">
        <v>2923</v>
      </c>
      <c r="S140" t="s">
        <v>2924</v>
      </c>
      <c r="T140" t="s">
        <v>2925</v>
      </c>
      <c r="U140" t="s">
        <v>2932</v>
      </c>
      <c r="BK140" t="s">
        <v>2933</v>
      </c>
      <c r="BL140" t="s">
        <v>2934</v>
      </c>
    </row>
    <row r="141" spans="1:64" x14ac:dyDescent="0.55000000000000004">
      <c r="A141" t="s">
        <v>1209</v>
      </c>
      <c r="B141" t="s">
        <v>1210</v>
      </c>
      <c r="C141" t="s">
        <v>1217</v>
      </c>
      <c r="D141" t="s">
        <v>2935</v>
      </c>
      <c r="E141" t="s">
        <v>2936</v>
      </c>
      <c r="F141" t="s">
        <v>2937</v>
      </c>
      <c r="G141" t="s">
        <v>2938</v>
      </c>
      <c r="H141" t="s">
        <v>2939</v>
      </c>
      <c r="I141" t="s">
        <v>2940</v>
      </c>
      <c r="J141" t="s">
        <v>2941</v>
      </c>
      <c r="K141" t="s">
        <v>2942</v>
      </c>
      <c r="L141" t="s">
        <v>2943</v>
      </c>
      <c r="M141" t="s">
        <v>2944</v>
      </c>
      <c r="N141" t="s">
        <v>2945</v>
      </c>
      <c r="O141" t="s">
        <v>2946</v>
      </c>
      <c r="P141" t="s">
        <v>2947</v>
      </c>
      <c r="Q141" t="s">
        <v>2948</v>
      </c>
      <c r="R141" t="s">
        <v>2949</v>
      </c>
      <c r="S141" t="s">
        <v>2950</v>
      </c>
      <c r="T141" t="s">
        <v>2951</v>
      </c>
      <c r="U141" t="s">
        <v>2952</v>
      </c>
      <c r="BI141" t="s">
        <v>719</v>
      </c>
      <c r="BJ141" t="s">
        <v>107</v>
      </c>
      <c r="BK141" t="s">
        <v>2953</v>
      </c>
      <c r="BL141" t="s">
        <v>2954</v>
      </c>
    </row>
    <row r="142" spans="1:64" x14ac:dyDescent="0.55000000000000004">
      <c r="A142" t="s">
        <v>1220</v>
      </c>
      <c r="B142" t="s">
        <v>1221</v>
      </c>
      <c r="C142" t="s">
        <v>1228</v>
      </c>
      <c r="D142" t="s">
        <v>2955</v>
      </c>
      <c r="E142" t="s">
        <v>2956</v>
      </c>
      <c r="F142" t="s">
        <v>2957</v>
      </c>
      <c r="G142" t="s">
        <v>2958</v>
      </c>
      <c r="H142" t="s">
        <v>2959</v>
      </c>
      <c r="I142" t="s">
        <v>2960</v>
      </c>
      <c r="J142" t="s">
        <v>2961</v>
      </c>
      <c r="K142" t="s">
        <v>2962</v>
      </c>
      <c r="L142" t="s">
        <v>2963</v>
      </c>
      <c r="M142" t="s">
        <v>2964</v>
      </c>
      <c r="N142" t="s">
        <v>2965</v>
      </c>
      <c r="O142" t="s">
        <v>2966</v>
      </c>
      <c r="P142" t="s">
        <v>2967</v>
      </c>
      <c r="Q142" t="s">
        <v>2968</v>
      </c>
      <c r="R142" t="s">
        <v>2969</v>
      </c>
      <c r="S142" t="s">
        <v>2970</v>
      </c>
      <c r="T142" t="s">
        <v>2971</v>
      </c>
      <c r="U142" t="s">
        <v>2972</v>
      </c>
      <c r="BI142" t="s">
        <v>189</v>
      </c>
      <c r="BJ142" t="s">
        <v>107</v>
      </c>
      <c r="BK142" t="s">
        <v>2973</v>
      </c>
      <c r="BL142" t="s">
        <v>2974</v>
      </c>
    </row>
    <row r="143" spans="1:64" x14ac:dyDescent="0.55000000000000004">
      <c r="A143" t="s">
        <v>1231</v>
      </c>
      <c r="B143" t="s">
        <v>1232</v>
      </c>
      <c r="C143" t="s">
        <v>1239</v>
      </c>
      <c r="D143" t="s">
        <v>2975</v>
      </c>
      <c r="E143" t="s">
        <v>2976</v>
      </c>
      <c r="F143" t="s">
        <v>2977</v>
      </c>
      <c r="G143" t="s">
        <v>2978</v>
      </c>
      <c r="H143" t="s">
        <v>2979</v>
      </c>
      <c r="I143" t="s">
        <v>2980</v>
      </c>
      <c r="J143" t="s">
        <v>2981</v>
      </c>
      <c r="K143" t="s">
        <v>2982</v>
      </c>
      <c r="L143" t="s">
        <v>2983</v>
      </c>
      <c r="M143" t="s">
        <v>2984</v>
      </c>
      <c r="N143" t="s">
        <v>2985</v>
      </c>
      <c r="O143" t="s">
        <v>2986</v>
      </c>
      <c r="P143" t="s">
        <v>2987</v>
      </c>
      <c r="Q143" t="s">
        <v>2988</v>
      </c>
      <c r="R143" t="s">
        <v>2969</v>
      </c>
      <c r="S143" t="s">
        <v>2989</v>
      </c>
      <c r="T143" t="s">
        <v>2990</v>
      </c>
      <c r="U143" t="s">
        <v>2991</v>
      </c>
      <c r="BI143" t="s">
        <v>327</v>
      </c>
      <c r="BJ143" t="s">
        <v>136</v>
      </c>
      <c r="BK143" t="s">
        <v>2992</v>
      </c>
      <c r="BL143" t="s">
        <v>2993</v>
      </c>
    </row>
    <row r="144" spans="1:64" x14ac:dyDescent="0.55000000000000004">
      <c r="A144" t="s">
        <v>1243</v>
      </c>
      <c r="B144" t="s">
        <v>1244</v>
      </c>
      <c r="C144" t="s">
        <v>1239</v>
      </c>
      <c r="D144" t="s">
        <v>2994</v>
      </c>
      <c r="E144" t="s">
        <v>2995</v>
      </c>
      <c r="F144" t="s">
        <v>2996</v>
      </c>
      <c r="G144" t="s">
        <v>2997</v>
      </c>
      <c r="H144" t="s">
        <v>2998</v>
      </c>
      <c r="I144" t="s">
        <v>2999</v>
      </c>
      <c r="J144" t="s">
        <v>3000</v>
      </c>
      <c r="K144" t="s">
        <v>3001</v>
      </c>
      <c r="L144" t="s">
        <v>3002</v>
      </c>
      <c r="M144" t="s">
        <v>3003</v>
      </c>
      <c r="N144" t="s">
        <v>2985</v>
      </c>
      <c r="O144" t="s">
        <v>2986</v>
      </c>
      <c r="P144" t="s">
        <v>3004</v>
      </c>
      <c r="Q144" t="s">
        <v>2988</v>
      </c>
      <c r="R144" t="s">
        <v>1729</v>
      </c>
      <c r="S144" t="s">
        <v>3005</v>
      </c>
      <c r="T144" t="s">
        <v>3006</v>
      </c>
      <c r="U144" t="s">
        <v>3007</v>
      </c>
      <c r="BI144" t="s">
        <v>327</v>
      </c>
      <c r="BJ144" t="s">
        <v>107</v>
      </c>
      <c r="BK144" t="s">
        <v>3008</v>
      </c>
      <c r="BL144" t="s">
        <v>3009</v>
      </c>
    </row>
    <row r="145" spans="1:64" x14ac:dyDescent="0.55000000000000004">
      <c r="A145" t="s">
        <v>1253</v>
      </c>
      <c r="B145" t="s">
        <v>1254</v>
      </c>
      <c r="C145" t="s">
        <v>99</v>
      </c>
      <c r="D145" t="s">
        <v>3010</v>
      </c>
      <c r="E145" t="s">
        <v>3011</v>
      </c>
      <c r="F145" t="s">
        <v>3012</v>
      </c>
      <c r="G145" t="s">
        <v>3013</v>
      </c>
      <c r="H145" t="s">
        <v>3014</v>
      </c>
      <c r="I145" t="s">
        <v>3015</v>
      </c>
      <c r="J145" t="s">
        <v>3016</v>
      </c>
      <c r="L145" t="s">
        <v>3017</v>
      </c>
      <c r="M145" t="s">
        <v>3018</v>
      </c>
      <c r="N145" t="s">
        <v>3019</v>
      </c>
      <c r="O145" t="s">
        <v>3020</v>
      </c>
      <c r="P145" t="s">
        <v>3021</v>
      </c>
      <c r="Q145" t="s">
        <v>3022</v>
      </c>
      <c r="R145" t="s">
        <v>3023</v>
      </c>
      <c r="S145" t="s">
        <v>3024</v>
      </c>
      <c r="T145" t="s">
        <v>3025</v>
      </c>
      <c r="U145" t="s">
        <v>3026</v>
      </c>
      <c r="BI145" t="s">
        <v>217</v>
      </c>
      <c r="BJ145" t="s">
        <v>107</v>
      </c>
      <c r="BK145" t="s">
        <v>3027</v>
      </c>
    </row>
    <row r="146" spans="1:64" x14ac:dyDescent="0.55000000000000004">
      <c r="A146" t="s">
        <v>3028</v>
      </c>
      <c r="B146" t="s">
        <v>3029</v>
      </c>
      <c r="C146" t="s">
        <v>3030</v>
      </c>
      <c r="D146" t="s">
        <v>3031</v>
      </c>
      <c r="E146" t="s">
        <v>3032</v>
      </c>
      <c r="F146" t="s">
        <v>3033</v>
      </c>
      <c r="G146" t="s">
        <v>3034</v>
      </c>
      <c r="H146" t="s">
        <v>3035</v>
      </c>
      <c r="I146" t="s">
        <v>3036</v>
      </c>
      <c r="J146" t="s">
        <v>3037</v>
      </c>
      <c r="K146" t="s">
        <v>3038</v>
      </c>
      <c r="L146" t="s">
        <v>3039</v>
      </c>
      <c r="M146" t="s">
        <v>3040</v>
      </c>
      <c r="N146" t="s">
        <v>3041</v>
      </c>
      <c r="O146" t="s">
        <v>3042</v>
      </c>
      <c r="P146" t="s">
        <v>3043</v>
      </c>
      <c r="Q146" t="s">
        <v>3044</v>
      </c>
      <c r="R146" t="s">
        <v>3045</v>
      </c>
      <c r="S146" t="s">
        <v>3046</v>
      </c>
      <c r="T146" t="s">
        <v>3047</v>
      </c>
      <c r="BK146" t="s">
        <v>3048</v>
      </c>
      <c r="BL146" t="s">
        <v>3049</v>
      </c>
    </row>
    <row r="147" spans="1:64" x14ac:dyDescent="0.55000000000000004">
      <c r="A147" t="s">
        <v>3028</v>
      </c>
      <c r="B147" t="s">
        <v>3050</v>
      </c>
      <c r="C147" t="s">
        <v>3030</v>
      </c>
      <c r="D147" t="s">
        <v>3031</v>
      </c>
      <c r="E147" t="s">
        <v>3032</v>
      </c>
      <c r="F147" t="s">
        <v>3051</v>
      </c>
      <c r="G147" t="s">
        <v>3052</v>
      </c>
      <c r="H147" t="s">
        <v>3035</v>
      </c>
      <c r="I147" t="s">
        <v>3036</v>
      </c>
      <c r="J147" t="s">
        <v>3053</v>
      </c>
      <c r="K147" t="s">
        <v>3038</v>
      </c>
      <c r="L147" t="s">
        <v>3054</v>
      </c>
      <c r="M147" t="s">
        <v>3040</v>
      </c>
      <c r="N147" t="s">
        <v>3041</v>
      </c>
      <c r="O147" t="s">
        <v>3055</v>
      </c>
      <c r="P147" t="s">
        <v>3043</v>
      </c>
      <c r="Q147" t="s">
        <v>3044</v>
      </c>
      <c r="R147" t="s">
        <v>3045</v>
      </c>
      <c r="S147" t="s">
        <v>3046</v>
      </c>
      <c r="T147" t="s">
        <v>3047</v>
      </c>
      <c r="BK147" t="s">
        <v>3048</v>
      </c>
      <c r="BL147" t="s">
        <v>3049</v>
      </c>
    </row>
    <row r="148" spans="1:64" x14ac:dyDescent="0.55000000000000004">
      <c r="A148" t="s">
        <v>3028</v>
      </c>
      <c r="B148" t="s">
        <v>3056</v>
      </c>
      <c r="C148" t="s">
        <v>3030</v>
      </c>
      <c r="D148" t="s">
        <v>3031</v>
      </c>
      <c r="E148" t="s">
        <v>3032</v>
      </c>
      <c r="F148" t="s">
        <v>3057</v>
      </c>
      <c r="G148" t="s">
        <v>3058</v>
      </c>
      <c r="H148" t="s">
        <v>3035</v>
      </c>
      <c r="I148" t="s">
        <v>3036</v>
      </c>
      <c r="J148" t="s">
        <v>3059</v>
      </c>
      <c r="K148" t="s">
        <v>3038</v>
      </c>
      <c r="L148" t="s">
        <v>3060</v>
      </c>
      <c r="M148" t="s">
        <v>3040</v>
      </c>
      <c r="N148" t="s">
        <v>3041</v>
      </c>
      <c r="O148" t="s">
        <v>3061</v>
      </c>
      <c r="P148" t="s">
        <v>3043</v>
      </c>
      <c r="Q148" t="s">
        <v>3044</v>
      </c>
      <c r="R148" t="s">
        <v>3045</v>
      </c>
      <c r="S148" t="s">
        <v>3046</v>
      </c>
      <c r="T148" t="s">
        <v>3047</v>
      </c>
      <c r="BK148" t="s">
        <v>3048</v>
      </c>
      <c r="BL148" t="s">
        <v>3049</v>
      </c>
    </row>
    <row r="149" spans="1:64" x14ac:dyDescent="0.55000000000000004">
      <c r="A149" t="s">
        <v>1004</v>
      </c>
      <c r="B149" t="s">
        <v>1017</v>
      </c>
      <c r="U149" t="s">
        <v>3062</v>
      </c>
    </row>
    <row r="150" spans="1:64" x14ac:dyDescent="0.55000000000000004">
      <c r="A150" t="s">
        <v>1231</v>
      </c>
      <c r="B150" t="s">
        <v>1262</v>
      </c>
      <c r="C150" t="s">
        <v>1239</v>
      </c>
      <c r="F150" t="s">
        <v>3063</v>
      </c>
      <c r="G150" t="s">
        <v>3064</v>
      </c>
      <c r="H150" t="s">
        <v>3065</v>
      </c>
      <c r="I150" t="s">
        <v>3066</v>
      </c>
      <c r="J150" t="s">
        <v>3067</v>
      </c>
      <c r="K150" t="s">
        <v>3068</v>
      </c>
      <c r="L150" t="s">
        <v>3069</v>
      </c>
    </row>
    <row r="151" spans="1:64" x14ac:dyDescent="0.55000000000000004">
      <c r="A151" t="s">
        <v>1231</v>
      </c>
      <c r="B151" t="s">
        <v>1268</v>
      </c>
      <c r="C151" t="s">
        <v>1239</v>
      </c>
      <c r="F151" t="s">
        <v>3070</v>
      </c>
      <c r="G151" t="s">
        <v>3071</v>
      </c>
      <c r="H151" t="s">
        <v>3065</v>
      </c>
      <c r="I151" t="s">
        <v>3066</v>
      </c>
      <c r="J151" t="s">
        <v>3067</v>
      </c>
      <c r="K151" t="s">
        <v>3068</v>
      </c>
      <c r="L151" t="s">
        <v>3072</v>
      </c>
    </row>
    <row r="152" spans="1:64" x14ac:dyDescent="0.55000000000000004">
      <c r="A152" t="s">
        <v>1243</v>
      </c>
      <c r="B152" t="s">
        <v>1274</v>
      </c>
      <c r="C152" t="s">
        <v>1239</v>
      </c>
      <c r="F152" t="s">
        <v>3073</v>
      </c>
      <c r="G152" t="s">
        <v>3074</v>
      </c>
      <c r="H152" t="s">
        <v>3065</v>
      </c>
      <c r="I152" t="s">
        <v>3066</v>
      </c>
      <c r="J152" t="s">
        <v>3067</v>
      </c>
      <c r="K152" t="s">
        <v>3068</v>
      </c>
      <c r="L152" t="s">
        <v>3075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5"/>
  <sheetViews>
    <sheetView topLeftCell="A26" workbookViewId="0">
      <selection activeCell="B33" sqref="B33"/>
    </sheetView>
  </sheetViews>
  <sheetFormatPr defaultRowHeight="14.4" x14ac:dyDescent="0.55000000000000004"/>
  <cols>
    <col min="1" max="1" width="6" customWidth="1"/>
    <col min="2" max="2" width="26" customWidth="1"/>
    <col min="3" max="3" width="10" customWidth="1"/>
    <col min="4" max="4" width="70" customWidth="1"/>
    <col min="5" max="5" width="12" customWidth="1"/>
  </cols>
  <sheetData>
    <row r="1" spans="1:5" ht="28.8" customHeight="1" x14ac:dyDescent="0.55000000000000004">
      <c r="A1" s="3" t="s">
        <v>3076</v>
      </c>
      <c r="B1" s="3" t="s">
        <v>3077</v>
      </c>
      <c r="C1" s="3" t="s">
        <v>3078</v>
      </c>
      <c r="D1" s="3" t="s">
        <v>3079</v>
      </c>
      <c r="E1" s="3" t="s">
        <v>3080</v>
      </c>
    </row>
    <row r="2" spans="1:5" ht="15.6" customHeight="1" x14ac:dyDescent="0.6">
      <c r="A2" s="8" t="s">
        <v>3081</v>
      </c>
    </row>
    <row r="3" spans="1:5" x14ac:dyDescent="0.55000000000000004">
      <c r="A3" s="7">
        <v>1</v>
      </c>
      <c r="B3" t="s">
        <v>0</v>
      </c>
      <c r="C3" t="s">
        <v>3082</v>
      </c>
      <c r="D3" t="s">
        <v>3083</v>
      </c>
      <c r="E3" t="s">
        <v>3081</v>
      </c>
    </row>
    <row r="4" spans="1:5" ht="28.8" customHeight="1" x14ac:dyDescent="0.55000000000000004">
      <c r="A4" s="4">
        <v>2</v>
      </c>
      <c r="B4" s="5" t="s">
        <v>1</v>
      </c>
      <c r="C4" s="6" t="s">
        <v>3082</v>
      </c>
      <c r="D4" s="6" t="s">
        <v>3084</v>
      </c>
      <c r="E4" s="6" t="s">
        <v>3081</v>
      </c>
    </row>
    <row r="5" spans="1:5" ht="28.8" customHeight="1" x14ac:dyDescent="0.55000000000000004">
      <c r="A5" s="4">
        <v>3</v>
      </c>
      <c r="B5" s="5" t="s">
        <v>3</v>
      </c>
      <c r="C5" s="6" t="s">
        <v>3082</v>
      </c>
      <c r="D5" s="6" t="s">
        <v>3085</v>
      </c>
      <c r="E5" s="6" t="s">
        <v>3081</v>
      </c>
    </row>
    <row r="6" spans="1:5" ht="28.8" customHeight="1" x14ac:dyDescent="0.55000000000000004">
      <c r="A6" s="4">
        <v>4</v>
      </c>
      <c r="B6" s="5" t="s">
        <v>4</v>
      </c>
      <c r="C6" s="6" t="s">
        <v>3082</v>
      </c>
      <c r="D6" s="6" t="s">
        <v>3086</v>
      </c>
      <c r="E6" s="6" t="s">
        <v>3081</v>
      </c>
    </row>
    <row r="7" spans="1:5" ht="28.8" customHeight="1" x14ac:dyDescent="0.55000000000000004">
      <c r="A7" s="4" t="s">
        <v>3087</v>
      </c>
      <c r="B7" s="5"/>
      <c r="C7" s="6"/>
      <c r="D7" s="6"/>
      <c r="E7" s="6"/>
    </row>
    <row r="8" spans="1:5" x14ac:dyDescent="0.55000000000000004">
      <c r="A8">
        <v>5</v>
      </c>
      <c r="B8" t="s">
        <v>5</v>
      </c>
      <c r="C8" t="s">
        <v>3088</v>
      </c>
      <c r="D8" t="s">
        <v>3089</v>
      </c>
      <c r="E8" t="s">
        <v>3087</v>
      </c>
    </row>
    <row r="9" spans="1:5" x14ac:dyDescent="0.55000000000000004">
      <c r="A9" s="7">
        <v>6</v>
      </c>
      <c r="B9" t="s">
        <v>6</v>
      </c>
      <c r="C9" t="s">
        <v>3088</v>
      </c>
      <c r="D9" t="s">
        <v>3090</v>
      </c>
      <c r="E9" t="s">
        <v>3087</v>
      </c>
    </row>
    <row r="10" spans="1:5" ht="28.8" customHeight="1" x14ac:dyDescent="0.55000000000000004">
      <c r="A10" s="4">
        <v>7</v>
      </c>
      <c r="B10" s="5" t="s">
        <v>7</v>
      </c>
      <c r="C10" s="6" t="s">
        <v>3088</v>
      </c>
      <c r="D10" s="6" t="s">
        <v>3091</v>
      </c>
      <c r="E10" s="6" t="s">
        <v>3087</v>
      </c>
    </row>
    <row r="11" spans="1:5" ht="28.8" customHeight="1" x14ac:dyDescent="0.55000000000000004">
      <c r="A11" s="4">
        <v>8</v>
      </c>
      <c r="B11" s="5" t="s">
        <v>8</v>
      </c>
      <c r="C11" s="6" t="s">
        <v>3088</v>
      </c>
      <c r="D11" s="6" t="s">
        <v>3092</v>
      </c>
      <c r="E11" s="6" t="s">
        <v>3087</v>
      </c>
    </row>
    <row r="12" spans="1:5" ht="43.2" customHeight="1" x14ac:dyDescent="0.55000000000000004">
      <c r="A12" s="4">
        <v>9</v>
      </c>
      <c r="B12" s="5" t="s">
        <v>9</v>
      </c>
      <c r="C12" s="6" t="s">
        <v>3082</v>
      </c>
      <c r="D12" s="6" t="s">
        <v>3093</v>
      </c>
      <c r="E12" s="6" t="s">
        <v>3087</v>
      </c>
    </row>
    <row r="13" spans="1:5" x14ac:dyDescent="0.55000000000000004">
      <c r="A13" s="4" t="s">
        <v>3094</v>
      </c>
      <c r="B13" s="5"/>
      <c r="C13" s="6"/>
      <c r="D13" s="6"/>
      <c r="E13" s="6"/>
    </row>
    <row r="14" spans="1:5" ht="28.8" customHeight="1" x14ac:dyDescent="0.55000000000000004">
      <c r="A14" s="4">
        <v>10</v>
      </c>
      <c r="B14" s="5" t="s">
        <v>10</v>
      </c>
      <c r="C14" s="6" t="s">
        <v>3082</v>
      </c>
      <c r="D14" s="6" t="s">
        <v>3095</v>
      </c>
      <c r="E14" s="6" t="s">
        <v>3094</v>
      </c>
    </row>
    <row r="15" spans="1:5" x14ac:dyDescent="0.55000000000000004">
      <c r="A15">
        <v>11</v>
      </c>
      <c r="B15" t="s">
        <v>11</v>
      </c>
      <c r="C15" t="s">
        <v>3082</v>
      </c>
      <c r="D15" t="s">
        <v>3096</v>
      </c>
      <c r="E15" t="s">
        <v>3094</v>
      </c>
    </row>
    <row r="16" spans="1:5" x14ac:dyDescent="0.55000000000000004">
      <c r="A16" s="7">
        <v>12</v>
      </c>
      <c r="B16" t="s">
        <v>12</v>
      </c>
      <c r="C16" t="s">
        <v>3082</v>
      </c>
      <c r="D16" t="s">
        <v>3097</v>
      </c>
      <c r="E16" t="s">
        <v>3094</v>
      </c>
    </row>
    <row r="17" spans="1:5" ht="28.8" customHeight="1" x14ac:dyDescent="0.55000000000000004">
      <c r="A17" s="4">
        <v>13</v>
      </c>
      <c r="B17" s="5" t="s">
        <v>13</v>
      </c>
      <c r="C17" s="6" t="s">
        <v>3082</v>
      </c>
      <c r="D17" s="6" t="s">
        <v>3098</v>
      </c>
      <c r="E17" s="6" t="s">
        <v>3094</v>
      </c>
    </row>
    <row r="18" spans="1:5" x14ac:dyDescent="0.55000000000000004">
      <c r="A18" s="4" t="s">
        <v>3099</v>
      </c>
      <c r="B18" s="5"/>
      <c r="C18" s="6"/>
      <c r="D18" s="6"/>
      <c r="E18" s="6"/>
    </row>
    <row r="19" spans="1:5" ht="43.2" customHeight="1" x14ac:dyDescent="0.55000000000000004">
      <c r="A19" s="4">
        <v>14</v>
      </c>
      <c r="B19" s="5" t="s">
        <v>14</v>
      </c>
      <c r="C19" s="6" t="s">
        <v>3100</v>
      </c>
      <c r="D19" s="6" t="s">
        <v>3101</v>
      </c>
      <c r="E19" s="6" t="s">
        <v>3099</v>
      </c>
    </row>
    <row r="20" spans="1:5" ht="43.2" customHeight="1" x14ac:dyDescent="0.55000000000000004">
      <c r="A20" s="4">
        <v>15</v>
      </c>
      <c r="B20" s="5" t="s">
        <v>15</v>
      </c>
      <c r="C20" s="6" t="s">
        <v>3082</v>
      </c>
      <c r="D20" s="6" t="s">
        <v>3102</v>
      </c>
      <c r="E20" s="6" t="s">
        <v>3099</v>
      </c>
    </row>
    <row r="21" spans="1:5" ht="43.2" customHeight="1" x14ac:dyDescent="0.55000000000000004">
      <c r="A21" s="4">
        <v>16</v>
      </c>
      <c r="B21" s="5" t="s">
        <v>16</v>
      </c>
      <c r="C21" s="6" t="s">
        <v>3100</v>
      </c>
      <c r="D21" s="6" t="s">
        <v>3103</v>
      </c>
      <c r="E21" s="6" t="s">
        <v>3099</v>
      </c>
    </row>
    <row r="22" spans="1:5" x14ac:dyDescent="0.55000000000000004">
      <c r="A22">
        <v>17</v>
      </c>
      <c r="B22" t="s">
        <v>17</v>
      </c>
      <c r="C22" t="s">
        <v>3100</v>
      </c>
      <c r="D22" t="s">
        <v>3104</v>
      </c>
      <c r="E22" t="s">
        <v>3099</v>
      </c>
    </row>
    <row r="23" spans="1:5" x14ac:dyDescent="0.55000000000000004">
      <c r="A23" s="7">
        <v>18</v>
      </c>
      <c r="B23" t="s">
        <v>18</v>
      </c>
      <c r="C23" t="s">
        <v>3100</v>
      </c>
      <c r="D23" t="s">
        <v>3105</v>
      </c>
      <c r="E23" t="s">
        <v>3099</v>
      </c>
    </row>
    <row r="24" spans="1:5" ht="43.2" customHeight="1" x14ac:dyDescent="0.55000000000000004">
      <c r="A24" s="4">
        <v>19</v>
      </c>
      <c r="B24" s="5" t="s">
        <v>19</v>
      </c>
      <c r="C24" s="6" t="s">
        <v>3100</v>
      </c>
      <c r="D24" s="6" t="s">
        <v>3106</v>
      </c>
      <c r="E24" s="6" t="s">
        <v>3099</v>
      </c>
    </row>
    <row r="25" spans="1:5" ht="43.2" customHeight="1" x14ac:dyDescent="0.55000000000000004">
      <c r="A25" s="4">
        <v>20</v>
      </c>
      <c r="B25" s="5" t="s">
        <v>20</v>
      </c>
      <c r="C25" s="6" t="s">
        <v>3100</v>
      </c>
      <c r="D25" s="6" t="s">
        <v>3107</v>
      </c>
      <c r="E25" s="6" t="s">
        <v>3099</v>
      </c>
    </row>
    <row r="26" spans="1:5" ht="43.2" customHeight="1" x14ac:dyDescent="0.55000000000000004">
      <c r="A26" s="4">
        <v>21</v>
      </c>
      <c r="B26" s="5" t="s">
        <v>21</v>
      </c>
      <c r="C26" s="6" t="s">
        <v>3100</v>
      </c>
      <c r="D26" s="6" t="s">
        <v>3108</v>
      </c>
      <c r="E26" s="6" t="s">
        <v>3099</v>
      </c>
    </row>
    <row r="27" spans="1:5" ht="43.2" customHeight="1" x14ac:dyDescent="0.55000000000000004">
      <c r="A27" s="4" t="s">
        <v>3109</v>
      </c>
      <c r="B27" s="5" t="s">
        <v>22</v>
      </c>
      <c r="C27" s="6" t="s">
        <v>3100</v>
      </c>
      <c r="D27" s="6" t="s">
        <v>3110</v>
      </c>
      <c r="E27" s="6" t="s">
        <v>3099</v>
      </c>
    </row>
    <row r="28" spans="1:5" x14ac:dyDescent="0.55000000000000004">
      <c r="A28" s="4" t="s">
        <v>3111</v>
      </c>
      <c r="B28" s="5" t="s">
        <v>23</v>
      </c>
      <c r="C28" s="6" t="s">
        <v>3082</v>
      </c>
      <c r="D28" s="6" t="s">
        <v>3112</v>
      </c>
      <c r="E28" s="6"/>
    </row>
    <row r="29" spans="1:5" ht="43.2" customHeight="1" x14ac:dyDescent="0.55000000000000004">
      <c r="A29" s="4" t="s">
        <v>3113</v>
      </c>
      <c r="B29" s="5"/>
      <c r="C29" s="6"/>
      <c r="D29" s="6"/>
      <c r="E29" s="6" t="s">
        <v>3113</v>
      </c>
    </row>
    <row r="30" spans="1:5" ht="43.2" customHeight="1" x14ac:dyDescent="0.55000000000000004">
      <c r="A30" s="4" t="s">
        <v>3114</v>
      </c>
      <c r="B30" s="5" t="s">
        <v>24</v>
      </c>
      <c r="C30" s="6" t="s">
        <v>3100</v>
      </c>
      <c r="D30" s="6" t="s">
        <v>3115</v>
      </c>
      <c r="E30" s="6" t="s">
        <v>3113</v>
      </c>
    </row>
    <row r="31" spans="1:5" ht="28.8" customHeight="1" x14ac:dyDescent="0.55000000000000004">
      <c r="A31" s="4" t="s">
        <v>3116</v>
      </c>
      <c r="B31" s="5" t="s">
        <v>25</v>
      </c>
      <c r="C31" s="6" t="s">
        <v>3117</v>
      </c>
      <c r="D31" s="6" t="s">
        <v>3118</v>
      </c>
      <c r="E31" s="6" t="s">
        <v>3113</v>
      </c>
    </row>
    <row r="32" spans="1:5" ht="43.2" customHeight="1" x14ac:dyDescent="0.55000000000000004">
      <c r="A32" s="4" t="s">
        <v>3119</v>
      </c>
      <c r="B32" s="5" t="s">
        <v>26</v>
      </c>
      <c r="C32" s="6" t="s">
        <v>3117</v>
      </c>
      <c r="D32" s="6" t="s">
        <v>3120</v>
      </c>
      <c r="E32" s="6" t="s">
        <v>3113</v>
      </c>
    </row>
    <row r="33" spans="1:5" x14ac:dyDescent="0.55000000000000004">
      <c r="A33">
        <v>27</v>
      </c>
      <c r="B33" t="s">
        <v>27</v>
      </c>
      <c r="C33" t="s">
        <v>3100</v>
      </c>
      <c r="D33" t="s">
        <v>3121</v>
      </c>
      <c r="E33" t="s">
        <v>3113</v>
      </c>
    </row>
    <row r="34" spans="1:5" x14ac:dyDescent="0.55000000000000004">
      <c r="A34">
        <v>28</v>
      </c>
      <c r="B34" t="s">
        <v>28</v>
      </c>
      <c r="C34" t="s">
        <v>3100</v>
      </c>
      <c r="D34" t="s">
        <v>3122</v>
      </c>
      <c r="E34" t="s">
        <v>3113</v>
      </c>
    </row>
    <row r="35" spans="1:5" ht="43.2" customHeight="1" x14ac:dyDescent="0.55000000000000004">
      <c r="A35">
        <v>29</v>
      </c>
      <c r="B35" t="s">
        <v>29</v>
      </c>
      <c r="C35" t="s">
        <v>3100</v>
      </c>
      <c r="D35" t="s">
        <v>3123</v>
      </c>
      <c r="E35" t="s">
        <v>3113</v>
      </c>
    </row>
    <row r="36" spans="1:5" ht="43.2" customHeight="1" x14ac:dyDescent="0.55000000000000004">
      <c r="A36">
        <v>30</v>
      </c>
      <c r="B36" t="s">
        <v>30</v>
      </c>
      <c r="C36" t="s">
        <v>3100</v>
      </c>
      <c r="D36" t="s">
        <v>3124</v>
      </c>
      <c r="E36" t="s">
        <v>3113</v>
      </c>
    </row>
    <row r="37" spans="1:5" ht="43.2" customHeight="1" x14ac:dyDescent="0.55000000000000004">
      <c r="A37">
        <v>31</v>
      </c>
      <c r="B37" t="s">
        <v>31</v>
      </c>
      <c r="C37" t="s">
        <v>3100</v>
      </c>
      <c r="D37" t="s">
        <v>3125</v>
      </c>
      <c r="E37" t="s">
        <v>3113</v>
      </c>
    </row>
    <row r="38" spans="1:5" ht="28.8" customHeight="1" x14ac:dyDescent="0.55000000000000004">
      <c r="A38">
        <v>32</v>
      </c>
      <c r="B38" t="s">
        <v>32</v>
      </c>
      <c r="C38" t="s">
        <v>3100</v>
      </c>
      <c r="D38" t="s">
        <v>3126</v>
      </c>
      <c r="E38" t="s">
        <v>3113</v>
      </c>
    </row>
    <row r="39" spans="1:5" x14ac:dyDescent="0.55000000000000004">
      <c r="A39">
        <v>33</v>
      </c>
      <c r="B39" t="s">
        <v>33</v>
      </c>
      <c r="C39" t="s">
        <v>3100</v>
      </c>
      <c r="D39" t="s">
        <v>3127</v>
      </c>
      <c r="E39" t="s">
        <v>3113</v>
      </c>
    </row>
    <row r="40" spans="1:5" x14ac:dyDescent="0.55000000000000004">
      <c r="A40">
        <v>34</v>
      </c>
      <c r="B40" t="s">
        <v>34</v>
      </c>
      <c r="C40" t="s">
        <v>3100</v>
      </c>
      <c r="D40" t="s">
        <v>3128</v>
      </c>
      <c r="E40" t="s">
        <v>3113</v>
      </c>
    </row>
    <row r="41" spans="1:5" ht="28.8" customHeight="1" x14ac:dyDescent="0.55000000000000004">
      <c r="A41">
        <v>35</v>
      </c>
      <c r="B41" t="s">
        <v>35</v>
      </c>
      <c r="C41" t="s">
        <v>3100</v>
      </c>
      <c r="D41" t="s">
        <v>3129</v>
      </c>
      <c r="E41" t="s">
        <v>3113</v>
      </c>
    </row>
    <row r="42" spans="1:5" ht="43.2" customHeight="1" x14ac:dyDescent="0.55000000000000004">
      <c r="A42" s="7" t="s">
        <v>3130</v>
      </c>
      <c r="E42" t="s">
        <v>3130</v>
      </c>
    </row>
    <row r="43" spans="1:5" ht="28.8" customHeight="1" x14ac:dyDescent="0.55000000000000004">
      <c r="A43" s="4">
        <v>36</v>
      </c>
      <c r="B43" s="5" t="s">
        <v>36</v>
      </c>
      <c r="C43" s="6" t="s">
        <v>3082</v>
      </c>
      <c r="D43" s="6" t="s">
        <v>3131</v>
      </c>
      <c r="E43" s="6" t="s">
        <v>3130</v>
      </c>
    </row>
    <row r="44" spans="1:5" ht="28.8" customHeight="1" x14ac:dyDescent="0.55000000000000004">
      <c r="A44" s="4">
        <v>37</v>
      </c>
      <c r="B44" s="5" t="s">
        <v>37</v>
      </c>
      <c r="C44" s="6" t="s">
        <v>3100</v>
      </c>
      <c r="D44" s="6" t="s">
        <v>3132</v>
      </c>
      <c r="E44" s="6" t="s">
        <v>3130</v>
      </c>
    </row>
    <row r="45" spans="1:5" ht="43.2" customHeight="1" x14ac:dyDescent="0.55000000000000004">
      <c r="A45" s="4">
        <v>38</v>
      </c>
      <c r="B45" s="5" t="s">
        <v>38</v>
      </c>
      <c r="C45" s="6" t="s">
        <v>3100</v>
      </c>
      <c r="D45" s="6" t="s">
        <v>3133</v>
      </c>
      <c r="E45" s="6" t="s">
        <v>3130</v>
      </c>
    </row>
    <row r="46" spans="1:5" ht="43.2" customHeight="1" x14ac:dyDescent="0.55000000000000004">
      <c r="A46" s="4">
        <v>39</v>
      </c>
      <c r="B46" s="5" t="s">
        <v>39</v>
      </c>
      <c r="C46" s="6" t="s">
        <v>3100</v>
      </c>
      <c r="D46" s="6" t="s">
        <v>3134</v>
      </c>
      <c r="E46" s="6" t="s">
        <v>3130</v>
      </c>
    </row>
    <row r="47" spans="1:5" ht="43.2" customHeight="1" x14ac:dyDescent="0.55000000000000004">
      <c r="A47">
        <v>40</v>
      </c>
      <c r="B47" t="s">
        <v>40</v>
      </c>
      <c r="C47" t="s">
        <v>3082</v>
      </c>
      <c r="D47" t="s">
        <v>3135</v>
      </c>
      <c r="E47" t="s">
        <v>3130</v>
      </c>
    </row>
    <row r="48" spans="1:5" ht="43.2" customHeight="1" x14ac:dyDescent="0.55000000000000004">
      <c r="A48" s="7">
        <v>41</v>
      </c>
      <c r="B48" t="s">
        <v>41</v>
      </c>
      <c r="C48" t="s">
        <v>3100</v>
      </c>
      <c r="D48" t="s">
        <v>3136</v>
      </c>
      <c r="E48" t="s">
        <v>3130</v>
      </c>
    </row>
    <row r="49" spans="1:5" ht="43.2" customHeight="1" x14ac:dyDescent="0.55000000000000004">
      <c r="A49" s="4">
        <v>42</v>
      </c>
      <c r="B49" s="5" t="s">
        <v>42</v>
      </c>
      <c r="C49" s="6" t="s">
        <v>3100</v>
      </c>
      <c r="D49" s="6" t="s">
        <v>3137</v>
      </c>
      <c r="E49" s="6" t="s">
        <v>3130</v>
      </c>
    </row>
    <row r="50" spans="1:5" ht="28.8" customHeight="1" x14ac:dyDescent="0.55000000000000004">
      <c r="A50" s="4">
        <v>43</v>
      </c>
      <c r="B50" s="5" t="s">
        <v>43</v>
      </c>
      <c r="C50" s="6" t="s">
        <v>3100</v>
      </c>
      <c r="D50" s="6" t="s">
        <v>3138</v>
      </c>
      <c r="E50" s="6" t="s">
        <v>3130</v>
      </c>
    </row>
    <row r="51" spans="1:5" ht="43.2" customHeight="1" x14ac:dyDescent="0.55000000000000004">
      <c r="A51" s="4">
        <v>44</v>
      </c>
      <c r="B51" s="5" t="s">
        <v>44</v>
      </c>
      <c r="C51" s="6" t="s">
        <v>3082</v>
      </c>
      <c r="D51" s="6" t="s">
        <v>3139</v>
      </c>
      <c r="E51" s="6" t="s">
        <v>3130</v>
      </c>
    </row>
    <row r="52" spans="1:5" x14ac:dyDescent="0.55000000000000004">
      <c r="A52" s="4">
        <v>45</v>
      </c>
      <c r="B52" s="5" t="s">
        <v>45</v>
      </c>
      <c r="C52" s="6" t="s">
        <v>3100</v>
      </c>
      <c r="D52" s="6" t="s">
        <v>3140</v>
      </c>
      <c r="E52" s="6"/>
    </row>
    <row r="53" spans="1:5" ht="28.8" customHeight="1" x14ac:dyDescent="0.55000000000000004">
      <c r="A53" s="4" t="s">
        <v>3141</v>
      </c>
      <c r="B53" s="5"/>
      <c r="C53" s="6"/>
      <c r="D53" s="6"/>
      <c r="E53" s="6" t="s">
        <v>3141</v>
      </c>
    </row>
    <row r="54" spans="1:5" ht="43.2" customHeight="1" x14ac:dyDescent="0.55000000000000004">
      <c r="A54" s="4">
        <v>46</v>
      </c>
      <c r="B54" s="5" t="s">
        <v>46</v>
      </c>
      <c r="C54" s="6" t="s">
        <v>3082</v>
      </c>
      <c r="D54" s="6" t="s">
        <v>3142</v>
      </c>
      <c r="E54" s="6" t="s">
        <v>3141</v>
      </c>
    </row>
    <row r="55" spans="1:5" ht="43.2" customHeight="1" x14ac:dyDescent="0.55000000000000004">
      <c r="A55" s="4">
        <v>47</v>
      </c>
      <c r="B55" s="5" t="s">
        <v>47</v>
      </c>
      <c r="C55" s="6" t="s">
        <v>3100</v>
      </c>
      <c r="D55" s="6" t="s">
        <v>3143</v>
      </c>
      <c r="E55" s="6" t="s">
        <v>3141</v>
      </c>
    </row>
    <row r="56" spans="1:5" ht="43.2" customHeight="1" x14ac:dyDescent="0.55000000000000004">
      <c r="A56" s="4">
        <v>48</v>
      </c>
      <c r="B56" s="5" t="s">
        <v>48</v>
      </c>
      <c r="C56" s="6" t="s">
        <v>3100</v>
      </c>
      <c r="D56" s="6" t="s">
        <v>3133</v>
      </c>
      <c r="E56" s="6" t="s">
        <v>3141</v>
      </c>
    </row>
    <row r="57" spans="1:5" ht="43.2" customHeight="1" x14ac:dyDescent="0.55000000000000004">
      <c r="A57" s="4">
        <v>49</v>
      </c>
      <c r="B57" s="5" t="s">
        <v>49</v>
      </c>
      <c r="C57" s="6" t="s">
        <v>3100</v>
      </c>
      <c r="D57" s="6" t="s">
        <v>3134</v>
      </c>
      <c r="E57" s="6" t="s">
        <v>3141</v>
      </c>
    </row>
    <row r="58" spans="1:5" ht="43.2" customHeight="1" x14ac:dyDescent="0.55000000000000004">
      <c r="A58" s="4">
        <v>50</v>
      </c>
      <c r="B58" s="5" t="s">
        <v>50</v>
      </c>
      <c r="C58" s="6" t="s">
        <v>3082</v>
      </c>
      <c r="D58" s="6" t="s">
        <v>3139</v>
      </c>
      <c r="E58" s="6" t="s">
        <v>3141</v>
      </c>
    </row>
    <row r="59" spans="1:5" ht="43.2" customHeight="1" x14ac:dyDescent="0.55000000000000004">
      <c r="A59">
        <v>51</v>
      </c>
      <c r="B59" t="s">
        <v>51</v>
      </c>
      <c r="C59" t="s">
        <v>3100</v>
      </c>
      <c r="D59" t="s">
        <v>3136</v>
      </c>
      <c r="E59" t="s">
        <v>3141</v>
      </c>
    </row>
    <row r="60" spans="1:5" ht="43.2" customHeight="1" x14ac:dyDescent="0.55000000000000004">
      <c r="A60" s="7">
        <v>52</v>
      </c>
      <c r="B60" t="s">
        <v>52</v>
      </c>
      <c r="C60" t="s">
        <v>3100</v>
      </c>
      <c r="D60" t="s">
        <v>3137</v>
      </c>
      <c r="E60" t="s">
        <v>3141</v>
      </c>
    </row>
    <row r="61" spans="1:5" ht="43.2" customHeight="1" x14ac:dyDescent="0.55000000000000004">
      <c r="A61" s="4">
        <v>53</v>
      </c>
      <c r="B61" s="5" t="s">
        <v>53</v>
      </c>
      <c r="C61" s="6" t="s">
        <v>3100</v>
      </c>
      <c r="D61" s="6" t="s">
        <v>3138</v>
      </c>
      <c r="E61" s="6" t="s">
        <v>3141</v>
      </c>
    </row>
    <row r="62" spans="1:5" ht="43.2" customHeight="1" x14ac:dyDescent="0.55000000000000004">
      <c r="A62" s="4">
        <v>54</v>
      </c>
      <c r="B62" s="5" t="s">
        <v>54</v>
      </c>
      <c r="C62" s="6" t="s">
        <v>3082</v>
      </c>
      <c r="D62" s="6" t="s">
        <v>3139</v>
      </c>
      <c r="E62" s="6" t="s">
        <v>3141</v>
      </c>
    </row>
    <row r="63" spans="1:5" x14ac:dyDescent="0.55000000000000004">
      <c r="A63" s="4">
        <v>55</v>
      </c>
      <c r="B63" s="5" t="s">
        <v>55</v>
      </c>
      <c r="C63" s="6" t="s">
        <v>3100</v>
      </c>
      <c r="D63" s="6" t="s">
        <v>3140</v>
      </c>
      <c r="E63" s="6"/>
    </row>
    <row r="64" spans="1:5" ht="43.2" customHeight="1" x14ac:dyDescent="0.55000000000000004">
      <c r="A64" s="4" t="s">
        <v>3144</v>
      </c>
      <c r="B64" s="5"/>
      <c r="C64" s="6"/>
      <c r="D64" s="6"/>
      <c r="E64" s="6" t="s">
        <v>3144</v>
      </c>
    </row>
    <row r="65" spans="1:5" ht="28.8" customHeight="1" x14ac:dyDescent="0.55000000000000004">
      <c r="A65" s="4">
        <v>56</v>
      </c>
      <c r="B65" s="5" t="s">
        <v>56</v>
      </c>
      <c r="C65" s="6" t="s">
        <v>3082</v>
      </c>
      <c r="D65" s="6" t="s">
        <v>3145</v>
      </c>
      <c r="E65" s="6" t="s">
        <v>3144</v>
      </c>
    </row>
    <row r="66" spans="1:5" ht="43.2" customHeight="1" x14ac:dyDescent="0.55000000000000004">
      <c r="A66" s="4">
        <v>57</v>
      </c>
      <c r="B66" s="5" t="s">
        <v>57</v>
      </c>
      <c r="C66" s="6" t="s">
        <v>3100</v>
      </c>
      <c r="D66" s="6" t="s">
        <v>3146</v>
      </c>
      <c r="E66" s="6" t="s">
        <v>3144</v>
      </c>
    </row>
    <row r="67" spans="1:5" ht="28.8" customHeight="1" x14ac:dyDescent="0.55000000000000004">
      <c r="A67" s="4">
        <v>58</v>
      </c>
      <c r="B67" s="5" t="s">
        <v>58</v>
      </c>
      <c r="C67" s="6" t="s">
        <v>3100</v>
      </c>
      <c r="D67" s="6" t="s">
        <v>3133</v>
      </c>
      <c r="E67" s="6" t="s">
        <v>3144</v>
      </c>
    </row>
    <row r="68" spans="1:5" ht="28.8" customHeight="1" x14ac:dyDescent="0.55000000000000004">
      <c r="A68" s="4">
        <v>59</v>
      </c>
      <c r="B68" s="5" t="s">
        <v>59</v>
      </c>
      <c r="C68" s="6" t="s">
        <v>3100</v>
      </c>
      <c r="D68" s="6" t="s">
        <v>3134</v>
      </c>
      <c r="E68" s="6" t="s">
        <v>3144</v>
      </c>
    </row>
    <row r="69" spans="1:5" ht="28.8" customHeight="1" x14ac:dyDescent="0.55000000000000004">
      <c r="A69" s="4">
        <v>60</v>
      </c>
      <c r="B69" s="5" t="s">
        <v>60</v>
      </c>
      <c r="C69" s="6" t="s">
        <v>3082</v>
      </c>
      <c r="D69" s="6" t="s">
        <v>3139</v>
      </c>
      <c r="E69" s="6" t="s">
        <v>3144</v>
      </c>
    </row>
    <row r="70" spans="1:5" ht="43.2" customHeight="1" x14ac:dyDescent="0.55000000000000004">
      <c r="A70" s="4">
        <v>61</v>
      </c>
      <c r="B70" s="5" t="s">
        <v>61</v>
      </c>
      <c r="C70" s="6" t="s">
        <v>3100</v>
      </c>
      <c r="D70" s="6" t="s">
        <v>3136</v>
      </c>
      <c r="E70" s="6" t="s">
        <v>3144</v>
      </c>
    </row>
    <row r="71" spans="1:5" x14ac:dyDescent="0.55000000000000004">
      <c r="A71">
        <v>62</v>
      </c>
      <c r="B71" t="s">
        <v>62</v>
      </c>
      <c r="C71" t="s">
        <v>3100</v>
      </c>
      <c r="D71" t="s">
        <v>3137</v>
      </c>
      <c r="E71" t="s">
        <v>3144</v>
      </c>
    </row>
    <row r="72" spans="1:5" x14ac:dyDescent="0.55000000000000004">
      <c r="A72" s="7">
        <v>63</v>
      </c>
      <c r="B72" t="s">
        <v>63</v>
      </c>
      <c r="C72" t="s">
        <v>3100</v>
      </c>
      <c r="D72" t="s">
        <v>3138</v>
      </c>
      <c r="E72" t="s">
        <v>3144</v>
      </c>
    </row>
    <row r="73" spans="1:5" ht="43.2" customHeight="1" x14ac:dyDescent="0.55000000000000004">
      <c r="A73" s="4">
        <v>64</v>
      </c>
      <c r="B73" s="5" t="s">
        <v>64</v>
      </c>
      <c r="C73" s="6" t="s">
        <v>3082</v>
      </c>
      <c r="D73" s="6" t="s">
        <v>3139</v>
      </c>
      <c r="E73" s="6" t="s">
        <v>3144</v>
      </c>
    </row>
    <row r="74" spans="1:5" ht="43.2" customHeight="1" x14ac:dyDescent="0.55000000000000004">
      <c r="A74" s="4">
        <v>65</v>
      </c>
      <c r="B74" s="5" t="s">
        <v>65</v>
      </c>
      <c r="C74" s="6" t="s">
        <v>3100</v>
      </c>
      <c r="D74" s="6" t="s">
        <v>3140</v>
      </c>
      <c r="E74" s="6"/>
    </row>
    <row r="75" spans="1:5" ht="28.8" customHeight="1" x14ac:dyDescent="0.55000000000000004">
      <c r="A75" s="4" t="s">
        <v>3147</v>
      </c>
      <c r="B75" s="5"/>
      <c r="C75" s="6"/>
      <c r="D75" s="6"/>
      <c r="E75" s="6" t="s">
        <v>3147</v>
      </c>
    </row>
    <row r="76" spans="1:5" ht="28.8" customHeight="1" x14ac:dyDescent="0.55000000000000004">
      <c r="A76" s="4">
        <v>66</v>
      </c>
      <c r="B76" s="5" t="s">
        <v>66</v>
      </c>
      <c r="C76" s="6" t="s">
        <v>3082</v>
      </c>
      <c r="D76" s="6" t="s">
        <v>3145</v>
      </c>
      <c r="E76" s="6" t="s">
        <v>3147</v>
      </c>
    </row>
    <row r="77" spans="1:5" ht="43.2" customHeight="1" x14ac:dyDescent="0.55000000000000004">
      <c r="A77" s="4">
        <v>67</v>
      </c>
      <c r="B77" s="5" t="s">
        <v>69</v>
      </c>
      <c r="C77" s="6" t="s">
        <v>3100</v>
      </c>
      <c r="D77" s="6" t="s">
        <v>3148</v>
      </c>
      <c r="E77" s="6" t="s">
        <v>3147</v>
      </c>
    </row>
    <row r="78" spans="1:5" ht="43.2" customHeight="1" x14ac:dyDescent="0.55000000000000004">
      <c r="A78" s="4">
        <v>68</v>
      </c>
      <c r="B78" s="5" t="s">
        <v>67</v>
      </c>
      <c r="C78" s="6" t="s">
        <v>3082</v>
      </c>
      <c r="D78" s="6" t="s">
        <v>3149</v>
      </c>
      <c r="E78" s="6"/>
    </row>
    <row r="79" spans="1:5" ht="43.2" customHeight="1" x14ac:dyDescent="0.55000000000000004">
      <c r="A79" s="4"/>
      <c r="B79" s="5"/>
      <c r="C79" s="6"/>
      <c r="D79" s="6"/>
      <c r="E79" s="6"/>
    </row>
    <row r="80" spans="1:5" x14ac:dyDescent="0.55000000000000004">
      <c r="A80" s="4">
        <v>69</v>
      </c>
      <c r="B80" s="5" t="s">
        <v>68</v>
      </c>
      <c r="C80" s="6" t="s">
        <v>3082</v>
      </c>
      <c r="D80" s="6" t="s">
        <v>3150</v>
      </c>
      <c r="E80" s="6"/>
    </row>
    <row r="81" spans="1:5" x14ac:dyDescent="0.55000000000000004">
      <c r="A81" s="10"/>
      <c r="B81" s="5"/>
      <c r="C81" s="6"/>
      <c r="D81" s="6"/>
      <c r="E81" s="6"/>
    </row>
    <row r="82" spans="1:5" ht="15.6" customHeight="1" x14ac:dyDescent="0.55000000000000004">
      <c r="A82" s="4" t="s">
        <v>3151</v>
      </c>
      <c r="B82" s="5"/>
      <c r="C82" s="6"/>
      <c r="D82" s="6"/>
      <c r="E82" s="6" t="s">
        <v>3152</v>
      </c>
    </row>
    <row r="83" spans="1:5" x14ac:dyDescent="0.55000000000000004">
      <c r="A83">
        <v>72</v>
      </c>
      <c r="B83" t="s">
        <v>74</v>
      </c>
      <c r="C83" t="s">
        <v>3088</v>
      </c>
      <c r="D83" t="s">
        <v>3153</v>
      </c>
      <c r="E83" t="s">
        <v>3152</v>
      </c>
    </row>
    <row r="84" spans="1:5" ht="28.8" customHeight="1" x14ac:dyDescent="0.55000000000000004">
      <c r="A84" s="7">
        <v>73</v>
      </c>
      <c r="B84" t="s">
        <v>75</v>
      </c>
      <c r="C84" t="s">
        <v>3088</v>
      </c>
      <c r="D84" t="s">
        <v>3154</v>
      </c>
      <c r="E84" t="s">
        <v>3152</v>
      </c>
    </row>
    <row r="85" spans="1:5" ht="28.8" customHeight="1" x14ac:dyDescent="0.55000000000000004">
      <c r="A85" s="4">
        <v>74</v>
      </c>
      <c r="B85" s="5" t="s">
        <v>76</v>
      </c>
      <c r="C85" s="6" t="s">
        <v>3088</v>
      </c>
      <c r="D85" s="6" t="s">
        <v>3155</v>
      </c>
      <c r="E85" s="6" t="s">
        <v>3152</v>
      </c>
    </row>
    <row r="86" spans="1:5" ht="28.8" customHeight="1" x14ac:dyDescent="0.55000000000000004">
      <c r="A86" s="4">
        <v>75</v>
      </c>
      <c r="B86" s="5" t="s">
        <v>77</v>
      </c>
      <c r="C86" s="6" t="s">
        <v>3088</v>
      </c>
      <c r="D86" s="6" t="s">
        <v>3156</v>
      </c>
      <c r="E86" s="6" t="s">
        <v>3152</v>
      </c>
    </row>
    <row r="87" spans="1:5" ht="28.8" customHeight="1" x14ac:dyDescent="0.55000000000000004">
      <c r="A87" s="4">
        <v>76</v>
      </c>
      <c r="B87" s="5" t="s">
        <v>78</v>
      </c>
      <c r="C87" s="6" t="s">
        <v>3088</v>
      </c>
      <c r="D87" s="6" t="s">
        <v>3157</v>
      </c>
      <c r="E87" s="6" t="s">
        <v>3152</v>
      </c>
    </row>
    <row r="88" spans="1:5" ht="28.8" customHeight="1" x14ac:dyDescent="0.55000000000000004">
      <c r="A88">
        <v>77</v>
      </c>
      <c r="B88" t="s">
        <v>79</v>
      </c>
      <c r="C88" t="s">
        <v>3088</v>
      </c>
      <c r="D88" t="s">
        <v>3158</v>
      </c>
      <c r="E88" t="s">
        <v>3152</v>
      </c>
    </row>
    <row r="89" spans="1:5" ht="28.8" customHeight="1" x14ac:dyDescent="0.55000000000000004">
      <c r="A89">
        <v>78</v>
      </c>
      <c r="B89" t="s">
        <v>80</v>
      </c>
      <c r="C89" t="s">
        <v>3088</v>
      </c>
      <c r="D89" t="s">
        <v>3159</v>
      </c>
      <c r="E89" t="s">
        <v>3152</v>
      </c>
    </row>
    <row r="90" spans="1:5" ht="28.8" customHeight="1" x14ac:dyDescent="0.6">
      <c r="A90" s="8">
        <v>79</v>
      </c>
      <c r="B90" t="s">
        <v>81</v>
      </c>
      <c r="C90" t="s">
        <v>3088</v>
      </c>
      <c r="D90" t="s">
        <v>3160</v>
      </c>
    </row>
    <row r="91" spans="1:5" ht="28.8" customHeight="1" x14ac:dyDescent="0.55000000000000004">
      <c r="A91" s="11"/>
    </row>
    <row r="92" spans="1:5" ht="28.8" customHeight="1" x14ac:dyDescent="0.55000000000000004">
      <c r="A92" s="4" t="s">
        <v>3161</v>
      </c>
      <c r="B92" s="5"/>
      <c r="C92" s="6"/>
      <c r="D92" s="6"/>
      <c r="E92" s="6"/>
    </row>
    <row r="93" spans="1:5" ht="28.8" customHeight="1" x14ac:dyDescent="0.55000000000000004">
      <c r="A93" s="4" t="s">
        <v>3162</v>
      </c>
      <c r="B93" s="5" t="s">
        <v>1289</v>
      </c>
      <c r="C93" s="6" t="s">
        <v>3082</v>
      </c>
      <c r="D93" s="6" t="s">
        <v>3163</v>
      </c>
      <c r="E93" s="6"/>
    </row>
    <row r="94" spans="1:5" ht="28.8" customHeight="1" x14ac:dyDescent="0.55000000000000004">
      <c r="A94" s="4" t="s">
        <v>3164</v>
      </c>
      <c r="B94" s="5" t="s">
        <v>1290</v>
      </c>
      <c r="C94" s="6" t="s">
        <v>3082</v>
      </c>
      <c r="D94" s="6" t="s">
        <v>3165</v>
      </c>
      <c r="E94" s="6"/>
    </row>
    <row r="95" spans="1:5" ht="28.8" customHeight="1" x14ac:dyDescent="0.55000000000000004">
      <c r="A95" s="4" t="s">
        <v>3166</v>
      </c>
      <c r="B95" s="5" t="s">
        <v>1291</v>
      </c>
      <c r="C95" s="6" t="s">
        <v>3082</v>
      </c>
      <c r="D95" s="6" t="s">
        <v>3167</v>
      </c>
      <c r="E95" s="6"/>
    </row>
    <row r="96" spans="1:5" x14ac:dyDescent="0.55000000000000004">
      <c r="A96" s="4" t="s">
        <v>3168</v>
      </c>
      <c r="B96" s="5" t="s">
        <v>1292</v>
      </c>
      <c r="C96" s="6" t="s">
        <v>3082</v>
      </c>
      <c r="D96" s="6" t="s">
        <v>3169</v>
      </c>
      <c r="E96" s="6"/>
    </row>
    <row r="97" spans="1:5" ht="28.8" customHeight="1" x14ac:dyDescent="0.55000000000000004">
      <c r="A97" s="4" t="s">
        <v>3170</v>
      </c>
      <c r="B97" s="5" t="s">
        <v>1293</v>
      </c>
      <c r="C97" s="6" t="s">
        <v>3082</v>
      </c>
      <c r="D97" s="6" t="s">
        <v>3171</v>
      </c>
      <c r="E97" s="6"/>
    </row>
    <row r="98" spans="1:5" x14ac:dyDescent="0.55000000000000004">
      <c r="A98" s="4" t="s">
        <v>3172</v>
      </c>
      <c r="B98" s="5" t="s">
        <v>1294</v>
      </c>
      <c r="C98" s="6" t="s">
        <v>3082</v>
      </c>
      <c r="D98" s="6" t="s">
        <v>3173</v>
      </c>
      <c r="E98" s="6"/>
    </row>
    <row r="99" spans="1:5" ht="28.8" customHeight="1" x14ac:dyDescent="0.55000000000000004">
      <c r="A99" s="4" t="s">
        <v>3174</v>
      </c>
      <c r="B99" s="5" t="s">
        <v>1295</v>
      </c>
      <c r="C99" s="6" t="s">
        <v>3082</v>
      </c>
      <c r="D99" s="6" t="s">
        <v>3175</v>
      </c>
      <c r="E99" s="6"/>
    </row>
    <row r="100" spans="1:5" ht="28.8" customHeight="1" x14ac:dyDescent="0.55000000000000004">
      <c r="A100" s="4" t="s">
        <v>3176</v>
      </c>
      <c r="B100" s="5" t="s">
        <v>1296</v>
      </c>
      <c r="C100" s="6" t="s">
        <v>3082</v>
      </c>
      <c r="D100" s="6" t="s">
        <v>3177</v>
      </c>
      <c r="E100" s="6"/>
    </row>
    <row r="101" spans="1:5" x14ac:dyDescent="0.55000000000000004">
      <c r="A101" t="s">
        <v>3178</v>
      </c>
    </row>
    <row r="102" spans="1:5" x14ac:dyDescent="0.55000000000000004">
      <c r="A102">
        <v>80</v>
      </c>
      <c r="B102" t="s">
        <v>82</v>
      </c>
      <c r="C102" t="s">
        <v>3100</v>
      </c>
      <c r="D102" t="s">
        <v>3179</v>
      </c>
    </row>
    <row r="103" spans="1:5" x14ac:dyDescent="0.55000000000000004">
      <c r="A103">
        <v>81</v>
      </c>
      <c r="B103" t="s">
        <v>83</v>
      </c>
      <c r="C103" t="s">
        <v>3100</v>
      </c>
      <c r="D103" t="s">
        <v>3180</v>
      </c>
    </row>
    <row r="104" spans="1:5" x14ac:dyDescent="0.55000000000000004">
      <c r="A104">
        <v>82</v>
      </c>
      <c r="B104" t="s">
        <v>84</v>
      </c>
      <c r="C104" t="s">
        <v>3100</v>
      </c>
      <c r="D104" t="s">
        <v>3181</v>
      </c>
    </row>
    <row r="105" spans="1:5" x14ac:dyDescent="0.55000000000000004">
      <c r="A105">
        <v>83</v>
      </c>
      <c r="B105" t="s">
        <v>85</v>
      </c>
      <c r="C105" t="s">
        <v>3100</v>
      </c>
      <c r="D105" t="s">
        <v>3182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Table</vt:lpstr>
      <vt:lpstr>Reasoning Table</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Roodman</cp:lastModifiedBy>
  <dcterms:created xsi:type="dcterms:W3CDTF">2026-04-02T19:32:59Z</dcterms:created>
  <dcterms:modified xsi:type="dcterms:W3CDTF">2026-05-11T02:00:54Z</dcterms:modified>
</cp:coreProperties>
</file>