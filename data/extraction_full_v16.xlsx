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6" yWindow="-96" windowWidth="23232" windowHeight="14592" tabRatio="600" firstSheet="0" activeTab="0" autoFilterDateGrouping="1"/>
  </bookViews>
  <sheets>
    <sheet xmlns:r="http://schemas.openxmlformats.org/officeDocument/2006/relationships" name="Data Table" sheetId="1" state="visible" r:id="rId1"/>
    <sheet xmlns:r="http://schemas.openxmlformats.org/officeDocument/2006/relationships" name="Reasoning Table" sheetId="2" state="visible" r:id="rId2"/>
    <sheet xmlns:r="http://schemas.openxmlformats.org/officeDocument/2006/relationships" name="Data dictionary" sheetId="3" state="visible" r:id="rId3"/>
  </sheets>
  <definedNames/>
  <calcPr calcId="191029" fullCalcOnLoad="1"/>
</workbook>
</file>

<file path=xl/styles.xml><?xml version="1.0" encoding="utf-8"?>
<styleSheet xmlns="http://schemas.openxmlformats.org/spreadsheetml/2006/main">
  <numFmts count="0"/>
  <fonts count="11">
    <font>
      <name val="Calibri"/>
      <family val="2"/>
      <color theme="1"/>
      <sz val="11"/>
      <scheme val="minor"/>
    </font>
    <font>
      <name val="Aptos Narrow"/>
      <family val="2"/>
      <b val="1"/>
      <color rgb="FFFFFFFF"/>
      <sz val="11"/>
    </font>
    <font>
      <name val="Aptos Narrow"/>
      <family val="2"/>
      <sz val="11"/>
    </font>
    <font>
      <name val="Calibri"/>
      <family val="2"/>
      <b val="1"/>
      <sz val="11"/>
    </font>
    <font>
      <name val="Calibri"/>
      <family val="2"/>
      <b val="1"/>
      <sz val="12"/>
    </font>
    <font>
      <name val="Calibri"/>
      <family val="2"/>
      <b val="1"/>
      <color rgb="FFFFFFFF"/>
      <sz val="11"/>
    </font>
    <font>
      <name val="Calibri"/>
      <family val="2"/>
      <b val="1"/>
      <sz val="11"/>
    </font>
    <font>
      <name val="Calibri"/>
      <family val="2"/>
      <b val="1"/>
      <sz val="11"/>
    </font>
    <font>
      <name val="Calibri"/>
      <family val="2"/>
      <b val="1"/>
      <color theme="1"/>
      <sz val="11"/>
      <scheme val="minor"/>
    </font>
    <font>
      <name val="Aptos Narrow"/>
      <family val="2"/>
      <color rgb="FFFFFFFF"/>
      <sz val="11"/>
    </font>
    <font>
      <name val="Calibri"/>
      <family val="2"/>
      <sz val="11"/>
    </font>
  </fonts>
  <fills count="5">
    <fill>
      <patternFill/>
    </fill>
    <fill>
      <patternFill patternType="gray125"/>
    </fill>
    <fill>
      <patternFill patternType="solid">
        <fgColor rgb="FF4472C4"/>
      </patternFill>
    </fill>
    <fill>
      <patternFill patternType="solid">
        <fgColor rgb="FF4472C4"/>
        <bgColor rgb="FF4472C4"/>
      </patternFill>
    </fill>
    <fill>
      <patternFill patternType="solid">
        <fgColor rgb="FFFFFF00"/>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rgb="FFD9D9D9"/>
      </bottom>
      <diagonal/>
    </border>
    <border>
      <left style="thin">
        <color auto="1"/>
      </left>
      <right style="thin">
        <color auto="1"/>
      </right>
      <top/>
      <bottom/>
      <diagonal/>
    </border>
  </borders>
  <cellStyleXfs count="1">
    <xf numFmtId="0" fontId="0" fillId="0" borderId="0"/>
  </cellStyleXfs>
  <cellXfs count="18">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0" fontId="3" fillId="0" borderId="0" applyAlignment="1" pivotButton="0" quotePrefix="0" xfId="0">
      <alignment vertical="top" wrapText="1"/>
    </xf>
    <xf numFmtId="0" fontId="0" fillId="0" borderId="2" applyAlignment="1" pivotButton="0" quotePrefix="0" xfId="0">
      <alignment horizontal="center" vertical="top"/>
    </xf>
    <xf numFmtId="0" fontId="6" fillId="0" borderId="2" applyAlignment="1" pivotButton="0" quotePrefix="0" xfId="0">
      <alignment vertical="top" wrapText="1"/>
    </xf>
    <xf numFmtId="0" fontId="0" fillId="0" borderId="2" applyAlignment="1" pivotButton="0" quotePrefix="0" xfId="0">
      <alignment vertical="top" wrapText="1"/>
    </xf>
    <xf numFmtId="0" fontId="5" fillId="3" borderId="0" pivotButton="0" quotePrefix="0" xfId="0"/>
    <xf numFmtId="0" fontId="4" fillId="0" borderId="0" pivotButton="0" quotePrefix="0" xfId="0"/>
    <xf numFmtId="0" fontId="7" fillId="0" borderId="0" pivotButton="0" quotePrefix="0" xfId="0"/>
    <xf numFmtId="0" fontId="7" fillId="0" borderId="2" applyAlignment="1" pivotButton="0" quotePrefix="0" xfId="0">
      <alignment horizontal="center" vertical="top"/>
    </xf>
    <xf numFmtId="0" fontId="7" fillId="3" borderId="0" pivotButton="0" quotePrefix="0" xfId="0"/>
    <xf numFmtId="0" fontId="8" fillId="4" borderId="0" pivotButton="0" quotePrefix="0" xfId="0"/>
    <xf numFmtId="0" fontId="2" fillId="0" borderId="0" applyAlignment="1" pivotButton="0" quotePrefix="0" xfId="0">
      <alignment vertical="top" wrapText="1"/>
    </xf>
    <xf numFmtId="0" fontId="9" fillId="2" borderId="1" applyAlignment="1" pivotButton="0" quotePrefix="0" xfId="0">
      <alignment vertical="top" wrapText="1"/>
    </xf>
    <xf numFmtId="0" fontId="0" fillId="0" borderId="0" applyAlignment="1" pivotButton="0" quotePrefix="0" xfId="0">
      <alignment wrapText="1"/>
    </xf>
    <xf numFmtId="0" fontId="10" fillId="0" borderId="0" applyAlignment="1" pivotButton="0" quotePrefix="0" xfId="0">
      <alignment wrapText="1"/>
    </xf>
    <xf numFmtId="0" fontId="2" fillId="0" borderId="3"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David Roodman</author>
  </authors>
  <commentList>
    <comment ref="BP1" authorId="0" shapeId="0">
      <text>
        <t>David Roodman:
For studies in the Peck et al. meta analysis, this is the OR of "employer role: provide input on curriculum or program development" and "engaged employer: curricula adapted for employers'needs"</t>
      </text>
    </comment>
    <comment ref="BP12" authorId="0" shapeId="0">
      <text>
        <t>David Roodman:
Gemini: This site was noted as being "the closest to CET/San Jose" in terms of integrating education with training and tailoring its curriculum to the specific demands of the local labor market</t>
      </text>
    </comment>
    <comment ref="BP16" authorId="0" shapeId="0">
      <text>
        <t>David Roodman:
Gemini: While the Job Corps sites had standardized national curricula, the Phoenix site was recognized for having "especially strong ties to the employer community" and focusing its efforts on ensuring training was relevant to local market needs</t>
      </text>
    </comment>
    <comment ref="BP71" authorId="0" shapeId="0">
      <text>
        <t>David Roodman:
"For some programs, instructors engaged a few employers for input on aligning curricula. Employers also served as clinical externship sites for those trainings that required them." (p. 94, Exhibit 6.1).</t>
      </text>
    </comment>
    <comment ref="BP120" authorId="0" shapeId="0">
      <text>
        <t>David Roodman:
Claude finds no textual evidence for presence of this</t>
      </text>
    </comment>
    <comment ref="BP125" authorId="0" shapeId="0">
      <text>
        <t>David Roodman:
What is this?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CI146"/>
  <sheetViews>
    <sheetView tabSelected="1" zoomScaleNormal="100" workbookViewId="0">
      <pane xSplit="2" ySplit="1" topLeftCell="U37" activePane="bottomRight" state="frozen"/>
      <selection pane="topRight" activeCell="C1" sqref="C1"/>
      <selection pane="bottomLeft" activeCell="A2" sqref="A2"/>
      <selection pane="bottomRight" activeCell="V44" sqref="V44"/>
    </sheetView>
  </sheetViews>
  <sheetFormatPr baseColWidth="8" defaultRowHeight="44.1" customHeight="1"/>
  <cols>
    <col width="25" customWidth="1" min="1" max="3"/>
    <col width="50" customWidth="1" min="4" max="4"/>
    <col width="12" customWidth="1" min="5" max="6"/>
    <col width="10" customWidth="1" min="7" max="8"/>
    <col width="18" customWidth="1" min="9" max="9"/>
    <col width="30" customWidth="1" min="10" max="10"/>
    <col width="18" customWidth="1" min="11" max="13"/>
    <col width="25" customWidth="1" min="14" max="14"/>
    <col width="35" customWidth="1" min="15" max="15"/>
    <col width="10" customWidth="1" min="16" max="19"/>
    <col width="12" customWidth="1" min="20" max="20"/>
    <col width="15" customWidth="1" min="21" max="21"/>
    <col width="15.15625" customWidth="1" min="22" max="22"/>
    <col width="14" customWidth="1" min="23" max="23"/>
    <col width="12" customWidth="1" min="24" max="25"/>
    <col width="18" customWidth="1" min="26" max="26"/>
    <col width="25" customWidth="1" min="27" max="27"/>
    <col width="14" customWidth="1" min="28" max="28"/>
    <col width="12" customWidth="1" min="29" max="29"/>
    <col width="10" customWidth="1" min="30" max="31"/>
    <col width="16" customWidth="1" min="32" max="32"/>
    <col width="12" customWidth="1" min="33" max="33"/>
    <col width="10" customWidth="1" min="34" max="35"/>
    <col width="16" customWidth="1" min="36" max="36"/>
    <col width="30" customWidth="1" min="37" max="37"/>
    <col width="14" customWidth="1" min="38" max="38"/>
    <col width="12" customWidth="1" min="39" max="39"/>
    <col width="10" customWidth="1" min="40" max="41"/>
    <col width="16" customWidth="1" min="42" max="42"/>
    <col width="12" customWidth="1" min="43" max="43"/>
    <col width="10" customWidth="1" min="44" max="45"/>
    <col width="16" customWidth="1" min="46" max="46"/>
    <col width="30" customWidth="1" min="47" max="47"/>
    <col width="14" customWidth="1" min="48" max="48"/>
    <col width="12" customWidth="1" min="49" max="49"/>
    <col width="10" customWidth="1" min="50" max="51"/>
    <col width="16" customWidth="1" min="52" max="52"/>
    <col width="12" customWidth="1" min="53" max="53"/>
    <col width="10" customWidth="1" min="54" max="55"/>
    <col width="16" customWidth="1" min="56" max="56"/>
    <col width="30" customWidth="1" min="57" max="57"/>
    <col width="14" customWidth="1" min="58" max="58"/>
    <col width="12.47265625" customWidth="1" min="59" max="59"/>
    <col width="9.47265625" customWidth="1" min="60" max="60"/>
  </cols>
  <sheetData>
    <row r="1" ht="28.5" customFormat="1" customHeight="1" s="15">
      <c r="A1" s="14" t="inlineStr">
        <is>
          <t>project</t>
        </is>
      </c>
      <c r="B1" s="14" t="inlineStr">
        <is>
          <t>site_subgroup</t>
        </is>
      </c>
      <c r="C1" s="14" t="inlineStr">
        <is>
          <t>short_name</t>
        </is>
      </c>
      <c r="D1" s="14" t="inlineStr">
        <is>
          <t>intervention_description</t>
        </is>
      </c>
      <c r="E1" s="14" t="inlineStr">
        <is>
          <t>training_role</t>
        </is>
      </c>
      <c r="F1" s="14" t="inlineStr">
        <is>
          <t>has_classroom</t>
        </is>
      </c>
      <c r="G1" s="14" t="inlineStr">
        <is>
          <t>has_ojt</t>
        </is>
      </c>
      <c r="H1" s="14" t="inlineStr">
        <is>
          <t>has_jsa</t>
        </is>
      </c>
      <c r="I1" s="14" t="inlineStr">
        <is>
          <t>has_multiple_components</t>
        </is>
      </c>
      <c r="J1" s="14" t="inlineStr">
        <is>
          <t>other_components</t>
        </is>
      </c>
      <c r="K1" s="14" t="inlineStr">
        <is>
          <t>mandatory_voluntary</t>
        </is>
      </c>
      <c r="L1" s="14" t="inlineStr">
        <is>
          <t>funding_public_private</t>
        </is>
      </c>
      <c r="M1" s="14" t="inlineStr">
        <is>
          <t>admin_public_private</t>
        </is>
      </c>
      <c r="N1" s="14" t="inlineStr">
        <is>
          <t>randomization_period</t>
        </is>
      </c>
      <c r="O1" s="15" t="inlineStr">
        <is>
          <t>randomization_midpoint</t>
        </is>
      </c>
      <c r="P1" s="14" t="inlineStr">
        <is>
          <t>target_group</t>
        </is>
      </c>
      <c r="Q1" s="14" t="inlineStr">
        <is>
          <t>mean_age</t>
        </is>
      </c>
      <c r="R1" s="14" t="inlineStr">
        <is>
          <t>pct_male</t>
        </is>
      </c>
      <c r="S1" s="14" t="inlineStr">
        <is>
          <t>pct_white</t>
        </is>
      </c>
      <c r="T1" s="14" t="inlineStr">
        <is>
          <t>pct_black</t>
        </is>
      </c>
      <c r="U1" s="14" t="inlineStr">
        <is>
          <t>pct_hispanic</t>
        </is>
      </c>
      <c r="V1" s="14" t="inlineStr">
        <is>
          <t>pct_no_hs_diploma</t>
        </is>
      </c>
      <c r="W1" s="14" t="inlineStr">
        <is>
          <t>mean_years_schooling</t>
        </is>
      </c>
      <c r="X1" s="14" t="inlineStr">
        <is>
          <t>selectivity</t>
        </is>
      </c>
      <c r="Y1" s="14" t="inlineStr">
        <is>
          <t>selectivity_rate</t>
        </is>
      </c>
      <c r="Z1" s="14" t="inlineStr">
        <is>
          <t>n_treatment</t>
        </is>
      </c>
      <c r="AA1" s="14" t="inlineStr">
        <is>
          <t>n_control</t>
        </is>
      </c>
      <c r="AB1" s="14" t="inlineStr">
        <is>
          <t>st_resprate_control</t>
        </is>
      </c>
      <c r="AC1" s="14" t="inlineStr">
        <is>
          <t>st_resprate_treatment</t>
        </is>
      </c>
      <c r="AD1" s="14" t="inlineStr">
        <is>
          <t>st_resprate_overall</t>
        </is>
      </c>
      <c r="AE1" s="14" t="inlineStr">
        <is>
          <t>mt_resprate_control</t>
        </is>
      </c>
      <c r="AF1" s="14" t="inlineStr">
        <is>
          <t>mt_resprate_treatment</t>
        </is>
      </c>
      <c r="AG1" s="14" t="inlineStr">
        <is>
          <t>mt_resprate_overall</t>
        </is>
      </c>
      <c r="AH1" s="14" t="inlineStr">
        <is>
          <t>lt_resprate_control</t>
        </is>
      </c>
      <c r="AI1" s="14" t="inlineStr">
        <is>
          <t>lt_resprate_treatment</t>
        </is>
      </c>
      <c r="AJ1" s="14" t="inlineStr">
        <is>
          <t>lt_resprate_overall</t>
        </is>
      </c>
      <c r="AK1" s="14" t="inlineStr">
        <is>
          <t>outcome_data_source</t>
        </is>
      </c>
      <c r="AL1" s="14" t="inlineStr">
        <is>
          <t>st_followup_years</t>
        </is>
      </c>
      <c r="AM1" s="14" t="inlineStr">
        <is>
          <t>st_emp_impact</t>
        </is>
      </c>
      <c r="AN1" s="14" t="inlineStr">
        <is>
          <t>st_emp_se</t>
        </is>
      </c>
      <c r="AO1" s="14" t="inlineStr">
        <is>
          <t>st_emp_stars</t>
        </is>
      </c>
      <c r="AP1" s="14" t="inlineStr">
        <is>
          <t>st_emp_control_mean</t>
        </is>
      </c>
      <c r="AQ1" s="14" t="inlineStr">
        <is>
          <t>st_earn_impact</t>
        </is>
      </c>
      <c r="AR1" s="14" t="inlineStr">
        <is>
          <t>st_earn_se</t>
        </is>
      </c>
      <c r="AS1" s="14" t="inlineStr">
        <is>
          <t>st_earn_stars</t>
        </is>
      </c>
      <c r="AT1" s="14" t="inlineStr">
        <is>
          <t>st_earn_control_mean</t>
        </is>
      </c>
      <c r="AU1" s="14" t="inlineStr">
        <is>
          <t>st_earn_cadence</t>
        </is>
      </c>
      <c r="AV1" s="14" t="inlineStr">
        <is>
          <t>mt_followup_years</t>
        </is>
      </c>
      <c r="AW1" s="14" t="inlineStr">
        <is>
          <t>mt_emp_impact</t>
        </is>
      </c>
      <c r="AX1" s="14" t="inlineStr">
        <is>
          <t>mt_emp_se</t>
        </is>
      </c>
      <c r="AY1" s="14" t="inlineStr">
        <is>
          <t>mt_emp_stars</t>
        </is>
      </c>
      <c r="AZ1" s="14" t="inlineStr">
        <is>
          <t>mt_emp_control_mean</t>
        </is>
      </c>
      <c r="BA1" s="14" t="inlineStr">
        <is>
          <t>mt_earn_impact</t>
        </is>
      </c>
      <c r="BB1" s="14" t="inlineStr">
        <is>
          <t>mt_earn_se</t>
        </is>
      </c>
      <c r="BC1" s="14" t="inlineStr">
        <is>
          <t>mt_earn_stars</t>
        </is>
      </c>
      <c r="BD1" s="14" t="inlineStr">
        <is>
          <t>mt_earn_control_mean</t>
        </is>
      </c>
      <c r="BE1" s="14" t="inlineStr">
        <is>
          <t>mt_earn_cadence</t>
        </is>
      </c>
      <c r="BF1" s="14" t="inlineStr">
        <is>
          <t>lt_followup_years</t>
        </is>
      </c>
      <c r="BG1" s="14" t="inlineStr">
        <is>
          <t>lt_emp_impact</t>
        </is>
      </c>
      <c r="BH1" s="14" t="inlineStr">
        <is>
          <t>lt_emp_se</t>
        </is>
      </c>
      <c r="BI1" s="14" t="inlineStr">
        <is>
          <t>lt_emp_stars</t>
        </is>
      </c>
      <c r="BJ1" s="15" t="inlineStr">
        <is>
          <t>lt_emp_control_mean</t>
        </is>
      </c>
      <c r="BK1" s="15" t="inlineStr">
        <is>
          <t>lt_earn_impact</t>
        </is>
      </c>
      <c r="BL1" s="16" t="inlineStr">
        <is>
          <t>lt_earn_se</t>
        </is>
      </c>
      <c r="BM1" s="16" t="inlineStr">
        <is>
          <t>lt_earn_stars</t>
        </is>
      </c>
      <c r="BN1" s="16" t="inlineStr">
        <is>
          <t>lt_earn_control_mean</t>
        </is>
      </c>
      <c r="BO1" s="16" t="inlineStr">
        <is>
          <t>lt_earn_cadence</t>
        </is>
      </c>
      <c r="BP1" s="16" t="inlineStr">
        <is>
          <t>sources</t>
        </is>
      </c>
      <c r="BQ1" s="16" t="inlineStr">
        <is>
          <t>notes</t>
        </is>
      </c>
      <c r="BR1" s="16" t="inlineStr">
        <is>
          <t>cost_per_treated</t>
        </is>
      </c>
      <c r="BS1" t="inlineStr">
        <is>
          <t>benefit_per_treated</t>
        </is>
      </c>
      <c r="BT1" t="inlineStr">
        <is>
          <t>benefit_source</t>
        </is>
      </c>
      <c r="BU1" s="16" t="inlineStr">
        <is>
          <t>state</t>
        </is>
      </c>
      <c r="BV1" s="15" t="inlineStr">
        <is>
          <t>geo_type</t>
        </is>
      </c>
      <c r="BW1" s="15" t="inlineStr">
        <is>
          <t>academic</t>
        </is>
      </c>
      <c r="BX1" s="15" t="inlineStr">
        <is>
          <t>sector_program</t>
        </is>
      </c>
      <c r="BY1" s="15" t="inlineStr">
        <is>
          <t>leadagn_communityorg</t>
        </is>
      </c>
      <c r="BZ1" s="15" t="inlineStr">
        <is>
          <t>partneragn_staffingagency</t>
        </is>
      </c>
      <c r="CA1" t="inlineStr">
        <is>
          <t>employengage_curricula</t>
        </is>
      </c>
      <c r="CB1" t="inlineStr">
        <is>
          <t>jobdev_yes</t>
        </is>
      </c>
      <c r="CC1" t="inlineStr">
        <is>
          <t>employerol_curriculum</t>
        </is>
      </c>
      <c r="CD1" t="inlineStr">
        <is>
          <t>employerol_hire</t>
        </is>
      </c>
      <c r="CE1" t="inlineStr">
        <is>
          <t>program_uptake_impact</t>
        </is>
      </c>
      <c r="CF1" t="inlineStr">
        <is>
          <t>program_uptake_control_mean</t>
        </is>
      </c>
      <c r="CG1" t="inlineStr">
        <is>
          <t>any_training_impact</t>
        </is>
      </c>
      <c r="CH1" t="inlineStr">
        <is>
          <t>any_training_control_mean</t>
        </is>
      </c>
      <c r="CI1" t="inlineStr">
        <is>
          <t>treatment_duration_months</t>
        </is>
      </c>
    </row>
    <row r="2" ht="44.1" customHeight="1">
      <c r="A2" s="2" t="inlineStr">
        <is>
          <t>National Supported Work Demonstration</t>
        </is>
      </c>
      <c r="B2" s="2" t="inlineStr">
        <is>
          <t>Women on AFDC long-term</t>
        </is>
      </c>
      <c r="C2" s="2" t="inlineStr">
        <is>
          <t>NSWD-Welfare mothers</t>
        </is>
      </c>
      <c r="D2" s="2" t="inlineStr">
        <is>
          <t>Supported work: 12-18 months of subsidized employment in a structured, graduated-stress environment with peer support, close supervision, and gradually increasing performance demands. Work in service activities, construction, and manufacturing.</t>
        </is>
      </c>
      <c r="E2" s="2" t="inlineStr">
        <is>
          <t>primary</t>
        </is>
      </c>
      <c r="F2" s="2" t="n">
        <v>0</v>
      </c>
      <c r="G2" s="2" t="n">
        <v>1</v>
      </c>
      <c r="H2" s="2" t="n">
        <v>1</v>
      </c>
      <c r="I2" s="2" t="n">
        <v>1</v>
      </c>
      <c r="J2" s="2" t="inlineStr">
        <is>
          <t>subsidized transitional employment, graduated stress, peer support</t>
        </is>
      </c>
      <c r="K2" s="2" t="inlineStr">
        <is>
          <t>voluntary</t>
        </is>
      </c>
      <c r="L2" s="2" t="inlineStr">
        <is>
          <t>public</t>
        </is>
      </c>
      <c r="M2" s="2" t="inlineStr">
        <is>
          <t>private</t>
        </is>
      </c>
      <c r="N2" s="2" t="inlineStr">
        <is>
          <t>February 1976 – March 1979</t>
        </is>
      </c>
      <c r="O2" t="n">
        <v>1977.667</v>
      </c>
      <c r="P2" s="2" t="inlineStr">
        <is>
          <t>Long-term AFDC recipients; women on AFDC both currently and for 30 of preceding 36 months; youngest child 6+</t>
        </is>
      </c>
      <c r="Q2" s="2" t="n">
        <v>33.6</v>
      </c>
      <c r="R2" s="2" t="n">
        <v>0</v>
      </c>
      <c r="S2" s="2" t="n">
        <v>4.6</v>
      </c>
      <c r="T2" s="2" t="n">
        <v>83</v>
      </c>
      <c r="U2" s="2" t="n">
        <v>12.1</v>
      </c>
      <c r="V2" s="2" t="n">
        <v>69.59999999999999</v>
      </c>
      <c r="W2" s="2" t="n">
        <v>10.3</v>
      </c>
      <c r="X2" s="2" t="inlineStr">
        <is>
          <t>Recruited from the 'unassigned pool' in the WIN program. Eligibility criteria targeted ~15% of entire AFDC population—older, less educated, longer welfare spells, less recent work than average AFDC recipients.</t>
        </is>
      </c>
      <c r="Y2" s="2" t="n"/>
      <c r="Z2" s="2" t="n">
        <v>804</v>
      </c>
      <c r="AA2" s="2" t="n">
        <v>816</v>
      </c>
      <c r="AB2" s="2" t="n"/>
      <c r="AC2" s="2" t="n"/>
      <c r="AD2" s="2" t="n">
        <v>0.841</v>
      </c>
      <c r="AE2" s="2" t="n"/>
      <c r="AF2" s="2" t="n"/>
      <c r="AG2" s="2">
        <f>(0.81+0.77)/2</f>
        <v/>
      </c>
      <c r="AH2" s="2" t="n"/>
      <c r="AI2" s="2" t="n"/>
      <c r="AJ2" s="2" t="n"/>
      <c r="AK2" s="2" t="inlineStr">
        <is>
          <t>self-report (survey)</t>
        </is>
      </c>
      <c r="AL2" s="2" t="n">
        <v>1.25</v>
      </c>
      <c r="AM2" s="2" t="n">
        <v>37.1</v>
      </c>
      <c r="AN2" s="2" t="n"/>
      <c r="AO2" s="2" t="inlineStr">
        <is>
          <t>**</t>
        </is>
      </c>
      <c r="AP2" s="2" t="n">
        <v>39.4</v>
      </c>
      <c r="AQ2" s="2" t="n">
        <v>142.98</v>
      </c>
      <c r="AR2" s="2" t="n"/>
      <c r="AS2" s="2" t="inlineStr">
        <is>
          <t>**</t>
        </is>
      </c>
      <c r="AT2" s="2" t="n">
        <v>131.08</v>
      </c>
      <c r="AU2" s="2" t="inlineStr">
        <is>
          <t>monthly (averaged over months 10-18)</t>
        </is>
      </c>
      <c r="AV2" s="2" t="n">
        <v>1.9</v>
      </c>
      <c r="AW2" s="2" t="n">
        <v>8.5</v>
      </c>
      <c r="AX2" s="2" t="n"/>
      <c r="AY2" s="2" t="inlineStr">
        <is>
          <t>**</t>
        </is>
      </c>
      <c r="AZ2" s="2" t="n">
        <v>40.6</v>
      </c>
      <c r="BA2" s="2" t="n">
        <v>77.01000000000001</v>
      </c>
      <c r="BB2" s="2" t="n"/>
      <c r="BC2" s="2" t="inlineStr">
        <is>
          <t>**</t>
        </is>
      </c>
      <c r="BD2" s="2" t="n">
        <v>165.88</v>
      </c>
      <c r="BE2" s="2" t="inlineStr">
        <is>
          <t>monthly (averaged over months 19-27)</t>
        </is>
      </c>
      <c r="BF2" s="2" t="n"/>
      <c r="BG2" s="2" t="n"/>
      <c r="BH2" s="2" t="n"/>
      <c r="BI2" s="2" t="n"/>
      <c r="BP2" t="inlineStr">
        <is>
          <t>MDRC 1980, Summary and Findings of the National Supported Work Demonstration. Tables 9-1 (p. 153), 4-1 (p. 59), 4-3 (p. 61), 2-5 (p. 32), 2-8 (p. 37).</t>
        </is>
      </c>
      <c r="BQ2" t="inlineStr">
        <is>
          <t>Total research sample: 1,351 AFDC women (experimentals + controls combined; treatment/control split not separately reported in this volume). Cost figure ($8,139) is per AFDC participant, reflecting longer average program stay (9.5 months). Follow-up is 27 months; no 28-36 month data. All estimates are regression-adjusted. † in original = p&lt;0.05. Months 1-9 excluded from extraction as mostly in-program period. Dollar figures in nominal ~1976-1979 dollars, not adjusted for inflation.</t>
        </is>
      </c>
      <c r="BR2" t="n">
        <v>8139</v>
      </c>
      <c r="BS2" t="n">
        <v>15132</v>
      </c>
      <c r="BT2" t="inlineStr">
        <is>
          <t>MDRC 1980, Table 8-1 (p.153). Total benefits from social perspective = $15,132 (undiscounted, in dollars of the period ~1976-79). Includes earnings, taxes, transfer savings, program-related output.</t>
        </is>
      </c>
      <c r="BU2" t="inlineStr">
        <is>
          <t>multiple</t>
        </is>
      </c>
      <c r="BV2" t="inlineStr">
        <is>
          <t>urban</t>
        </is>
      </c>
      <c r="BW2" t="n">
        <v>0</v>
      </c>
      <c r="BX2" t="n">
        <v>0</v>
      </c>
      <c r="BY2" t="n">
        <v>0</v>
      </c>
      <c r="BZ2" t="n">
        <v>0</v>
      </c>
      <c r="CA2" t="n">
        <v>0</v>
      </c>
      <c r="CB2" t="n">
        <v>0</v>
      </c>
      <c r="CC2" t="n">
        <v>0</v>
      </c>
      <c r="CD2" t="n">
        <v>0</v>
      </c>
      <c r="CE2" t="n">
        <v>89.8</v>
      </c>
      <c r="CF2" t="n">
        <v>0</v>
      </c>
      <c r="CI2" t="n">
        <v>9.5</v>
      </c>
    </row>
    <row r="3" ht="44.1" customHeight="1">
      <c r="A3" s="2" t="inlineStr">
        <is>
          <t>National Supported Work Demonstration</t>
        </is>
      </c>
      <c r="B3" s="2" t="inlineStr">
        <is>
          <t>Ex-addicts</t>
        </is>
      </c>
      <c r="C3" s="2" t="inlineStr">
        <is>
          <t>NSWD-Ex-addicts</t>
        </is>
      </c>
      <c r="D3" s="2" t="inlineStr">
        <is>
          <t>Supported work: 12-18 months of subsidized employment in a structured, graduated-stress environment with peer support, close supervision, and gradually increasing performance demands. Work in service activities, construction, and manufacturing.</t>
        </is>
      </c>
      <c r="E3" s="2" t="inlineStr">
        <is>
          <t>primary</t>
        </is>
      </c>
      <c r="F3" s="2" t="n">
        <v>0</v>
      </c>
      <c r="G3" s="2" t="n">
        <v>1</v>
      </c>
      <c r="H3" s="2" t="n">
        <v>1</v>
      </c>
      <c r="I3" s="2" t="n">
        <v>1</v>
      </c>
      <c r="J3" s="2" t="inlineStr">
        <is>
          <t>subsidized transitional employment, graduated stress, peer support</t>
        </is>
      </c>
      <c r="K3" s="2" t="inlineStr">
        <is>
          <t>voluntary</t>
        </is>
      </c>
      <c r="L3" s="2" t="inlineStr">
        <is>
          <t>public</t>
        </is>
      </c>
      <c r="M3" s="2" t="inlineStr">
        <is>
          <t>private</t>
        </is>
      </c>
      <c r="N3" s="2" t="inlineStr">
        <is>
          <t>February 1976 – March 1979</t>
        </is>
      </c>
      <c r="O3" t="n">
        <v>1977.667</v>
      </c>
      <c r="P3" s="2" t="inlineStr">
        <is>
          <t>Ex-addicts; age 18+; enrolled in a drug treatment program currently or within preceding 6 months</t>
        </is>
      </c>
      <c r="Q3" s="2" t="n">
        <v>27.8</v>
      </c>
      <c r="R3" s="2" t="n">
        <v>80.09999999999999</v>
      </c>
      <c r="S3" s="2" t="n">
        <v>13.8</v>
      </c>
      <c r="T3" s="2" t="n">
        <v>77.7</v>
      </c>
      <c r="U3" s="2" t="n">
        <v>8.199999999999999</v>
      </c>
      <c r="V3" s="2" t="n">
        <v>71.5</v>
      </c>
      <c r="W3" s="2" t="n">
        <v>10.6</v>
      </c>
      <c r="X3" s="2" t="inlineStr">
        <is>
          <t>Recruited from drug treatment programs. Had to be currently enrolled or within 6 months of a treatment program. Also had to be currently unemployed (worked no more than 10 hours/week for last 4 weeks) with no more than 3 months in a job during past 6 months.</t>
        </is>
      </c>
      <c r="Y3" s="2" t="n"/>
      <c r="Z3" s="2" t="n">
        <v>726</v>
      </c>
      <c r="AA3" s="2" t="n">
        <v>707</v>
      </c>
      <c r="AB3" s="2" t="n"/>
      <c r="AC3" s="2" t="n"/>
      <c r="AD3" s="2" t="n">
        <v>0.6889999999999999</v>
      </c>
      <c r="AE3" s="2" t="n"/>
      <c r="AF3" s="2" t="n"/>
      <c r="AG3" s="2" t="n">
        <v>0.725</v>
      </c>
      <c r="AH3" s="2" t="n"/>
      <c r="AI3" s="2" t="n"/>
      <c r="AJ3" s="2">
        <f>(0.7+0.75)/2</f>
        <v/>
      </c>
      <c r="AK3" s="2" t="inlineStr">
        <is>
          <t>self-report (survey)</t>
        </is>
      </c>
      <c r="AL3" s="2" t="n">
        <v>1.25</v>
      </c>
      <c r="AM3" s="2" t="n">
        <v>10.8</v>
      </c>
      <c r="AN3" s="2" t="n"/>
      <c r="AO3" s="2" t="inlineStr">
        <is>
          <t>**</t>
        </is>
      </c>
      <c r="AP3" s="2" t="n">
        <v>53.1</v>
      </c>
      <c r="AQ3" s="2" t="n">
        <v>39.2</v>
      </c>
      <c r="AR3" s="2" t="n"/>
      <c r="AS3" s="2" t="inlineStr">
        <is>
          <t>*</t>
        </is>
      </c>
      <c r="AT3" s="2" t="n">
        <v>220.42</v>
      </c>
      <c r="AU3" s="2" t="inlineStr">
        <is>
          <t>monthly (averaged over months 10-18)</t>
        </is>
      </c>
      <c r="AV3" s="2" t="n">
        <v>1.9</v>
      </c>
      <c r="AW3" s="2" t="n">
        <v>3.5</v>
      </c>
      <c r="AX3" s="2" t="n"/>
      <c r="AY3" s="2" t="n"/>
      <c r="AZ3" s="2" t="n">
        <v>53</v>
      </c>
      <c r="BA3" s="2" t="n">
        <v>16.42</v>
      </c>
      <c r="BB3" s="2" t="n"/>
      <c r="BC3" s="2" t="n"/>
      <c r="BD3" s="2" t="n">
        <v>261.33</v>
      </c>
      <c r="BE3" s="2" t="inlineStr">
        <is>
          <t>monthly (averaged over months 19-27)</t>
        </is>
      </c>
      <c r="BF3" s="2" t="n">
        <v>2.7</v>
      </c>
      <c r="BG3" s="2" t="n">
        <v>10.1</v>
      </c>
      <c r="BH3" s="2" t="n"/>
      <c r="BI3" s="2" t="inlineStr">
        <is>
          <t>*</t>
        </is>
      </c>
      <c r="BJ3" t="n">
        <v>53.9</v>
      </c>
      <c r="BK3" t="n">
        <v>101.73</v>
      </c>
      <c r="BM3" t="inlineStr">
        <is>
          <t>**</t>
        </is>
      </c>
      <c r="BN3" t="n">
        <v>224.36</v>
      </c>
      <c r="BO3" t="inlineStr">
        <is>
          <t>monthly (averaged over months 28-36)</t>
        </is>
      </c>
      <c r="BP3" t="inlineStr">
        <is>
          <t>MDRC 1980, Summary and Findings of the National Supported Work Demonstration. Table 9-2 (p. 155), Table 2-5 (p. 32), Table 2-8 (p. 37).</t>
        </is>
      </c>
      <c r="BQ3" t="inlineStr">
        <is>
          <t>Total research sample: 974 ex-addicts (experimentals + controls combined). Cost figure ($5,740) is average across all target groups; group-specific cost not reported for ex-addicts. 36-month follow-up. Months 28-36 classified as long-term though centered at ~32 months (2.7 years), slightly below 3-year threshold. Significant upturn in employment and earnings at months 28-36 for 36-month cohort. Dollar figures nominal ~1976-1979.</t>
        </is>
      </c>
      <c r="BR3" t="n">
        <v>5740</v>
      </c>
      <c r="BS3" t="n">
        <v>9563</v>
      </c>
      <c r="BT3" t="inlineStr">
        <is>
          <t>MDRC 1980, Table 8-2 (p.155). Total benefits from social perspective = $9,563 (undiscounted). Includes earnings, reduced drug/crime costs, transfer savings.</t>
        </is>
      </c>
      <c r="BU3" t="inlineStr">
        <is>
          <t>multiple</t>
        </is>
      </c>
      <c r="BV3" t="inlineStr">
        <is>
          <t>urban</t>
        </is>
      </c>
      <c r="BW3" t="n">
        <v>0</v>
      </c>
      <c r="BX3" t="n">
        <v>0</v>
      </c>
      <c r="BY3" t="n">
        <v>0</v>
      </c>
      <c r="BZ3" t="n">
        <v>0</v>
      </c>
      <c r="CA3" t="n">
        <v>0</v>
      </c>
      <c r="CB3" t="n">
        <v>0</v>
      </c>
      <c r="CC3" t="n">
        <v>0</v>
      </c>
      <c r="CD3" t="n">
        <v>0</v>
      </c>
      <c r="CE3" t="n">
        <v>83.90000000000001</v>
      </c>
      <c r="CF3" t="n">
        <v>0</v>
      </c>
      <c r="CI3" t="n">
        <v>6.8</v>
      </c>
    </row>
    <row r="4" ht="44.1" customHeight="1">
      <c r="A4" s="2" t="inlineStr">
        <is>
          <t>National Supported Work Demonstration</t>
        </is>
      </c>
      <c r="B4" s="2" t="inlineStr">
        <is>
          <t>Ex-offenders</t>
        </is>
      </c>
      <c r="C4" s="2" t="inlineStr">
        <is>
          <t>NSWD-Ex-offenders</t>
        </is>
      </c>
      <c r="D4" s="2" t="inlineStr">
        <is>
          <t>Supported work: 12-18 months of subsidized employment in a structured, graduated-stress environment with peer support, close supervision, and gradually increasing performance demands. Work in service activities, construction, and manufacturing.</t>
        </is>
      </c>
      <c r="E4" s="2" t="inlineStr">
        <is>
          <t>primary</t>
        </is>
      </c>
      <c r="F4" s="2" t="n">
        <v>0</v>
      </c>
      <c r="G4" s="2" t="n">
        <v>1</v>
      </c>
      <c r="H4" s="2" t="n">
        <v>1</v>
      </c>
      <c r="I4" s="2" t="n">
        <v>1</v>
      </c>
      <c r="J4" s="2" t="inlineStr">
        <is>
          <t>subsidized transitional employment, graduated stress, peer support</t>
        </is>
      </c>
      <c r="K4" s="2" t="inlineStr">
        <is>
          <t>voluntary</t>
        </is>
      </c>
      <c r="L4" s="2" t="inlineStr">
        <is>
          <t>public</t>
        </is>
      </c>
      <c r="M4" s="2" t="inlineStr">
        <is>
          <t>private</t>
        </is>
      </c>
      <c r="N4" s="2" t="inlineStr">
        <is>
          <t>February 1976 – March 1979</t>
        </is>
      </c>
      <c r="O4" t="n">
        <v>1977.667</v>
      </c>
      <c r="P4" s="2" t="inlineStr">
        <is>
          <t>Ex-offenders; age 18+; incarcerated within the last 6 months as a result of a conviction</t>
        </is>
      </c>
      <c r="Q4" s="2" t="n">
        <v>25.3</v>
      </c>
      <c r="R4" s="2" t="n">
        <v>94.3</v>
      </c>
      <c r="S4" s="2" t="n">
        <v>7.4</v>
      </c>
      <c r="T4" s="2" t="n">
        <v>83.59999999999999</v>
      </c>
      <c r="U4" s="2" t="n">
        <v>8.800000000000001</v>
      </c>
      <c r="V4" s="2" t="n">
        <v>73.3</v>
      </c>
      <c r="W4" s="2" t="n">
        <v>10.4</v>
      </c>
      <c r="X4" s="2" t="inlineStr">
        <is>
          <t>Had to have been incarcerated within preceding 6 months as result of conviction. Currently unemployed. No more than 3 months in a job during past 6 months.</t>
        </is>
      </c>
      <c r="Y4" s="2" t="n"/>
      <c r="Z4" s="2" t="n">
        <v>1117</v>
      </c>
      <c r="AA4" s="2" t="n">
        <v>1194</v>
      </c>
      <c r="AB4" s="2" t="n"/>
      <c r="AC4" s="2" t="n"/>
      <c r="AD4" s="2" t="n">
        <v>0.666</v>
      </c>
      <c r="AE4" s="2" t="n"/>
      <c r="AF4" s="2" t="n"/>
      <c r="AG4" s="2" t="n">
        <v>0.629</v>
      </c>
      <c r="AH4" s="2" t="n"/>
      <c r="AI4" s="2" t="n"/>
      <c r="AJ4" s="2">
        <f>(0.64+0.62)/2</f>
        <v/>
      </c>
      <c r="AK4" s="2" t="inlineStr">
        <is>
          <t>self-report (survey)</t>
        </is>
      </c>
      <c r="AL4" s="2" t="n">
        <v>1.25</v>
      </c>
      <c r="AM4" s="2" t="n">
        <v>6.8</v>
      </c>
      <c r="AN4" s="2" t="n"/>
      <c r="AO4" s="2" t="inlineStr">
        <is>
          <t>**</t>
        </is>
      </c>
      <c r="AP4" s="2" t="n">
        <v>59.2</v>
      </c>
      <c r="AQ4" s="2" t="n">
        <v>25.16</v>
      </c>
      <c r="AR4" s="2" t="n"/>
      <c r="AS4" s="2" t="n"/>
      <c r="AT4" s="2" t="n">
        <v>260.83</v>
      </c>
      <c r="AU4" s="2" t="inlineStr">
        <is>
          <t>monthly (averaged over months 10-18)</t>
        </is>
      </c>
      <c r="AV4" s="2" t="n">
        <v>1.9</v>
      </c>
      <c r="AW4" s="2" t="n">
        <v>3.2</v>
      </c>
      <c r="AX4" s="2" t="n"/>
      <c r="AY4" s="2" t="n"/>
      <c r="AZ4" s="2" t="n">
        <v>53.3</v>
      </c>
      <c r="BA4" s="2" t="n">
        <v>14.99</v>
      </c>
      <c r="BB4" s="2" t="n"/>
      <c r="BC4" s="2" t="n"/>
      <c r="BD4" s="2" t="n">
        <v>254.15</v>
      </c>
      <c r="BE4" s="2" t="inlineStr">
        <is>
          <t>monthly (averaged over months 19-27)</t>
        </is>
      </c>
      <c r="BF4" s="2" t="n">
        <v>2.7</v>
      </c>
      <c r="BG4" s="2" t="n">
        <v>1.2</v>
      </c>
      <c r="BH4" s="2" t="n"/>
      <c r="BI4" s="2" t="n"/>
      <c r="BJ4" t="n">
        <v>57.8</v>
      </c>
      <c r="BK4" t="n">
        <v>62.6</v>
      </c>
      <c r="BN4" t="n">
        <v>304.2</v>
      </c>
      <c r="BO4" t="inlineStr">
        <is>
          <t>monthly (averaged over months 28-36)</t>
        </is>
      </c>
      <c r="BP4" t="inlineStr">
        <is>
          <t>MDRC 1980, Summary and Findings of the National Supported Work Demonstration. Table 9-4 (p. 160), Table 2-5 (p. 32), Table 2-8 (p. 37), text p. 37.</t>
        </is>
      </c>
      <c r="BQ4" t="inlineStr">
        <is>
          <t>Total research sample: 1,497 ex-offenders (experimentals + controls combined). Cost: $4,455 per ex-offender participant (text p. 37). 36-month follow-up. Limited long-term impacts: no statistically significant effects on employment or earnings at any post-program horizon. Text notes that 'supported work had only limited impact on the ex-offender group' (p. 158). Benefit-cost analysis inconclusive. Dollar figures nominal.</t>
        </is>
      </c>
      <c r="BR4" t="n">
        <v>4455</v>
      </c>
      <c r="BT4" t="inlineStr">
        <is>
          <t>MDRC 1980, Table 8-4 (p.160). B-C analysis inconclusive; benefits range -$280 to $12,927 depending on assumptions about criminal activity. Not entered.</t>
        </is>
      </c>
      <c r="BU4" t="inlineStr">
        <is>
          <t>multiple</t>
        </is>
      </c>
      <c r="BV4" t="inlineStr">
        <is>
          <t>urban</t>
        </is>
      </c>
      <c r="BW4" t="n">
        <v>0</v>
      </c>
      <c r="BX4" t="n">
        <v>0</v>
      </c>
      <c r="BY4" t="n">
        <v>0</v>
      </c>
      <c r="BZ4" t="n">
        <v>0</v>
      </c>
      <c r="CA4" t="n">
        <v>0</v>
      </c>
      <c r="CB4" t="n">
        <v>0</v>
      </c>
      <c r="CC4" t="n">
        <v>0</v>
      </c>
      <c r="CD4" t="n">
        <v>0</v>
      </c>
      <c r="CE4" t="n">
        <v>80.3</v>
      </c>
      <c r="CF4" t="n">
        <v>0</v>
      </c>
      <c r="CI4" t="n">
        <v>5.2</v>
      </c>
    </row>
    <row r="5" ht="44.1" customHeight="1">
      <c r="A5" s="2" t="inlineStr">
        <is>
          <t>National Supported Work Demonstration</t>
        </is>
      </c>
      <c r="B5" s="2" t="inlineStr">
        <is>
          <t>Young school dropouts</t>
        </is>
      </c>
      <c r="C5" s="2" t="inlineStr">
        <is>
          <t>NSWD-School dropouts</t>
        </is>
      </c>
      <c r="D5" s="2" t="inlineStr">
        <is>
          <t>Supported work: 12-18 months of subsidized employment in a structured, graduated-stress environment with peer support, close supervision, and gradually increasing performance demands. Work in service activities, construction, and manufacturing.</t>
        </is>
      </c>
      <c r="E5" s="2" t="inlineStr">
        <is>
          <t>primary</t>
        </is>
      </c>
      <c r="F5" s="2" t="n">
        <v>0</v>
      </c>
      <c r="G5" s="2" t="n">
        <v>1</v>
      </c>
      <c r="H5" s="2" t="n">
        <v>1</v>
      </c>
      <c r="I5" s="2" t="n">
        <v>1</v>
      </c>
      <c r="J5" s="2" t="inlineStr">
        <is>
          <t>subsidized transitional employment, graduated stress, peer support</t>
        </is>
      </c>
      <c r="K5" s="2" t="inlineStr">
        <is>
          <t>voluntary</t>
        </is>
      </c>
      <c r="L5" s="2" t="inlineStr">
        <is>
          <t>public</t>
        </is>
      </c>
      <c r="M5" s="2" t="inlineStr">
        <is>
          <t>private</t>
        </is>
      </c>
      <c r="N5" s="2" t="inlineStr">
        <is>
          <t>February 1976 – March 1979</t>
        </is>
      </c>
      <c r="O5" t="n">
        <v>1977.667</v>
      </c>
      <c r="P5" s="2" t="inlineStr">
        <is>
          <t>Youth; ages 17-20; no high school diploma or GED; not in school in last 6 months; 50%+ with delinquency record</t>
        </is>
      </c>
      <c r="Q5" s="2" t="n">
        <v>18.3</v>
      </c>
      <c r="R5" s="2" t="n">
        <v>86.40000000000001</v>
      </c>
      <c r="S5" s="2" t="n">
        <v>5.9</v>
      </c>
      <c r="T5" s="2" t="n">
        <v>78.2</v>
      </c>
      <c r="U5" s="2" t="n">
        <v>15.6</v>
      </c>
      <c r="V5" s="2" t="n">
        <v>99.3</v>
      </c>
      <c r="W5" s="2" t="n">
        <v>9.699999999999999</v>
      </c>
      <c r="X5" s="2" t="inlineStr">
        <is>
          <t>Age 17-20 with no high school diploma or GED; not in school for at least 6 months; at least 50% had to have a delinquency record, conviction, court appearance, or similar. Currently unemployed.</t>
        </is>
      </c>
      <c r="Y5" s="2" t="n"/>
      <c r="Z5" s="2" t="n">
        <v>567</v>
      </c>
      <c r="AA5" s="2" t="n">
        <v>685</v>
      </c>
      <c r="AB5" s="2" t="n"/>
      <c r="AC5" s="2" t="n"/>
      <c r="AD5" s="2" t="n">
        <v>0.738</v>
      </c>
      <c r="AE5" s="2" t="n"/>
      <c r="AF5" s="2" t="n"/>
      <c r="AG5" s="2" t="n">
        <v>0.704</v>
      </c>
      <c r="AH5" s="2" t="n"/>
      <c r="AI5" s="2" t="n"/>
      <c r="AJ5" s="2">
        <f>(0.73+0.68)/2</f>
        <v/>
      </c>
      <c r="AK5" s="2" t="inlineStr">
        <is>
          <t>self-report (survey)</t>
        </is>
      </c>
      <c r="AL5" s="2" t="n">
        <v>1.25</v>
      </c>
      <c r="AM5" s="2" t="n">
        <v>6.2</v>
      </c>
      <c r="AN5" s="2" t="n"/>
      <c r="AO5" s="2" t="inlineStr">
        <is>
          <t>*</t>
        </is>
      </c>
      <c r="AP5" s="2" t="n">
        <v>62.7</v>
      </c>
      <c r="AQ5" s="2" t="n">
        <v>30.71</v>
      </c>
      <c r="AR5" s="2" t="n"/>
      <c r="AS5" s="2" t="n"/>
      <c r="AT5" s="2" t="n">
        <v>205.25</v>
      </c>
      <c r="AU5" s="2" t="inlineStr">
        <is>
          <t>monthly (averaged over months 10-18)</t>
        </is>
      </c>
      <c r="AV5" s="2" t="n">
        <v>1.9</v>
      </c>
      <c r="AW5" s="2" t="n">
        <v>0</v>
      </c>
      <c r="AX5" s="2" t="n"/>
      <c r="AY5" s="2" t="n"/>
      <c r="AZ5" s="2" t="n">
        <v>62.6</v>
      </c>
      <c r="BA5" s="2" t="n">
        <v>19.3</v>
      </c>
      <c r="BB5" s="2" t="n"/>
      <c r="BC5" s="2" t="n"/>
      <c r="BD5" s="2" t="n">
        <v>248.98</v>
      </c>
      <c r="BE5" s="2" t="inlineStr">
        <is>
          <t>monthly (averaged over months 19-27)</t>
        </is>
      </c>
      <c r="BF5" s="2" t="n">
        <v>2.7</v>
      </c>
      <c r="BG5" s="2" t="n">
        <v>8.699999999999999</v>
      </c>
      <c r="BH5" s="2" t="n"/>
      <c r="BI5" s="2" t="n"/>
      <c r="BJ5" t="n">
        <v>66.2</v>
      </c>
      <c r="BK5" t="n">
        <v>-41.53</v>
      </c>
      <c r="BN5" t="n">
        <v>342.58</v>
      </c>
      <c r="BO5" t="inlineStr">
        <is>
          <t>monthly (averaged over months 28-36)</t>
        </is>
      </c>
      <c r="BP5" t="inlineStr">
        <is>
          <t>MDRC 1980, Summary and Findings of the National Supported Work Demonstration. Table 9-3 (p. 158), Table 2-5 (p. 32), Table 2-8 (p. 37).</t>
        </is>
      </c>
      <c r="BQ5" t="inlineStr">
        <is>
          <t>Total research sample: 861 youth (experimentals + controls combined). Cost ($5,740) is average across all groups; youth-specific cost not reported. 36-month follow-up but data for months 1-27 used (months 28-36 based on unreliably small sample per source note). No significant post-program impacts. Benefit-cost analysis: net cost of ~$1,465 per youth (range -$4,118 to -$250). Program 'may be more successful with youths under 19 years of age' per text p. 157.</t>
        </is>
      </c>
      <c r="BR5" t="n">
        <v>5740</v>
      </c>
      <c r="BS5" t="n">
        <v>3546</v>
      </c>
      <c r="BT5" t="inlineStr">
        <is>
          <t>MDRC 1980, Table 8-3 (p.158). Total benefits from social perspective = $3,546 (undiscounted). Net loss ~$1,465 per youth.</t>
        </is>
      </c>
      <c r="BU5" t="inlineStr">
        <is>
          <t>multiple</t>
        </is>
      </c>
      <c r="BV5" t="inlineStr">
        <is>
          <t>urban</t>
        </is>
      </c>
      <c r="BW5" t="n">
        <v>0</v>
      </c>
      <c r="BX5" t="n">
        <v>0</v>
      </c>
      <c r="BY5" t="n">
        <v>0</v>
      </c>
      <c r="BZ5" t="n">
        <v>0</v>
      </c>
      <c r="CA5" t="n">
        <v>0</v>
      </c>
      <c r="CB5" t="n">
        <v>0</v>
      </c>
      <c r="CC5" t="n">
        <v>0</v>
      </c>
      <c r="CD5" t="n">
        <v>0</v>
      </c>
      <c r="CE5" t="n">
        <v>75.8</v>
      </c>
      <c r="CF5" t="n">
        <v>0</v>
      </c>
      <c r="CI5" t="n">
        <v>6.8</v>
      </c>
    </row>
    <row r="6" ht="44.1" customHeight="1">
      <c r="A6" s="2" t="inlineStr">
        <is>
          <t>National JTPA Study</t>
        </is>
      </c>
      <c r="B6" s="2" t="inlineStr">
        <is>
          <t>Adult women</t>
        </is>
      </c>
      <c r="C6" s="2" t="inlineStr">
        <is>
          <t>JTPA-Adult women</t>
        </is>
      </c>
      <c r="D6"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6" s="2" t="inlineStr">
        <is>
          <t>primary</t>
        </is>
      </c>
      <c r="F6" s="2" t="n">
        <v>1</v>
      </c>
      <c r="G6" s="2" t="n">
        <v>1</v>
      </c>
      <c r="H6" s="2" t="n">
        <v>1</v>
      </c>
      <c r="I6" s="2" t="n">
        <v>1</v>
      </c>
      <c r="J6" s="2" t="inlineStr">
        <is>
          <t>basic education, GED preparation, work experience</t>
        </is>
      </c>
      <c r="K6" s="2" t="inlineStr">
        <is>
          <t>voluntary</t>
        </is>
      </c>
      <c r="L6" s="2" t="inlineStr">
        <is>
          <t>public</t>
        </is>
      </c>
      <c r="M6" s="2" t="inlineStr">
        <is>
          <t>mixed</t>
        </is>
      </c>
      <c r="N6" s="2" t="inlineStr">
        <is>
          <t>November 1987 – September 1989</t>
        </is>
      </c>
      <c r="O6" t="n">
        <v>1988.792</v>
      </c>
      <c r="P6" s="2" t="inlineStr">
        <is>
          <t>Women age 22+ applying to JTPA Title II-A at 16 SDAs nationwide</t>
        </is>
      </c>
      <c r="Q6" s="2" t="n">
        <v>33.3</v>
      </c>
      <c r="R6" s="2" t="n">
        <v>0</v>
      </c>
      <c r="S6" s="2" t="n">
        <v>59.6</v>
      </c>
      <c r="T6" s="2" t="n">
        <v>26.4</v>
      </c>
      <c r="U6" s="2" t="n">
        <v>11.9</v>
      </c>
      <c r="V6" s="2" t="n">
        <v>27.9</v>
      </c>
      <c r="W6" s="2" t="n"/>
      <c r="X6" s="2" t="inlineStr">
        <is>
          <t>Applicants to JTPA who were recommended for classroom training, OJT/JSA, or other services, and deemed appropriate for random assignment by local staff. Excluded: those in need of only job search assistance (not suitable for 18-month embargo). ~64% of eligible applicants were in the study; the rest were served without random assignment.</t>
        </is>
      </c>
      <c r="Y6" s="2" t="n">
        <v>0.64</v>
      </c>
      <c r="Z6" s="2" t="n">
        <v>3631</v>
      </c>
      <c r="AA6" s="2" t="n">
        <v>1723</v>
      </c>
      <c r="AB6" s="2" t="n"/>
      <c r="AC6" s="2" t="n"/>
      <c r="AD6" s="2" t="n"/>
      <c r="AE6" s="2" t="n"/>
      <c r="AF6" s="2" t="n"/>
      <c r="AG6" s="2" t="n"/>
      <c r="AH6" s="2" t="n"/>
      <c r="AI6" s="2" t="n"/>
      <c r="AJ6" s="2" t="n">
        <v>0.78</v>
      </c>
      <c r="AK6" s="2" t="inlineStr">
        <is>
          <t>SSA earnings records</t>
        </is>
      </c>
      <c r="AL6" s="2" t="n">
        <v>1</v>
      </c>
      <c r="AM6" s="2" t="n">
        <v>2.9</v>
      </c>
      <c r="AN6" s="2" t="n">
        <v>1.2</v>
      </c>
      <c r="AO6" s="2" t="inlineStr">
        <is>
          <t>**</t>
        </is>
      </c>
      <c r="AP6" s="2" t="n">
        <v>77.40000000000001</v>
      </c>
      <c r="AQ6" s="2" t="n">
        <v>379</v>
      </c>
      <c r="AR6" s="2" t="n">
        <v>145</v>
      </c>
      <c r="AS6" s="2" t="inlineStr">
        <is>
          <t>***</t>
        </is>
      </c>
      <c r="AT6" s="2" t="n">
        <v>4323</v>
      </c>
      <c r="AU6" s="2" t="inlineStr">
        <is>
          <t>annual</t>
        </is>
      </c>
      <c r="AV6" s="2" t="n">
        <v>3</v>
      </c>
      <c r="AW6" s="2" t="n">
        <v>3.1</v>
      </c>
      <c r="AX6" s="2" t="n">
        <v>1.35</v>
      </c>
      <c r="AY6" s="2" t="inlineStr">
        <is>
          <t>**</t>
        </is>
      </c>
      <c r="AZ6" s="2" t="n">
        <v>68.09999999999999</v>
      </c>
      <c r="BA6" s="2" t="n">
        <v>583</v>
      </c>
      <c r="BB6" s="2" t="n">
        <v>196</v>
      </c>
      <c r="BC6" s="2" t="inlineStr">
        <is>
          <t>***</t>
        </is>
      </c>
      <c r="BD6" s="2" t="n">
        <v>5319</v>
      </c>
      <c r="BE6" s="2" t="inlineStr">
        <is>
          <t>annual</t>
        </is>
      </c>
      <c r="BF6" s="2" t="n">
        <v>5</v>
      </c>
      <c r="BG6" s="2">
        <f>(71.2-68.1+69.7-67.7+68.7-67.4)/3</f>
        <v/>
      </c>
      <c r="BH6" s="2" t="n"/>
      <c r="BI6" s="2" t="n"/>
      <c r="BJ6" t="n">
        <v>67.40000000000001</v>
      </c>
      <c r="BK6" t="n">
        <v>402</v>
      </c>
      <c r="BL6" t="n">
        <v>225</v>
      </c>
      <c r="BM6" t="inlineStr">
        <is>
          <t>*</t>
        </is>
      </c>
      <c r="BN6" t="n">
        <v>6154</v>
      </c>
      <c r="BO6" t="inlineStr">
        <is>
          <t>annual</t>
        </is>
      </c>
      <c r="BP6" t="inlineStr">
        <is>
          <t>GAO 1996, Job Training Partnership Act: Long-Term Earnings and Employment Outcomes (GAO/HEHS-96-40). Tables II.1-II.12 (Appendix II, pp. 20-25).</t>
        </is>
      </c>
      <c r="BQ6" t="inlineStr">
        <is>
          <t>Sample: 5,354 adult women (T=3,631, C=1,723) from NJS who were assigned before 1989 and matched to SSA earnings records. GAO 1996 uses SSA administrative data on annual earnings and employment (defined as any positive SSA earnings in a calendar year) for years 1-5 after random assignment. Replaces Orr et al. 1994 survey-based data with longer-term SSA follow-up. Earnings are nominal dollars. Employment SEs computed from proportions and sample sizes (not provided in the report). No earnings or employment differences statistically significant at 5% level by year 5, though years 1-4 earnings differences were significant.</t>
        </is>
      </c>
      <c r="BR6" t="n">
        <v>1171</v>
      </c>
      <c r="BS6" t="n">
        <v>1683</v>
      </c>
      <c r="BT6" t="inlineStr">
        <is>
          <t>Orr et al. 1994, Exhibit 6.2 (p.176). Societal benefit = earnings gain of $1,683 (cumulative 30-month, not discounted). Cost = $1,171 incremental training cost. Net = $512.</t>
        </is>
      </c>
      <c r="BU6" t="inlineStr">
        <is>
          <t>multiple</t>
        </is>
      </c>
      <c r="BV6" t="inlineStr">
        <is>
          <t>urban</t>
        </is>
      </c>
      <c r="BW6" t="n">
        <v>0</v>
      </c>
      <c r="BX6" t="n">
        <v>0</v>
      </c>
      <c r="BY6" t="n">
        <v>0</v>
      </c>
      <c r="BZ6" t="n">
        <v>0</v>
      </c>
      <c r="CA6" t="n">
        <v>0</v>
      </c>
      <c r="CB6" t="n">
        <v>0</v>
      </c>
      <c r="CC6" t="n">
        <v>0</v>
      </c>
      <c r="CD6" t="n">
        <v>0</v>
      </c>
      <c r="CE6" t="n">
        <v>65.7</v>
      </c>
      <c r="CG6" t="n">
        <v>26.4</v>
      </c>
      <c r="CH6" t="n">
        <v>33.1</v>
      </c>
      <c r="CI6" t="n">
        <v>3.8</v>
      </c>
    </row>
    <row r="7" ht="44.1" customHeight="1">
      <c r="A7" s="2" t="inlineStr">
        <is>
          <t>National JTPA Study</t>
        </is>
      </c>
      <c r="B7" s="2" t="inlineStr">
        <is>
          <t>Adult men</t>
        </is>
      </c>
      <c r="C7" s="2" t="inlineStr">
        <is>
          <t>JTPA-Adult men</t>
        </is>
      </c>
      <c r="D7"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7" s="2" t="inlineStr">
        <is>
          <t>primary</t>
        </is>
      </c>
      <c r="F7" s="2" t="n">
        <v>1</v>
      </c>
      <c r="G7" s="2" t="n">
        <v>1</v>
      </c>
      <c r="H7" s="2" t="n">
        <v>1</v>
      </c>
      <c r="I7" s="2" t="n">
        <v>1</v>
      </c>
      <c r="J7" s="2" t="inlineStr">
        <is>
          <t>basic education, GED preparation, work experience</t>
        </is>
      </c>
      <c r="K7" s="2" t="inlineStr">
        <is>
          <t>voluntary</t>
        </is>
      </c>
      <c r="L7" s="2" t="inlineStr">
        <is>
          <t>public</t>
        </is>
      </c>
      <c r="M7" s="2" t="inlineStr">
        <is>
          <t>mixed</t>
        </is>
      </c>
      <c r="N7" s="2" t="inlineStr">
        <is>
          <t>November 1987 – September 1989</t>
        </is>
      </c>
      <c r="O7" t="n">
        <v>1988.792</v>
      </c>
      <c r="P7" s="2" t="inlineStr">
        <is>
          <t>Men age 22+ applying to JTPA Title II-A at 16 SDAs nationwide</t>
        </is>
      </c>
      <c r="Q7" s="2" t="n">
        <v>33.1</v>
      </c>
      <c r="R7" s="2" t="n">
        <v>100</v>
      </c>
      <c r="S7" s="2" t="n">
        <v>61.6</v>
      </c>
      <c r="T7" s="2" t="n">
        <v>25.4</v>
      </c>
      <c r="U7" s="2" t="n">
        <v>9.699999999999999</v>
      </c>
      <c r="V7" s="2" t="n">
        <v>30.7</v>
      </c>
      <c r="W7" s="2" t="n"/>
      <c r="X7" s="2" t="inlineStr">
        <is>
          <t>Applicants to JTPA who were recommended for classroom training, OJT/JSA, or other services, and deemed appropriate for random assignment by local staff. ~64% of eligible applicants were in the study.</t>
        </is>
      </c>
      <c r="Y7" s="2" t="n">
        <v>0.64</v>
      </c>
      <c r="Z7" s="2" t="n">
        <v>2874</v>
      </c>
      <c r="AA7" s="2" t="n">
        <v>1435</v>
      </c>
      <c r="AB7" s="2" t="n"/>
      <c r="AC7" s="2" t="n"/>
      <c r="AD7" s="2" t="n"/>
      <c r="AE7" s="2" t="n"/>
      <c r="AF7" s="2" t="n"/>
      <c r="AG7" s="2" t="n"/>
      <c r="AH7" s="2" t="n"/>
      <c r="AI7" s="2" t="n"/>
      <c r="AJ7" s="2" t="n">
        <v>0.78</v>
      </c>
      <c r="AK7" s="2" t="inlineStr">
        <is>
          <t>SSA earnings records</t>
        </is>
      </c>
      <c r="AL7" s="2" t="n">
        <v>1</v>
      </c>
      <c r="AM7" s="2" t="n">
        <v>0.3</v>
      </c>
      <c r="AN7" s="2" t="n">
        <v>1.1</v>
      </c>
      <c r="AO7" s="2" t="n"/>
      <c r="AP7" s="2" t="n">
        <v>86.40000000000001</v>
      </c>
      <c r="AQ7" s="2" t="n">
        <v>491</v>
      </c>
      <c r="AR7" s="2" t="n">
        <v>216</v>
      </c>
      <c r="AS7" s="2" t="inlineStr">
        <is>
          <t>**</t>
        </is>
      </c>
      <c r="AT7" s="2" t="n">
        <v>6410</v>
      </c>
      <c r="AU7" s="2" t="inlineStr">
        <is>
          <t>annual</t>
        </is>
      </c>
      <c r="AV7" s="2" t="n">
        <v>3</v>
      </c>
      <c r="AW7" s="2" t="n">
        <v>2.4</v>
      </c>
      <c r="AX7" s="2" t="n">
        <v>1.4</v>
      </c>
      <c r="AY7" s="2" t="inlineStr">
        <is>
          <t>*</t>
        </is>
      </c>
      <c r="AZ7" s="2" t="n">
        <v>73.90000000000001</v>
      </c>
      <c r="BA7" s="2" t="n">
        <v>573</v>
      </c>
      <c r="BB7" s="2" t="n">
        <v>279</v>
      </c>
      <c r="BC7" s="2" t="inlineStr">
        <is>
          <t>**</t>
        </is>
      </c>
      <c r="BD7" s="2" t="n">
        <v>7363</v>
      </c>
      <c r="BE7" s="2" t="inlineStr">
        <is>
          <t>annual</t>
        </is>
      </c>
      <c r="BF7" s="2" t="n">
        <v>5</v>
      </c>
      <c r="BG7" s="2">
        <f>(76.3-73.9+73.7-70+72.3-71.1)/3</f>
        <v/>
      </c>
      <c r="BH7" s="2" t="n"/>
      <c r="BI7" s="2" t="n"/>
      <c r="BJ7" t="n">
        <v>71.09999999999999</v>
      </c>
      <c r="BK7" t="n">
        <v>325</v>
      </c>
      <c r="BL7" t="n">
        <v>322</v>
      </c>
      <c r="BN7" t="n">
        <v>8326</v>
      </c>
      <c r="BO7" t="inlineStr">
        <is>
          <t>annual</t>
        </is>
      </c>
      <c r="BP7" t="inlineStr">
        <is>
          <t>GAO 1996, Job Training Partnership Act: Long-Term Earnings and Employment Outcomes (GAO/HEHS-96-40). Tables II.1-II.12 (Appendix II, pp. 20-25).</t>
        </is>
      </c>
      <c r="BQ7" t="inlineStr">
        <is>
          <t>Sample: 4,309 adult men (T=2,874, C=1,435) from NJS matched to SSA earnings records. GAO 1996 uses SSA administrative data for years 1-5 after random assignment. Replaces Orr et al. 1994 survey-based data. Earnings are nominal dollars. Employment SEs computed from proportions and sample sizes. Earnings impacts significant at 5% level in years 1-3 but not years 4-5. Year 4 employment impact significant at 5% level.</t>
        </is>
      </c>
      <c r="BR7" t="n">
        <v>831</v>
      </c>
      <c r="BS7" t="n">
        <v>1355</v>
      </c>
      <c r="BT7" t="inlineStr">
        <is>
          <t>Orr et al. 1994, Exhibit 6.2 (p.176). Societal benefit = earnings gain of $1,355 (cumulative 30-month, not discounted). Cost = $831. Net = $524.</t>
        </is>
      </c>
      <c r="BU7" t="inlineStr">
        <is>
          <t>multiple</t>
        </is>
      </c>
      <c r="BV7" t="inlineStr">
        <is>
          <t>urban</t>
        </is>
      </c>
      <c r="BW7" t="n">
        <v>0</v>
      </c>
      <c r="BX7" t="n">
        <v>0</v>
      </c>
      <c r="BY7" t="n">
        <v>0</v>
      </c>
      <c r="BZ7" t="n">
        <v>0</v>
      </c>
      <c r="CA7" t="n">
        <v>0</v>
      </c>
      <c r="CB7" t="n">
        <v>0</v>
      </c>
      <c r="CC7" t="n">
        <v>0</v>
      </c>
      <c r="CD7" t="n">
        <v>0</v>
      </c>
      <c r="CE7" t="n">
        <v>62.3</v>
      </c>
      <c r="CG7" t="n">
        <v>26.2</v>
      </c>
      <c r="CH7" t="n">
        <v>23.4</v>
      </c>
      <c r="CI7" t="n">
        <v>2.8</v>
      </c>
    </row>
    <row r="8" ht="44.1" customHeight="1">
      <c r="A8" s="2" t="inlineStr">
        <is>
          <t>National JTPA Study</t>
        </is>
      </c>
      <c r="B8" s="2" t="inlineStr">
        <is>
          <t>Female out-of-school youths</t>
        </is>
      </c>
      <c r="C8" s="2" t="inlineStr">
        <is>
          <t>JTPA-Female youths</t>
        </is>
      </c>
      <c r="D8"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8" s="2" t="inlineStr">
        <is>
          <t>primary</t>
        </is>
      </c>
      <c r="F8" s="2" t="n">
        <v>1</v>
      </c>
      <c r="G8" s="2" t="n">
        <v>1</v>
      </c>
      <c r="H8" s="2" t="n">
        <v>1</v>
      </c>
      <c r="I8" s="2" t="n">
        <v>1</v>
      </c>
      <c r="J8" s="2" t="inlineStr">
        <is>
          <t>basic education, GED preparation, work experience</t>
        </is>
      </c>
      <c r="K8" s="2" t="inlineStr">
        <is>
          <t>voluntary</t>
        </is>
      </c>
      <c r="L8" s="2" t="inlineStr">
        <is>
          <t>public</t>
        </is>
      </c>
      <c r="M8" s="2" t="inlineStr">
        <is>
          <t>mixed</t>
        </is>
      </c>
      <c r="N8" s="2" t="inlineStr">
        <is>
          <t>November 1987 – September 1989</t>
        </is>
      </c>
      <c r="O8" t="n">
        <v>1988.792</v>
      </c>
      <c r="P8" s="2" t="inlineStr">
        <is>
          <t>Female out-of-school youth ages 16-21 applying to JTPA Title II-A at 16 SDAs</t>
        </is>
      </c>
      <c r="Q8" s="2" t="n">
        <v>19</v>
      </c>
      <c r="R8" s="2" t="n">
        <v>0</v>
      </c>
      <c r="S8" s="2" t="n">
        <v>51.5</v>
      </c>
      <c r="T8" s="2" t="n">
        <v>31.2</v>
      </c>
      <c r="U8" s="2" t="n">
        <v>15.7</v>
      </c>
      <c r="V8" s="2" t="n">
        <v>48.4</v>
      </c>
      <c r="W8" s="2" t="n"/>
      <c r="X8" s="2" t="inlineStr">
        <is>
          <t>Out-of-school female youth applicants to JTPA deemed appropriate for random assignment. ~64% of eligible applicants in study.</t>
        </is>
      </c>
      <c r="Y8" s="2" t="n">
        <v>0.64</v>
      </c>
      <c r="Z8" s="2" t="n">
        <v>1593</v>
      </c>
      <c r="AA8" s="2" t="n">
        <v>707</v>
      </c>
      <c r="AB8" s="2" t="n"/>
      <c r="AC8" s="2" t="n"/>
      <c r="AD8" s="2" t="n"/>
      <c r="AE8" s="2" t="n"/>
      <c r="AF8" s="2" t="n"/>
      <c r="AG8" s="2" t="n"/>
      <c r="AH8" s="2" t="n"/>
      <c r="AI8" s="2" t="n"/>
      <c r="AJ8" s="2" t="n">
        <v>0.78</v>
      </c>
      <c r="AK8" s="2" t="inlineStr">
        <is>
          <t>SSA earnings records</t>
        </is>
      </c>
      <c r="AL8" s="2" t="n">
        <v>1</v>
      </c>
      <c r="AM8" s="2" t="n">
        <v>2.4</v>
      </c>
      <c r="AN8" s="2" t="n">
        <v>1.8</v>
      </c>
      <c r="AO8" s="2" t="n"/>
      <c r="AP8" s="2" t="n">
        <v>79.59999999999999</v>
      </c>
      <c r="AQ8" s="2" t="n">
        <v>-50</v>
      </c>
      <c r="AR8" s="2" t="n">
        <v>172</v>
      </c>
      <c r="AS8" s="2" t="n"/>
      <c r="AT8" s="2" t="n">
        <v>3389</v>
      </c>
      <c r="AU8" s="2" t="inlineStr">
        <is>
          <t>annual</t>
        </is>
      </c>
      <c r="AV8" s="2" t="n">
        <v>3</v>
      </c>
      <c r="AW8" s="2" t="n">
        <v>-1.3</v>
      </c>
      <c r="AX8" s="2" t="n">
        <v>1.96</v>
      </c>
      <c r="AY8" s="2" t="n"/>
      <c r="AZ8" s="2" t="n">
        <v>75.09999999999999</v>
      </c>
      <c r="BA8" s="2" t="n">
        <v>10</v>
      </c>
      <c r="BB8" s="2" t="n">
        <v>240</v>
      </c>
      <c r="BC8" s="2" t="n"/>
      <c r="BD8" s="2" t="n">
        <v>4383</v>
      </c>
      <c r="BE8" s="2" t="inlineStr">
        <is>
          <t>annual</t>
        </is>
      </c>
      <c r="BF8" s="2" t="n">
        <v>5</v>
      </c>
      <c r="BG8" s="2">
        <f>(73.8-75.1+71.7-70.7+73.9-73)/3</f>
        <v/>
      </c>
      <c r="BH8" s="2" t="n"/>
      <c r="BI8" s="2" t="n"/>
      <c r="BJ8" t="n">
        <v>73</v>
      </c>
      <c r="BK8" t="n">
        <v>224</v>
      </c>
      <c r="BL8" t="n">
        <v>291</v>
      </c>
      <c r="BN8" t="n">
        <v>5209</v>
      </c>
      <c r="BO8" t="inlineStr">
        <is>
          <t>annual</t>
        </is>
      </c>
      <c r="BP8" t="inlineStr">
        <is>
          <t>GAO 1996, Job Training Partnership Act: Long-Term Earnings and Employment Outcomes (GAO/HEHS-96-40). Tables II.1-II.12 (Appendix II, pp. 20-25).</t>
        </is>
      </c>
      <c r="BQ8" t="inlineStr">
        <is>
          <t>Sample: 2,300 female out-of-school youths (T=1,593, C=707) from NJS matched to SSA records. GAO 1996 uses SSA administrative data for years 1-5 after random assignment. Replaces Orr et al. 1994 survey-based data. Earnings are nominal dollars. Employment SEs computed from proportions and sample sizes. No earnings or employment differences statistically significant at any horizon.</t>
        </is>
      </c>
      <c r="BR8" t="n">
        <v>1316</v>
      </c>
      <c r="BS8" t="n">
        <v>136</v>
      </c>
      <c r="BT8" t="inlineStr">
        <is>
          <t>Orr et al. 1994, Exhibit 6.3 (p.178). Societal benefit = earnings gain of $136 (cumulative 30-month, not discounted). Cost = $1,316. Net = -$1,180.</t>
        </is>
      </c>
      <c r="BU8" t="inlineStr">
        <is>
          <t>multiple</t>
        </is>
      </c>
      <c r="BV8" t="inlineStr">
        <is>
          <t>urban</t>
        </is>
      </c>
      <c r="BW8" t="n">
        <v>0</v>
      </c>
      <c r="BX8" t="n">
        <v>0</v>
      </c>
      <c r="BY8" t="n">
        <v>0</v>
      </c>
      <c r="BZ8" t="n">
        <v>0</v>
      </c>
      <c r="CA8" t="n">
        <v>0</v>
      </c>
      <c r="CB8" t="n">
        <v>0</v>
      </c>
      <c r="CC8" t="n">
        <v>0</v>
      </c>
      <c r="CD8" t="n">
        <v>0</v>
      </c>
      <c r="CE8" t="n">
        <v>66.59999999999999</v>
      </c>
      <c r="CG8" t="n">
        <v>21.8</v>
      </c>
      <c r="CH8" t="n">
        <v>44.3</v>
      </c>
      <c r="CI8" t="n">
        <v>4.3</v>
      </c>
    </row>
    <row r="9" ht="44.1" customHeight="1">
      <c r="A9" s="2" t="inlineStr">
        <is>
          <t>National JTPA Study</t>
        </is>
      </c>
      <c r="B9" s="2" t="inlineStr">
        <is>
          <t>Male out-of-school youths</t>
        </is>
      </c>
      <c r="C9" s="2" t="inlineStr">
        <is>
          <t>JTPA-Male youths</t>
        </is>
      </c>
      <c r="D9"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9" s="2" t="inlineStr">
        <is>
          <t>primary</t>
        </is>
      </c>
      <c r="F9" s="2" t="n">
        <v>1</v>
      </c>
      <c r="G9" s="2" t="n">
        <v>1</v>
      </c>
      <c r="H9" s="2" t="n">
        <v>1</v>
      </c>
      <c r="I9" s="2" t="n">
        <v>1</v>
      </c>
      <c r="J9" s="2" t="inlineStr">
        <is>
          <t>basic education, GED preparation, work experience</t>
        </is>
      </c>
      <c r="K9" s="2" t="inlineStr">
        <is>
          <t>voluntary</t>
        </is>
      </c>
      <c r="L9" s="2" t="inlineStr">
        <is>
          <t>public</t>
        </is>
      </c>
      <c r="M9" s="2" t="inlineStr">
        <is>
          <t>mixed</t>
        </is>
      </c>
      <c r="N9" s="2" t="inlineStr">
        <is>
          <t>November 1987 – September 1989</t>
        </is>
      </c>
      <c r="O9" t="n">
        <v>1988.792</v>
      </c>
      <c r="P9" s="2" t="inlineStr">
        <is>
          <t>Male out-of-school youth ages 16-21 applying to JTPA Title II-A at 16 SDAs</t>
        </is>
      </c>
      <c r="Q9" s="2" t="n">
        <v>18.9</v>
      </c>
      <c r="R9" s="2" t="n">
        <v>100</v>
      </c>
      <c r="S9" s="2" t="n">
        <v>55.8</v>
      </c>
      <c r="T9" s="2" t="n">
        <v>27.9</v>
      </c>
      <c r="U9" s="2" t="n">
        <v>14.1</v>
      </c>
      <c r="V9" s="2" t="n">
        <v>58.3</v>
      </c>
      <c r="W9" s="2" t="n"/>
      <c r="X9" s="2" t="inlineStr">
        <is>
          <t>Out-of-school male youth applicants to JTPA deemed appropriate for random assignment. ~64% of eligible applicants in study.</t>
        </is>
      </c>
      <c r="Y9" s="2" t="n">
        <v>0.64</v>
      </c>
      <c r="Z9" s="2" t="n">
        <v>1177</v>
      </c>
      <c r="AA9" s="2" t="n">
        <v>559</v>
      </c>
      <c r="AB9" s="2" t="n"/>
      <c r="AC9" s="2" t="n"/>
      <c r="AD9" s="2" t="n"/>
      <c r="AE9" s="2" t="n"/>
      <c r="AF9" s="2" t="n"/>
      <c r="AG9" s="2" t="n"/>
      <c r="AH9" s="2" t="n"/>
      <c r="AI9" s="2" t="n"/>
      <c r="AJ9" s="2" t="n">
        <v>0.78</v>
      </c>
      <c r="AK9" s="2" t="inlineStr">
        <is>
          <t>SSA earnings records</t>
        </is>
      </c>
      <c r="AL9" s="2" t="n">
        <v>1</v>
      </c>
      <c r="AM9" s="2" t="n">
        <v>-1.6</v>
      </c>
      <c r="AN9" s="2" t="n">
        <v>1.43</v>
      </c>
      <c r="AO9" s="2" t="n"/>
      <c r="AP9" s="2" t="n">
        <v>92.09999999999999</v>
      </c>
      <c r="AQ9" s="2" t="n">
        <v>-180</v>
      </c>
      <c r="AR9" s="2" t="n">
        <v>243</v>
      </c>
      <c r="AS9" s="2" t="n"/>
      <c r="AT9" s="2" t="n">
        <v>4792</v>
      </c>
      <c r="AU9" s="2" t="inlineStr">
        <is>
          <t>annual</t>
        </is>
      </c>
      <c r="AV9" s="2" t="n">
        <v>3</v>
      </c>
      <c r="AW9" s="2" t="n">
        <v>-0.4</v>
      </c>
      <c r="AX9" s="2" t="n">
        <v>1.95</v>
      </c>
      <c r="AY9" s="2" t="n"/>
      <c r="AZ9" s="2" t="n">
        <v>82.59999999999999</v>
      </c>
      <c r="BA9" s="2" t="n">
        <v>-367</v>
      </c>
      <c r="BB9" s="2" t="n">
        <v>338</v>
      </c>
      <c r="BC9" s="2" t="n"/>
      <c r="BD9" s="2" t="n">
        <v>6497</v>
      </c>
      <c r="BE9" s="2" t="inlineStr">
        <is>
          <t>annual</t>
        </is>
      </c>
      <c r="BF9" s="2" t="n">
        <v>5</v>
      </c>
      <c r="BG9" s="2">
        <f>(82.2-82.6+80.4-79.4+81.1-77.5)/3</f>
        <v/>
      </c>
      <c r="BH9" s="2" t="n"/>
      <c r="BI9" s="2" t="n"/>
      <c r="BJ9" t="n">
        <v>77.5</v>
      </c>
      <c r="BK9" t="n">
        <v>776</v>
      </c>
      <c r="BL9" t="n">
        <v>413</v>
      </c>
      <c r="BM9" t="inlineStr">
        <is>
          <t>*</t>
        </is>
      </c>
      <c r="BN9" t="n">
        <v>6778</v>
      </c>
      <c r="BO9" t="inlineStr">
        <is>
          <t>annual</t>
        </is>
      </c>
      <c r="BP9" t="inlineStr">
        <is>
          <t>GAO 1996, Job Training Partnership Act: Long-Term Earnings and Employment Outcomes (GAO/HEHS-96-40). Tables II.1-II.12 (Appendix II, pp. 20-25).</t>
        </is>
      </c>
      <c r="BQ9" t="inlineStr">
        <is>
          <t>Sample: 1,736 male out-of-school youths (T=1,177, C=559) from NJS matched to SSA records. GAO 1996 uses SSA administrative data for years 1-5 after random assignment. Replaces Orr et al. 1994 survey-based data. Unlike Orr et al., GAO does not separate arrestees from non-arrestees; this row covers all male out-of-school youths. Earnings are nominal dollars. Employment SEs computed from proportions and sample sizes. No earnings or employment differences statistically significant at 5% level at any horizon, though year 5 earnings impact ($776) marginally significant (t=1.88, p&lt;0.10).</t>
        </is>
      </c>
      <c r="BR9" t="n">
        <v>1955</v>
      </c>
      <c r="BS9" t="n">
        <v>-968</v>
      </c>
      <c r="BT9" t="inlineStr">
        <is>
          <t>Orr et al. 1994, Exhibit 6.3 (p.178). Societal benefit = earnings gain of -$968 (cumulative 30-month, not discounted). Cost = $1,955. Net = -$2,923.</t>
        </is>
      </c>
      <c r="BU9" t="inlineStr">
        <is>
          <t>multiple</t>
        </is>
      </c>
      <c r="BV9" t="inlineStr">
        <is>
          <t>urban</t>
        </is>
      </c>
      <c r="BW9" t="n">
        <v>0</v>
      </c>
      <c r="BX9" t="n">
        <v>0</v>
      </c>
      <c r="BY9" t="n">
        <v>0</v>
      </c>
      <c r="BZ9" t="n">
        <v>0</v>
      </c>
      <c r="CA9" t="n">
        <v>0</v>
      </c>
      <c r="CB9" t="n">
        <v>0</v>
      </c>
      <c r="CC9" t="n">
        <v>0</v>
      </c>
      <c r="CD9" t="n">
        <v>0</v>
      </c>
      <c r="CE9" t="n">
        <v>69.5</v>
      </c>
      <c r="CG9" t="n">
        <v>28.1</v>
      </c>
      <c r="CH9" t="n">
        <v>34.6</v>
      </c>
      <c r="CI9" t="n">
        <v>3.2</v>
      </c>
    </row>
    <row r="10" ht="44.1" customHeight="1">
      <c r="A10" s="2" t="inlineStr">
        <is>
          <t>JOBSTART</t>
        </is>
      </c>
      <c r="B10" s="2" t="inlineStr">
        <is>
          <t>Atlanta Job Corps</t>
        </is>
      </c>
      <c r="C10" s="2" t="inlineStr">
        <is>
          <t>Atlanta Job Corps</t>
        </is>
      </c>
      <c r="D10" s="2" t="inlineStr">
        <is>
          <t>Job Corps Center providing concurrent basic education and occupational training, with support services including medical/dental. Job placement assistance.</t>
        </is>
      </c>
      <c r="E10" s="2" t="inlineStr">
        <is>
          <t>primary</t>
        </is>
      </c>
      <c r="F10" s="2" t="n">
        <v>1</v>
      </c>
      <c r="G10" s="2" t="n">
        <v>0</v>
      </c>
      <c r="H10" s="2" t="n">
        <v>1</v>
      </c>
      <c r="I10" s="2" t="n">
        <v>1</v>
      </c>
      <c r="J10" s="2" t="inlineStr">
        <is>
          <t>support services (child care, transportation), basic skills education, GED preparation</t>
        </is>
      </c>
      <c r="K10" s="2" t="inlineStr">
        <is>
          <t>voluntary</t>
        </is>
      </c>
      <c r="L10" s="2" t="inlineStr">
        <is>
          <t>mixed</t>
        </is>
      </c>
      <c r="M10" s="2" t="inlineStr">
        <is>
          <t>public</t>
        </is>
      </c>
      <c r="N10" s="2" t="inlineStr">
        <is>
          <t>August 1985 – November 1987</t>
        </is>
      </c>
      <c r="O10" t="n">
        <v>1986.75</v>
      </c>
      <c r="P10" s="2" t="inlineStr">
        <is>
          <t>Young school dropouts ages 17-21; reading below 8th grade level; economically disadvantaged (JTPA eligible)</t>
        </is>
      </c>
      <c r="Q10" s="2" t="n">
        <v>18.4</v>
      </c>
      <c r="R10" s="2" t="n">
        <v>40.6</v>
      </c>
      <c r="S10" s="2" t="n">
        <v>2.9</v>
      </c>
      <c r="T10" s="2" t="n">
        <v>97.09999999999999</v>
      </c>
      <c r="U10" s="2" t="n">
        <v>0</v>
      </c>
      <c r="V10" s="2" t="n">
        <v>100</v>
      </c>
      <c r="W10" s="2" t="n"/>
      <c r="X10" s="2" t="inlineStr">
        <is>
          <t>Voluntary applicants ages 17-21 who had dropped out of school, reading below 8th grade level, economically disadvantaged (JTPA eligible). Staff screened for appropriateness.</t>
        </is>
      </c>
      <c r="Y10" s="2" t="n"/>
      <c r="Z10" s="2" t="n">
        <v>33</v>
      </c>
      <c r="AA10" s="2" t="n">
        <v>36</v>
      </c>
      <c r="AB10" s="2" t="n"/>
      <c r="AC10" s="2" t="n"/>
      <c r="AD10" s="2" t="n"/>
      <c r="AE10" s="2" t="n">
        <v>0.83</v>
      </c>
      <c r="AF10" s="2" t="n">
        <v>0.85</v>
      </c>
      <c r="AG10" s="2" t="n">
        <v>0.84</v>
      </c>
      <c r="AH10" s="2" t="n">
        <v>0.83</v>
      </c>
      <c r="AI10" s="2" t="n">
        <v>0.85</v>
      </c>
      <c r="AJ10" s="2" t="n">
        <v>0.84</v>
      </c>
      <c r="AK10" s="2" t="inlineStr">
        <is>
          <t>self-report (survey)</t>
        </is>
      </c>
      <c r="AL10" s="2" t="n"/>
      <c r="AM10" s="2" t="n"/>
      <c r="AN10" s="2" t="n"/>
      <c r="AO10" s="2" t="n"/>
      <c r="AP10" s="2" t="n"/>
      <c r="AQ10" s="2" t="n"/>
      <c r="AR10" s="2" t="n"/>
      <c r="AS10" s="2" t="n"/>
      <c r="AT10" s="2" t="n"/>
      <c r="AU10" s="2" t="n"/>
      <c r="AV10" s="2" t="n">
        <v>1</v>
      </c>
      <c r="AW10" s="2" t="n"/>
      <c r="AX10" s="2" t="n"/>
      <c r="AY10" s="2" t="n"/>
      <c r="AZ10" s="2" t="n"/>
      <c r="BA10" s="2" t="n">
        <v>-3626</v>
      </c>
      <c r="BB10" s="2" t="n"/>
      <c r="BC10" s="2" t="n"/>
      <c r="BD10" s="2" t="n">
        <v>8257</v>
      </c>
      <c r="BE10" s="2" t="inlineStr">
        <is>
          <t>cumulative over months 1-24 (24 months), computed as months 1-48 minus months 25-48</t>
        </is>
      </c>
      <c r="BF10" s="2" t="n">
        <v>3.5</v>
      </c>
      <c r="BG10" s="2" t="n"/>
      <c r="BH10" s="2" t="n"/>
      <c r="BI10" s="2" t="n"/>
      <c r="BK10" t="n">
        <v>2251</v>
      </c>
      <c r="BN10" t="n">
        <v>8241</v>
      </c>
      <c r="BO10" t="inlineStr">
        <is>
          <t>cumulative over months 25-48 (24 months)</t>
        </is>
      </c>
      <c r="BP10" t="inlineStr">
        <is>
          <t>Cave et al. 1993, JOBSTART: Final Report on a Program for School Dropouts. Table 5.12 (p. 157), Table 7.3 (p. 191), Table 2.1 (pp. 37-40).</t>
        </is>
      </c>
      <c r="BQ10" t="inlineStr">
        <is>
          <t>Site: Atlanta, GA. Sample size is 48-month impact sample (69 total; 33 experimental, 36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0" t="n">
        <v>4863</v>
      </c>
      <c r="BT10" t="inlineStr">
        <is>
          <t>Cave et al. 1993, Table 7.9 (p.206). B-C analysis available for full sample only (societal NPV = -$4,286 in 1986$, 4-year). No site-level B-C decomposition.</t>
        </is>
      </c>
      <c r="BU10" t="inlineStr">
        <is>
          <t>GA</t>
        </is>
      </c>
      <c r="BV10" t="inlineStr">
        <is>
          <t>urban</t>
        </is>
      </c>
      <c r="BW10" t="n">
        <v>0</v>
      </c>
      <c r="BX10" t="n">
        <v>0</v>
      </c>
      <c r="BY10" t="n">
        <v>0</v>
      </c>
      <c r="BZ10" t="n">
        <v>0</v>
      </c>
      <c r="CA10" t="n">
        <v>0</v>
      </c>
      <c r="CB10" t="n">
        <v>0</v>
      </c>
      <c r="CC10" t="n">
        <v>0</v>
      </c>
      <c r="CD10" t="n">
        <v>0</v>
      </c>
      <c r="CE10" t="n">
        <v>84.8</v>
      </c>
      <c r="CF10" t="n">
        <v>0</v>
      </c>
      <c r="CI10" t="n">
        <v>6.8</v>
      </c>
    </row>
    <row r="11" ht="44.1" customHeight="1">
      <c r="A11" s="2" t="inlineStr">
        <is>
          <t>JOBSTART</t>
        </is>
      </c>
      <c r="B11" s="2" t="inlineStr">
        <is>
          <t>CET/San Jose</t>
        </is>
      </c>
      <c r="C11" s="2" t="inlineStr">
        <is>
          <t>CET</t>
        </is>
      </c>
      <c r="D11" s="2" t="inlineStr">
        <is>
          <t>Center for Employment Training (CET): concurrent training with some education. Integrated education and hands-on occupational training; strong employer linkages; open-entry/open-exit; training in occupations in demand in local labor market.</t>
        </is>
      </c>
      <c r="E11" s="2" t="inlineStr">
        <is>
          <t>primary</t>
        </is>
      </c>
      <c r="F11" s="2" t="n">
        <v>1</v>
      </c>
      <c r="G11" s="2" t="n">
        <v>0</v>
      </c>
      <c r="H11" s="2" t="n">
        <v>1</v>
      </c>
      <c r="I11" s="2" t="n">
        <v>1</v>
      </c>
      <c r="J11" s="2" t="inlineStr">
        <is>
          <t>support services (child care, transportation), basic skills education, GED preparation</t>
        </is>
      </c>
      <c r="K11" s="2" t="inlineStr">
        <is>
          <t>voluntary</t>
        </is>
      </c>
      <c r="L11" s="2" t="inlineStr">
        <is>
          <t>mixed</t>
        </is>
      </c>
      <c r="M11" s="2" t="inlineStr">
        <is>
          <t>private</t>
        </is>
      </c>
      <c r="N11" s="2" t="inlineStr">
        <is>
          <t>August 1985 – November 1987</t>
        </is>
      </c>
      <c r="O11" t="n">
        <v>1986.75</v>
      </c>
      <c r="P11" s="2" t="inlineStr">
        <is>
          <t>Young school dropouts ages 17-21; reading below 8th grade level; economically disadvantaged (JTPA eligible)</t>
        </is>
      </c>
      <c r="Q11" s="2" t="n">
        <v>18.4</v>
      </c>
      <c r="R11" s="2" t="n">
        <v>50.3</v>
      </c>
      <c r="S11" s="2" t="n">
        <v>15</v>
      </c>
      <c r="T11" s="2" t="n">
        <v>6</v>
      </c>
      <c r="U11" s="2" t="n">
        <v>70.09999999999999</v>
      </c>
      <c r="V11" s="2" t="n">
        <v>100</v>
      </c>
      <c r="W11" s="2" t="n"/>
      <c r="X11" s="2" t="inlineStr">
        <is>
          <t>Voluntary applicants ages 17-21 who had dropped out of school, reading below 8th grade level, economically disadvantaged (JTPA eligible). Staff screened for appropriateness.</t>
        </is>
      </c>
      <c r="Y11" s="2" t="n"/>
      <c r="Z11" s="2" t="n">
        <v>84</v>
      </c>
      <c r="AA11" s="2" t="n">
        <v>83</v>
      </c>
      <c r="AB11" s="2" t="n"/>
      <c r="AC11" s="2" t="n"/>
      <c r="AD11" s="2" t="n"/>
      <c r="AE11" s="2" t="n">
        <v>0.83</v>
      </c>
      <c r="AF11" s="2" t="n">
        <v>0.85</v>
      </c>
      <c r="AG11" s="2" t="n">
        <v>0.84</v>
      </c>
      <c r="AH11" s="2" t="n">
        <v>0.83</v>
      </c>
      <c r="AI11" s="2" t="n">
        <v>0.85</v>
      </c>
      <c r="AJ11" s="2" t="n">
        <v>0.84</v>
      </c>
      <c r="AK11" s="2" t="inlineStr">
        <is>
          <t>self-report (survey)</t>
        </is>
      </c>
      <c r="AL11" s="2" t="n"/>
      <c r="AM11" s="2" t="n"/>
      <c r="AN11" s="2" t="n"/>
      <c r="AO11" s="2" t="n"/>
      <c r="AP11" s="2" t="n"/>
      <c r="AQ11" s="2" t="n"/>
      <c r="AR11" s="2" t="n"/>
      <c r="AS11" s="2" t="n"/>
      <c r="AT11" s="2" t="n"/>
      <c r="AU11" s="2" t="n"/>
      <c r="AV11" s="2" t="n">
        <v>1</v>
      </c>
      <c r="AW11" s="2" t="n"/>
      <c r="AX11" s="2" t="n"/>
      <c r="AY11" s="2" t="n"/>
      <c r="AZ11" s="2" t="n"/>
      <c r="BA11" s="2" t="n">
        <v>628</v>
      </c>
      <c r="BB11" s="2" t="n"/>
      <c r="BC11" s="2" t="n"/>
      <c r="BD11" s="2" t="n">
        <v>11523</v>
      </c>
      <c r="BE11" s="2" t="inlineStr">
        <is>
          <t>cumulative over months 1-24 (24 months), computed as months 1-48 minus months 25-48</t>
        </is>
      </c>
      <c r="BF11" s="2" t="n">
        <v>3.5</v>
      </c>
      <c r="BG11" s="2" t="n"/>
      <c r="BH11" s="2" t="n"/>
      <c r="BI11" s="2" t="n"/>
      <c r="BK11" t="n">
        <v>6087</v>
      </c>
      <c r="BL11" t="n">
        <v>2362.7</v>
      </c>
      <c r="BM11" t="inlineStr">
        <is>
          <t>***</t>
        </is>
      </c>
      <c r="BN11" t="n">
        <v>14721</v>
      </c>
      <c r="BO11" t="inlineStr">
        <is>
          <t>cumulative over months 25-48 (24 months)</t>
        </is>
      </c>
      <c r="BP11" t="inlineStr">
        <is>
          <t>Cave et al. 1993, JOBSTART: Final Report on a Program for School Dropouts. Table 5.12 (p. 157), Table 7.3 (p. 191), Table 2.1 (pp. 37-40).</t>
        </is>
      </c>
      <c r="BQ11" t="inlineStr">
        <is>
          <t>Site: San Jose, CA. Sample size is 48-month impact sample (167 total; 84 experimental, 83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1" t="n">
        <v>2034</v>
      </c>
      <c r="BT11" t="inlineStr">
        <is>
          <t>Cave et al. 1993, Table 7.9 (p.206). B-C analysis available for full sample only (societal NPV = -$4,286 in 1986$, 4-year). No site-level B-C decomposition.</t>
        </is>
      </c>
      <c r="BU11" t="inlineStr">
        <is>
          <t>CA</t>
        </is>
      </c>
      <c r="BV11" t="inlineStr">
        <is>
          <t>urban</t>
        </is>
      </c>
      <c r="BW11" t="n">
        <v>0</v>
      </c>
      <c r="BX11" t="n">
        <v>1</v>
      </c>
      <c r="BY11" t="n">
        <v>1</v>
      </c>
      <c r="BZ11" t="n">
        <v>0</v>
      </c>
      <c r="CA11" t="n">
        <v>1</v>
      </c>
      <c r="CB11" t="n">
        <v>1</v>
      </c>
      <c r="CC11" t="n">
        <v>1</v>
      </c>
      <c r="CD11" t="n">
        <v>0</v>
      </c>
      <c r="CE11" t="n">
        <v>64.3</v>
      </c>
      <c r="CF11" t="n">
        <v>0</v>
      </c>
      <c r="CI11" t="n">
        <v>6.8</v>
      </c>
    </row>
    <row r="12" ht="44.1" customHeight="1">
      <c r="A12" s="2" t="inlineStr">
        <is>
          <t>JOBSTART</t>
        </is>
      </c>
      <c r="B12" s="2" t="inlineStr">
        <is>
          <t>Chicago Commons</t>
        </is>
      </c>
      <c r="C12" s="2" t="inlineStr">
        <is>
          <t>Chicago Commons</t>
        </is>
      </c>
      <c r="D12" s="2" t="inlineStr">
        <is>
          <t>Community-based concurrent training program. Classroom training concentrated in a small number of occupations.</t>
        </is>
      </c>
      <c r="E12" s="2" t="inlineStr">
        <is>
          <t>primary</t>
        </is>
      </c>
      <c r="F12" s="2" t="n">
        <v>1</v>
      </c>
      <c r="G12" s="2" t="n">
        <v>0</v>
      </c>
      <c r="H12" s="2" t="n">
        <v>1</v>
      </c>
      <c r="I12" s="2" t="n">
        <v>1</v>
      </c>
      <c r="J12" s="2" t="inlineStr">
        <is>
          <t>support services (child care, transportation), basic skills education, GED preparation</t>
        </is>
      </c>
      <c r="K12" s="2" t="inlineStr">
        <is>
          <t>voluntary</t>
        </is>
      </c>
      <c r="L12" s="2" t="inlineStr">
        <is>
          <t>mixed</t>
        </is>
      </c>
      <c r="M12" s="2" t="inlineStr">
        <is>
          <t>private</t>
        </is>
      </c>
      <c r="N12" s="2" t="inlineStr">
        <is>
          <t>August 1985 – November 1987</t>
        </is>
      </c>
      <c r="O12" t="n">
        <v>1986.75</v>
      </c>
      <c r="P12" s="2" t="inlineStr">
        <is>
          <t>Young school dropouts ages 17-21; reading below 8th grade level; economically disadvantaged (JTPA eligible)</t>
        </is>
      </c>
      <c r="Q12" s="2" t="n">
        <v>19.3</v>
      </c>
      <c r="R12" s="2" t="n">
        <v>58.7</v>
      </c>
      <c r="S12" s="2" t="n">
        <v>6.7</v>
      </c>
      <c r="T12" s="2" t="n">
        <v>74.7</v>
      </c>
      <c r="U12" s="2" t="n">
        <v>18.7</v>
      </c>
      <c r="V12" s="2" t="n">
        <v>100</v>
      </c>
      <c r="W12" s="2" t="n"/>
      <c r="X12" s="2" t="inlineStr">
        <is>
          <t>Voluntary applicants ages 17-21 who had dropped out of school, reading below 8th grade level, economically disadvantaged (JTPA eligible). Staff screened for appropriateness.</t>
        </is>
      </c>
      <c r="Y12" s="2" t="n"/>
      <c r="Z12" s="2" t="n">
        <v>40</v>
      </c>
      <c r="AA12" s="2" t="n">
        <v>35</v>
      </c>
      <c r="AB12" s="2" t="n"/>
      <c r="AC12" s="2" t="n"/>
      <c r="AD12" s="2" t="n"/>
      <c r="AE12" s="2" t="n">
        <v>0.83</v>
      </c>
      <c r="AF12" s="2" t="n">
        <v>0.85</v>
      </c>
      <c r="AG12" s="2" t="n">
        <v>0.84</v>
      </c>
      <c r="AH12" s="2" t="n">
        <v>0.83</v>
      </c>
      <c r="AI12" s="2" t="n">
        <v>0.85</v>
      </c>
      <c r="AJ12" s="2" t="n">
        <v>0.84</v>
      </c>
      <c r="AK12" s="2" t="inlineStr">
        <is>
          <t>self-report (survey)</t>
        </is>
      </c>
      <c r="AL12" s="2" t="n"/>
      <c r="AM12" s="2" t="n"/>
      <c r="AN12" s="2" t="n"/>
      <c r="AO12" s="2" t="n"/>
      <c r="AP12" s="2" t="n"/>
      <c r="AQ12" s="2" t="n"/>
      <c r="AR12" s="2" t="n"/>
      <c r="AS12" s="2" t="n"/>
      <c r="AT12" s="2" t="n"/>
      <c r="AU12" s="2" t="n"/>
      <c r="AV12" s="2" t="n">
        <v>1</v>
      </c>
      <c r="AW12" s="2" t="n"/>
      <c r="AX12" s="2" t="n"/>
      <c r="AY12" s="2" t="n"/>
      <c r="AZ12" s="2" t="n"/>
      <c r="BA12" s="2" t="n">
        <v>630</v>
      </c>
      <c r="BB12" s="2" t="n"/>
      <c r="BC12" s="2" t="n"/>
      <c r="BD12" s="2" t="n">
        <v>6701</v>
      </c>
      <c r="BE12" s="2" t="inlineStr">
        <is>
          <t>cumulative over months 1-24 (24 months), computed as months 1-48 minus months 25-48</t>
        </is>
      </c>
      <c r="BF12" s="2" t="n">
        <v>3.5</v>
      </c>
      <c r="BG12" s="2" t="n"/>
      <c r="BH12" s="2" t="n"/>
      <c r="BI12" s="2" t="n"/>
      <c r="BK12" t="n">
        <v>-3456</v>
      </c>
      <c r="BN12" t="n">
        <v>12471</v>
      </c>
      <c r="BO12" t="inlineStr">
        <is>
          <t>cumulative over months 25-48 (24 months)</t>
        </is>
      </c>
      <c r="BP12" t="inlineStr">
        <is>
          <t>Cave et al. 1993, JOBSTART: Final Report on a Program for School Dropouts. Table 5.12 (p. 157), Table 7.3 (p. 191), Table 2.1 (pp. 37-40).</t>
        </is>
      </c>
      <c r="BQ12" t="inlineStr">
        <is>
          <t>Site: Chicago, IL. Sample size is 48-month impact sample (75 total; 40 experimental, 35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2" t="n">
        <v>6477</v>
      </c>
      <c r="BT12" t="inlineStr">
        <is>
          <t>Cave et al. 1993, Table 7.9 (p.206). B-C analysis available for full sample only (societal NPV = -$4,286 in 1986$, 4-year). No site-level B-C decomposition.</t>
        </is>
      </c>
      <c r="BU12" t="inlineStr">
        <is>
          <t>IL</t>
        </is>
      </c>
      <c r="BV12" t="inlineStr">
        <is>
          <t>urban</t>
        </is>
      </c>
      <c r="BW12" t="n">
        <v>0</v>
      </c>
      <c r="BX12" t="n">
        <v>0</v>
      </c>
      <c r="BY12" t="n">
        <v>1</v>
      </c>
      <c r="BZ12" t="n">
        <v>0</v>
      </c>
      <c r="CA12" t="n">
        <v>1</v>
      </c>
      <c r="CB12" t="n">
        <v>1</v>
      </c>
      <c r="CC12" t="n">
        <v>0</v>
      </c>
      <c r="CD12" t="n">
        <v>0</v>
      </c>
      <c r="CE12" t="n">
        <v>92.5</v>
      </c>
      <c r="CF12" t="n">
        <v>0</v>
      </c>
      <c r="CI12" t="n">
        <v>6.8</v>
      </c>
    </row>
    <row r="13" ht="44.1" customHeight="1">
      <c r="A13" s="2" t="inlineStr">
        <is>
          <t>JOBSTART</t>
        </is>
      </c>
      <c r="B13" s="2" t="inlineStr">
        <is>
          <t>Connelley Skill Learning Center</t>
        </is>
      </c>
      <c r="C13" s="2" t="inlineStr">
        <is>
          <t>Connelley Skill Learning Center</t>
        </is>
      </c>
      <c r="D13" s="2" t="inlineStr">
        <is>
          <t>Adult vocational school providing concurrent education and training. Fixed-cycle program.</t>
        </is>
      </c>
      <c r="E13" s="2" t="inlineStr">
        <is>
          <t>primary</t>
        </is>
      </c>
      <c r="F13" s="2" t="n">
        <v>1</v>
      </c>
      <c r="G13" s="2" t="n">
        <v>0</v>
      </c>
      <c r="H13" s="2" t="n">
        <v>1</v>
      </c>
      <c r="I13" s="2" t="n">
        <v>1</v>
      </c>
      <c r="J13" s="2" t="inlineStr">
        <is>
          <t>support services (child care, transportation), basic skills education, GED preparation</t>
        </is>
      </c>
      <c r="K13" s="2" t="inlineStr">
        <is>
          <t>voluntary</t>
        </is>
      </c>
      <c r="L13" s="2" t="inlineStr">
        <is>
          <t>mixed</t>
        </is>
      </c>
      <c r="M13" s="2" t="inlineStr">
        <is>
          <t>public</t>
        </is>
      </c>
      <c r="N13" s="2" t="inlineStr">
        <is>
          <t>August 1985 – November 1987</t>
        </is>
      </c>
      <c r="O13" t="n">
        <v>1986.75</v>
      </c>
      <c r="P13" s="2" t="inlineStr">
        <is>
          <t>Young school dropouts ages 17-21; reading below 8th grade level; economically disadvantaged (JTPA eligible)</t>
        </is>
      </c>
      <c r="Q13" s="2" t="n">
        <v>19</v>
      </c>
      <c r="R13" s="2" t="n">
        <v>45.7</v>
      </c>
      <c r="S13" s="2" t="n">
        <v>8.699999999999999</v>
      </c>
      <c r="T13" s="2" t="n">
        <v>91.3</v>
      </c>
      <c r="U13" s="2" t="n">
        <v>0</v>
      </c>
      <c r="V13" s="2" t="n">
        <v>100</v>
      </c>
      <c r="W13" s="2" t="n"/>
      <c r="X13" s="2" t="inlineStr">
        <is>
          <t>Voluntary applicants ages 17-21 who had dropped out of school, reading below 8th grade level, economically disadvantaged (JTPA eligible). Staff screened for appropriateness.</t>
        </is>
      </c>
      <c r="Y13" s="2" t="n"/>
      <c r="Z13" s="2" t="n">
        <v>91</v>
      </c>
      <c r="AA13" s="2" t="n">
        <v>93</v>
      </c>
      <c r="AB13" s="2" t="n"/>
      <c r="AC13" s="2" t="n"/>
      <c r="AD13" s="2" t="n"/>
      <c r="AE13" s="2" t="n">
        <v>0.83</v>
      </c>
      <c r="AF13" s="2" t="n">
        <v>0.85</v>
      </c>
      <c r="AG13" s="2" t="n">
        <v>0.84</v>
      </c>
      <c r="AH13" s="2" t="n">
        <v>0.83</v>
      </c>
      <c r="AI13" s="2" t="n">
        <v>0.85</v>
      </c>
      <c r="AJ13" s="2" t="n">
        <v>0.84</v>
      </c>
      <c r="AK13" s="2" t="inlineStr">
        <is>
          <t>self-report (survey)</t>
        </is>
      </c>
      <c r="AL13" s="2" t="n"/>
      <c r="AM13" s="2" t="n"/>
      <c r="AN13" s="2" t="n"/>
      <c r="AO13" s="2" t="n"/>
      <c r="AP13" s="2" t="n"/>
      <c r="AQ13" s="2" t="n"/>
      <c r="AR13" s="2" t="n"/>
      <c r="AS13" s="2" t="n"/>
      <c r="AT13" s="2" t="n"/>
      <c r="AU13" s="2" t="n"/>
      <c r="AV13" s="2" t="n">
        <v>1</v>
      </c>
      <c r="AW13" s="2" t="n"/>
      <c r="AX13" s="2" t="n"/>
      <c r="AY13" s="2" t="n"/>
      <c r="AZ13" s="2" t="n"/>
      <c r="BA13" s="2" t="n">
        <v>-118</v>
      </c>
      <c r="BB13" s="2" t="n"/>
      <c r="BC13" s="2" t="n"/>
      <c r="BD13" s="2" t="n">
        <v>2977</v>
      </c>
      <c r="BE13" s="2" t="inlineStr">
        <is>
          <t>cumulative over months 1-24 (24 months), computed as months 1-48 minus months 25-48</t>
        </is>
      </c>
      <c r="BF13" s="2" t="n">
        <v>3.5</v>
      </c>
      <c r="BG13" s="2" t="n"/>
      <c r="BH13" s="2" t="n"/>
      <c r="BI13" s="2" t="n"/>
      <c r="BK13" t="n">
        <v>1040</v>
      </c>
      <c r="BN13" t="n">
        <v>5148</v>
      </c>
      <c r="BO13" t="inlineStr">
        <is>
          <t>cumulative over months 25-48 (24 months)</t>
        </is>
      </c>
      <c r="BP13" t="inlineStr">
        <is>
          <t>Cave et al. 1993, JOBSTART: Final Report on a Program for School Dropouts. Table 5.12 (p. 157), Table 7.3 (p. 191), Table 2.1 (pp. 37-40).</t>
        </is>
      </c>
      <c r="BQ13" t="inlineStr">
        <is>
          <t>Site: Pittsburgh, PA. Sample size is 48-month impact sample (184 total; 91 experimental, 93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3" t="n">
        <v>5185</v>
      </c>
      <c r="BT13" t="inlineStr">
        <is>
          <t>Cave et al. 1993, Table 7.9 (p.206). B-C analysis available for full sample only (societal NPV = -$4,286 in 1986$, 4-year). No site-level B-C decomposition.</t>
        </is>
      </c>
      <c r="BU13" t="inlineStr">
        <is>
          <t>PA</t>
        </is>
      </c>
      <c r="BV13" t="inlineStr">
        <is>
          <t>urban</t>
        </is>
      </c>
      <c r="BW13" t="n">
        <v>0</v>
      </c>
      <c r="BX13" t="n">
        <v>0</v>
      </c>
      <c r="BY13" t="n">
        <v>0</v>
      </c>
      <c r="BZ13" t="n">
        <v>0</v>
      </c>
      <c r="CA13" t="n">
        <v>0</v>
      </c>
      <c r="CB13" t="n">
        <v>0</v>
      </c>
      <c r="CC13" t="n">
        <v>0</v>
      </c>
      <c r="CD13" t="n">
        <v>0</v>
      </c>
      <c r="CE13" t="n">
        <v>98.90000000000001</v>
      </c>
      <c r="CF13" t="n">
        <v>0</v>
      </c>
      <c r="CI13" t="n">
        <v>6.8</v>
      </c>
    </row>
    <row r="14" ht="44.1" customHeight="1">
      <c r="A14" s="2" t="inlineStr">
        <is>
          <t>JOBSTART</t>
        </is>
      </c>
      <c r="B14" s="2" t="inlineStr">
        <is>
          <t>East LA Skills Center</t>
        </is>
      </c>
      <c r="C14" s="2" t="inlineStr">
        <is>
          <t>East LA Skills Center</t>
        </is>
      </c>
      <c r="D14" s="2" t="inlineStr">
        <is>
          <t>Adult vocational school providing concurrent education and training.</t>
        </is>
      </c>
      <c r="E14" s="2" t="inlineStr">
        <is>
          <t>primary</t>
        </is>
      </c>
      <c r="F14" s="2" t="n">
        <v>1</v>
      </c>
      <c r="G14" s="2" t="n">
        <v>0</v>
      </c>
      <c r="H14" s="2" t="n">
        <v>1</v>
      </c>
      <c r="I14" s="2" t="n">
        <v>1</v>
      </c>
      <c r="J14" s="2" t="inlineStr">
        <is>
          <t>support services (child care, transportation), basic skills education, GED preparation</t>
        </is>
      </c>
      <c r="K14" s="2" t="inlineStr">
        <is>
          <t>voluntary</t>
        </is>
      </c>
      <c r="L14" s="2" t="inlineStr">
        <is>
          <t>mixed</t>
        </is>
      </c>
      <c r="M14" s="2" t="inlineStr">
        <is>
          <t>public</t>
        </is>
      </c>
      <c r="N14" s="2" t="inlineStr">
        <is>
          <t>August 1985 – November 1987</t>
        </is>
      </c>
      <c r="O14" t="n">
        <v>1986.75</v>
      </c>
      <c r="P14" s="2" t="inlineStr">
        <is>
          <t>Young school dropouts ages 17-21; reading below 8th grade level; economically disadvantaged (JTPA eligible)</t>
        </is>
      </c>
      <c r="Q14" s="2" t="n">
        <v>18.3</v>
      </c>
      <c r="R14" s="2" t="n">
        <v>57.5</v>
      </c>
      <c r="S14" s="2" t="n">
        <v>0.9</v>
      </c>
      <c r="T14" s="2" t="n">
        <v>0</v>
      </c>
      <c r="U14" s="2" t="n">
        <v>95.3</v>
      </c>
      <c r="V14" s="2" t="n">
        <v>100</v>
      </c>
      <c r="W14" s="2" t="n"/>
      <c r="X14" s="2" t="inlineStr">
        <is>
          <t>Voluntary applicants ages 17-21 who had dropped out of school, reading below 8th grade level, economically disadvantaged (JTPA eligible). Staff screened for appropriateness.</t>
        </is>
      </c>
      <c r="Y14" s="2" t="n"/>
      <c r="Z14" s="2" t="n">
        <v>50</v>
      </c>
      <c r="AA14" s="2" t="n">
        <v>56</v>
      </c>
      <c r="AB14" s="2" t="n"/>
      <c r="AC14" s="2" t="n"/>
      <c r="AD14" s="2" t="n"/>
      <c r="AE14" s="2" t="n">
        <v>0.83</v>
      </c>
      <c r="AF14" s="2" t="n">
        <v>0.85</v>
      </c>
      <c r="AG14" s="2" t="n">
        <v>0.84</v>
      </c>
      <c r="AH14" s="2" t="n">
        <v>0.83</v>
      </c>
      <c r="AI14" s="2" t="n">
        <v>0.85</v>
      </c>
      <c r="AJ14" s="2" t="n">
        <v>0.84</v>
      </c>
      <c r="AK14" s="2" t="inlineStr">
        <is>
          <t>self-report (survey)</t>
        </is>
      </c>
      <c r="AL14" s="2" t="n"/>
      <c r="AM14" s="2" t="n"/>
      <c r="AN14" s="2" t="n"/>
      <c r="AO14" s="2" t="n"/>
      <c r="AP14" s="2" t="n"/>
      <c r="AQ14" s="2" t="n"/>
      <c r="AR14" s="2" t="n"/>
      <c r="AS14" s="2" t="n"/>
      <c r="AT14" s="2" t="n"/>
      <c r="AU14" s="2" t="n"/>
      <c r="AV14" s="2" t="n">
        <v>1</v>
      </c>
      <c r="AW14" s="2" t="n"/>
      <c r="AX14" s="2" t="n"/>
      <c r="AY14" s="2" t="n"/>
      <c r="AZ14" s="2" t="n"/>
      <c r="BA14" s="2" t="n">
        <v>-1196</v>
      </c>
      <c r="BB14" s="2" t="n"/>
      <c r="BC14" s="2" t="n"/>
      <c r="BD14" s="2" t="n">
        <v>9044</v>
      </c>
      <c r="BE14" s="2" t="inlineStr">
        <is>
          <t>cumulative over months 1-24 (24 months), computed as months 1-48 minus months 25-48</t>
        </is>
      </c>
      <c r="BF14" s="2" t="n">
        <v>3.5</v>
      </c>
      <c r="BG14" s="2" t="n"/>
      <c r="BH14" s="2" t="n"/>
      <c r="BI14" s="2" t="n"/>
      <c r="BK14" t="n">
        <v>1315</v>
      </c>
      <c r="BN14" t="n">
        <v>14542</v>
      </c>
      <c r="BO14" t="inlineStr">
        <is>
          <t>cumulative over months 25-48 (24 months)</t>
        </is>
      </c>
      <c r="BP14" t="inlineStr">
        <is>
          <t>Cave et al. 1993, JOBSTART: Final Report on a Program for School Dropouts. Table 5.12 (p. 157), Table 7.3 (p. 191), Table 2.1 (pp. 37-40).</t>
        </is>
      </c>
      <c r="BQ14" t="inlineStr">
        <is>
          <t>Site: Monterey Park (East LA), CA. Sample size is 48-month impact sample (106 total; 50 experimental, 56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4" t="n">
        <v>4887</v>
      </c>
      <c r="BT14" t="inlineStr">
        <is>
          <t>Cave et al. 1993, Table 7.9 (p.206). B-C analysis available for full sample only (societal NPV = -$4,286 in 1986$, 4-year). No site-level B-C decomposition.</t>
        </is>
      </c>
      <c r="BU14" t="inlineStr">
        <is>
          <t>CA</t>
        </is>
      </c>
      <c r="BV14" t="inlineStr">
        <is>
          <t>urban</t>
        </is>
      </c>
      <c r="BW14" t="n">
        <v>0</v>
      </c>
      <c r="BX14" t="n">
        <v>0</v>
      </c>
      <c r="BY14" t="n">
        <v>0</v>
      </c>
      <c r="BZ14" t="n">
        <v>0</v>
      </c>
      <c r="CA14" t="n">
        <v>0</v>
      </c>
      <c r="CB14" t="n">
        <v>0</v>
      </c>
      <c r="CC14" t="n">
        <v>0</v>
      </c>
      <c r="CD14" t="n">
        <v>0</v>
      </c>
      <c r="CE14" t="n">
        <v>88</v>
      </c>
      <c r="CF14" t="n">
        <v>0</v>
      </c>
      <c r="CI14" t="n">
        <v>6.8</v>
      </c>
    </row>
    <row r="15" ht="44.1" customHeight="1">
      <c r="A15" s="2" t="inlineStr">
        <is>
          <t>JOBSTART</t>
        </is>
      </c>
      <c r="B15" s="2" t="inlineStr">
        <is>
          <t>EGOS (Denver)</t>
        </is>
      </c>
      <c r="C15" s="2" t="inlineStr">
        <is>
          <t>EGOS (Denver)</t>
        </is>
      </c>
      <c r="D15" s="2" t="inlineStr">
        <is>
          <t>Emily Griffith Opportunity School: adult vocational school providing concurrent education and training. Semester-schedule with open entry.</t>
        </is>
      </c>
      <c r="E15" s="2" t="inlineStr">
        <is>
          <t>primary</t>
        </is>
      </c>
      <c r="F15" s="2" t="n">
        <v>1</v>
      </c>
      <c r="G15" s="2" t="n">
        <v>0</v>
      </c>
      <c r="H15" s="2" t="n">
        <v>1</v>
      </c>
      <c r="I15" s="2" t="n">
        <v>1</v>
      </c>
      <c r="J15" s="2" t="inlineStr">
        <is>
          <t>support services (child care, transportation), basic skills education, GED preparation</t>
        </is>
      </c>
      <c r="K15" s="2" t="inlineStr">
        <is>
          <t>voluntary</t>
        </is>
      </c>
      <c r="L15" s="2" t="inlineStr">
        <is>
          <t>mixed</t>
        </is>
      </c>
      <c r="M15" s="2" t="inlineStr">
        <is>
          <t>public</t>
        </is>
      </c>
      <c r="N15" s="2" t="inlineStr">
        <is>
          <t>August 1985 – November 1987</t>
        </is>
      </c>
      <c r="O15" t="n">
        <v>1986.75</v>
      </c>
      <c r="P15" s="2" t="inlineStr">
        <is>
          <t>Young school dropouts ages 17-21; reading below 8th grade level; economically disadvantaged (JTPA eligible)</t>
        </is>
      </c>
      <c r="Q15" s="2" t="n">
        <v>18.4</v>
      </c>
      <c r="R15" s="2" t="n">
        <v>33.3</v>
      </c>
      <c r="S15" s="2" t="n">
        <v>11.1</v>
      </c>
      <c r="T15" s="2" t="n">
        <v>28.3</v>
      </c>
      <c r="U15" s="2" t="n">
        <v>58.1</v>
      </c>
      <c r="V15" s="2" t="n">
        <v>100</v>
      </c>
      <c r="W15" s="2" t="n"/>
      <c r="X15" s="2" t="inlineStr">
        <is>
          <t>Voluntary applicants ages 17-21 who had dropped out of school, reading below 8th grade level, economically disadvantaged (JTPA eligible). Staff screened for appropriateness.</t>
        </is>
      </c>
      <c r="Y15" s="2" t="n"/>
      <c r="Z15" s="2" t="n">
        <v>103</v>
      </c>
      <c r="AA15" s="2" t="n">
        <v>95</v>
      </c>
      <c r="AB15" s="2" t="n"/>
      <c r="AC15" s="2" t="n"/>
      <c r="AD15" s="2" t="n"/>
      <c r="AE15" s="2" t="n">
        <v>0.83</v>
      </c>
      <c r="AF15" s="2" t="n">
        <v>0.85</v>
      </c>
      <c r="AG15" s="2" t="n">
        <v>0.84</v>
      </c>
      <c r="AH15" s="2" t="n">
        <v>0.83</v>
      </c>
      <c r="AI15" s="2" t="n">
        <v>0.85</v>
      </c>
      <c r="AJ15" s="2" t="n">
        <v>0.84</v>
      </c>
      <c r="AK15" s="2" t="inlineStr">
        <is>
          <t>self-report (survey)</t>
        </is>
      </c>
      <c r="AL15" s="2" t="n"/>
      <c r="AM15" s="2" t="n"/>
      <c r="AN15" s="2" t="n"/>
      <c r="AO15" s="2" t="n"/>
      <c r="AP15" s="2" t="n"/>
      <c r="AQ15" s="2" t="n"/>
      <c r="AR15" s="2" t="n"/>
      <c r="AS15" s="2" t="n"/>
      <c r="AT15" s="2" t="n"/>
      <c r="AU15" s="2" t="n"/>
      <c r="AV15" s="2" t="n">
        <v>1</v>
      </c>
      <c r="AW15" s="2" t="n"/>
      <c r="AX15" s="2" t="n"/>
      <c r="AY15" s="2" t="n"/>
      <c r="AZ15" s="2" t="n"/>
      <c r="BA15" s="2" t="n">
        <v>-1421</v>
      </c>
      <c r="BB15" s="2" t="n"/>
      <c r="BC15" s="2" t="n"/>
      <c r="BD15" s="2" t="n">
        <v>6387</v>
      </c>
      <c r="BE15" s="2" t="inlineStr">
        <is>
          <t>cumulative over months 1-24 (24 months), computed as months 1-48 minus months 25-48</t>
        </is>
      </c>
      <c r="BF15" s="2" t="n">
        <v>3.5</v>
      </c>
      <c r="BG15" s="2" t="n"/>
      <c r="BH15" s="2" t="n"/>
      <c r="BI15" s="2" t="n"/>
      <c r="BK15" t="n">
        <v>-1026</v>
      </c>
      <c r="BN15" t="n">
        <v>11441</v>
      </c>
      <c r="BO15" t="inlineStr">
        <is>
          <t>cumulative over months 25-48 (24 months)</t>
        </is>
      </c>
      <c r="BP15" t="inlineStr">
        <is>
          <t>Cave et al. 1993, JOBSTART: Final Report on a Program for School Dropouts. Table 5.12 (p. 157), Table 7.3 (p. 191), Table 2.1 (pp. 37-40).</t>
        </is>
      </c>
      <c r="BQ15" t="inlineStr">
        <is>
          <t>Site: Denver, CO. Sample size is 48-month impact sample (198 total; 103 experimental, 95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5" t="n">
        <v>2100</v>
      </c>
      <c r="BT15" t="inlineStr">
        <is>
          <t>Cave et al. 1993, Table 7.9 (p.206). B-C analysis available for full sample only (societal NPV = -$4,286 in 1986$, 4-year). No site-level B-C decomposition.</t>
        </is>
      </c>
      <c r="BU15" t="inlineStr">
        <is>
          <t>CO</t>
        </is>
      </c>
      <c r="BV15" t="inlineStr">
        <is>
          <t>urban</t>
        </is>
      </c>
      <c r="BW15" t="n">
        <v>0</v>
      </c>
      <c r="BX15" t="n">
        <v>0</v>
      </c>
      <c r="BY15" t="n">
        <v>0</v>
      </c>
      <c r="BZ15" t="n">
        <v>0</v>
      </c>
      <c r="CA15" t="n">
        <v>0</v>
      </c>
      <c r="CB15" t="n">
        <v>0</v>
      </c>
      <c r="CC15" t="n">
        <v>0</v>
      </c>
      <c r="CD15" t="n">
        <v>0</v>
      </c>
      <c r="CE15" t="n">
        <v>94.2</v>
      </c>
      <c r="CF15" t="n">
        <v>0</v>
      </c>
      <c r="CI15" t="n">
        <v>6.8</v>
      </c>
    </row>
    <row r="16" ht="44.1" customHeight="1">
      <c r="A16" s="2" t="inlineStr">
        <is>
          <t>JOBSTART</t>
        </is>
      </c>
      <c r="B16" s="2" t="inlineStr">
        <is>
          <t>Phoenix Job Corps</t>
        </is>
      </c>
      <c r="C16" s="2" t="inlineStr">
        <is>
          <t>Phoenix Job Corps</t>
        </is>
      </c>
      <c r="D16" s="2" t="inlineStr">
        <is>
          <t>Job Corps Center providing concurrent education and training with medical/dental services.</t>
        </is>
      </c>
      <c r="E16" s="2" t="inlineStr">
        <is>
          <t>primary</t>
        </is>
      </c>
      <c r="F16" s="2" t="n">
        <v>1</v>
      </c>
      <c r="G16" s="2" t="n">
        <v>0</v>
      </c>
      <c r="H16" s="2" t="n">
        <v>1</v>
      </c>
      <c r="I16" s="2" t="n">
        <v>1</v>
      </c>
      <c r="J16" s="2" t="inlineStr">
        <is>
          <t>support services (child care, transportation), basic skills education, GED preparation</t>
        </is>
      </c>
      <c r="K16" s="2" t="inlineStr">
        <is>
          <t>voluntary</t>
        </is>
      </c>
      <c r="L16" s="2" t="inlineStr">
        <is>
          <t>mixed</t>
        </is>
      </c>
      <c r="M16" s="2" t="inlineStr">
        <is>
          <t>public</t>
        </is>
      </c>
      <c r="N16" s="2" t="inlineStr">
        <is>
          <t>August 1985 – November 1987</t>
        </is>
      </c>
      <c r="O16" t="n">
        <v>1986.75</v>
      </c>
      <c r="P16" s="2" t="inlineStr">
        <is>
          <t>Young school dropouts ages 17-21; reading below 8th grade level; economically disadvantaged (JTPA eligible)</t>
        </is>
      </c>
      <c r="Q16" s="2" t="n">
        <v>18.1</v>
      </c>
      <c r="R16" s="2" t="n">
        <v>44.8</v>
      </c>
      <c r="S16" s="2" t="n">
        <v>23.9</v>
      </c>
      <c r="T16" s="2" t="n">
        <v>17.2</v>
      </c>
      <c r="U16" s="2" t="n">
        <v>53.7</v>
      </c>
      <c r="V16" s="2" t="n">
        <v>100</v>
      </c>
      <c r="W16" s="2" t="n"/>
      <c r="X16" s="2" t="inlineStr">
        <is>
          <t>Voluntary applicants ages 17-21 who had dropped out of school, reading below 8th grade level, economically disadvantaged (JTPA eligible). Staff screened for appropriateness.</t>
        </is>
      </c>
      <c r="Y16" s="2" t="n"/>
      <c r="Z16" s="2" t="n">
        <v>70</v>
      </c>
      <c r="AA16" s="2" t="n">
        <v>64</v>
      </c>
      <c r="AB16" s="2" t="n"/>
      <c r="AC16" s="2" t="n"/>
      <c r="AD16" s="2" t="n"/>
      <c r="AE16" s="2" t="n">
        <v>0.83</v>
      </c>
      <c r="AF16" s="2" t="n">
        <v>0.85</v>
      </c>
      <c r="AG16" s="2" t="n">
        <v>0.84</v>
      </c>
      <c r="AH16" s="2" t="n">
        <v>0.83</v>
      </c>
      <c r="AI16" s="2" t="n">
        <v>0.85</v>
      </c>
      <c r="AJ16" s="2" t="n">
        <v>0.84</v>
      </c>
      <c r="AK16" s="2" t="inlineStr">
        <is>
          <t>self-report (survey)</t>
        </is>
      </c>
      <c r="AL16" s="2" t="n"/>
      <c r="AM16" s="2" t="n"/>
      <c r="AN16" s="2" t="n"/>
      <c r="AO16" s="2" t="n"/>
      <c r="AP16" s="2" t="n"/>
      <c r="AQ16" s="2" t="n"/>
      <c r="AR16" s="2" t="n"/>
      <c r="AS16" s="2" t="n"/>
      <c r="AT16" s="2" t="n"/>
      <c r="AU16" s="2" t="n"/>
      <c r="AV16" s="2" t="n">
        <v>1</v>
      </c>
      <c r="AW16" s="2" t="n"/>
      <c r="AX16" s="2" t="n"/>
      <c r="AY16" s="2" t="n"/>
      <c r="AZ16" s="2" t="n"/>
      <c r="BA16" s="2" t="n">
        <v>-3486</v>
      </c>
      <c r="BB16" s="2" t="n"/>
      <c r="BC16" s="2" t="n"/>
      <c r="BD16" s="2" t="n">
        <v>8044</v>
      </c>
      <c r="BE16" s="2" t="inlineStr">
        <is>
          <t>cumulative over months 1-24 (24 months), computed as months 1-48 minus months 25-48</t>
        </is>
      </c>
      <c r="BF16" s="2" t="n">
        <v>3.5</v>
      </c>
      <c r="BG16" s="2" t="n"/>
      <c r="BH16" s="2" t="n"/>
      <c r="BI16" s="2" t="n"/>
      <c r="BK16" t="n">
        <v>-2850</v>
      </c>
      <c r="BN16" t="n">
        <v>9685</v>
      </c>
      <c r="BO16" t="inlineStr">
        <is>
          <t>cumulative over months 25-48 (24 months)</t>
        </is>
      </c>
      <c r="BP16" t="inlineStr">
        <is>
          <t>Cave et al. 1993, JOBSTART: Final Report on a Program for School Dropouts. Table 5.12 (p. 157), Table 7.3 (p. 191), Table 2.1 (pp. 37-40).</t>
        </is>
      </c>
      <c r="BQ16" t="inlineStr">
        <is>
          <t>Site: Phoenix, AZ. Sample size is 48-month impact sample (134 total; 70 experimental, 64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6" t="n">
        <v>5313</v>
      </c>
      <c r="BT16" t="inlineStr">
        <is>
          <t>Cave et al. 1993, Table 7.9 (p.206). B-C analysis available for full sample only (societal NPV = -$4,286 in 1986$, 4-year). No site-level B-C decomposition.</t>
        </is>
      </c>
      <c r="BU16" t="inlineStr">
        <is>
          <t>AZ</t>
        </is>
      </c>
      <c r="BV16" t="inlineStr">
        <is>
          <t>urban</t>
        </is>
      </c>
      <c r="BW16" t="n">
        <v>0</v>
      </c>
      <c r="BX16" t="n">
        <v>0</v>
      </c>
      <c r="BY16" t="n">
        <v>0</v>
      </c>
      <c r="BZ16" t="n">
        <v>0</v>
      </c>
      <c r="CA16" t="n">
        <v>1</v>
      </c>
      <c r="CB16" t="n">
        <v>0</v>
      </c>
      <c r="CC16" t="n">
        <v>0</v>
      </c>
      <c r="CD16" t="n">
        <v>0</v>
      </c>
      <c r="CE16" t="n">
        <v>82.90000000000001</v>
      </c>
      <c r="CF16" t="n">
        <v>0</v>
      </c>
      <c r="CI16" t="n">
        <v>6.8</v>
      </c>
    </row>
    <row r="17" ht="44.1" customHeight="1">
      <c r="A17" s="2" t="inlineStr">
        <is>
          <t>JOBSTART</t>
        </is>
      </c>
      <c r="B17" s="2" t="inlineStr">
        <is>
          <t>SER/Corpus Christi</t>
        </is>
      </c>
      <c r="C17" s="2" t="inlineStr">
        <is>
          <t>SER/Corpus Christi</t>
        </is>
      </c>
      <c r="D17" s="2" t="inlineStr">
        <is>
          <t>SER/Jobs for Progress: community-based concurrent training program.</t>
        </is>
      </c>
      <c r="E17" s="2" t="inlineStr">
        <is>
          <t>primary</t>
        </is>
      </c>
      <c r="F17" s="2" t="n">
        <v>1</v>
      </c>
      <c r="G17" s="2" t="n">
        <v>0</v>
      </c>
      <c r="H17" s="2" t="n">
        <v>1</v>
      </c>
      <c r="I17" s="2" t="n">
        <v>1</v>
      </c>
      <c r="J17" s="2" t="inlineStr">
        <is>
          <t>support services (child care, transportation), basic skills education, GED preparation</t>
        </is>
      </c>
      <c r="K17" s="2" t="inlineStr">
        <is>
          <t>voluntary</t>
        </is>
      </c>
      <c r="L17" s="2" t="inlineStr">
        <is>
          <t>mixed</t>
        </is>
      </c>
      <c r="M17" s="2" t="inlineStr">
        <is>
          <t>private</t>
        </is>
      </c>
      <c r="N17" s="2" t="inlineStr">
        <is>
          <t>August 1985 – November 1987</t>
        </is>
      </c>
      <c r="O17" t="n">
        <v>1986.75</v>
      </c>
      <c r="P17" s="2" t="inlineStr">
        <is>
          <t>Young school dropouts ages 17-21; reading below 8th grade level; economically disadvantaged (JTPA eligible)</t>
        </is>
      </c>
      <c r="Q17" s="2" t="n">
        <v>18.6</v>
      </c>
      <c r="R17" s="2" t="n">
        <v>57.5</v>
      </c>
      <c r="S17" s="2" t="n">
        <v>8.9</v>
      </c>
      <c r="T17" s="2" t="n">
        <v>4.9</v>
      </c>
      <c r="U17" s="2" t="n">
        <v>86.2</v>
      </c>
      <c r="V17" s="2" t="n">
        <v>100</v>
      </c>
      <c r="W17" s="2" t="n"/>
      <c r="X17" s="2" t="inlineStr">
        <is>
          <t>Voluntary applicants ages 17-21 who had dropped out of school, reading below 8th grade level, economically disadvantaged (JTPA eligible). Staff screened for appropriateness.</t>
        </is>
      </c>
      <c r="Y17" s="2" t="n"/>
      <c r="Z17" s="2" t="n">
        <v>125</v>
      </c>
      <c r="AA17" s="2" t="n">
        <v>122</v>
      </c>
      <c r="AB17" s="2" t="n"/>
      <c r="AC17" s="2" t="n"/>
      <c r="AD17" s="2" t="n"/>
      <c r="AE17" s="2" t="n">
        <v>0.83</v>
      </c>
      <c r="AF17" s="2" t="n">
        <v>0.85</v>
      </c>
      <c r="AG17" s="2" t="n">
        <v>0.84</v>
      </c>
      <c r="AH17" s="2" t="n">
        <v>0.83</v>
      </c>
      <c r="AI17" s="2" t="n">
        <v>0.85</v>
      </c>
      <c r="AJ17" s="2" t="n">
        <v>0.84</v>
      </c>
      <c r="AK17" s="2" t="inlineStr">
        <is>
          <t>self-report (survey)</t>
        </is>
      </c>
      <c r="AL17" s="2" t="n"/>
      <c r="AM17" s="2" t="n"/>
      <c r="AN17" s="2" t="n"/>
      <c r="AO17" s="2" t="n"/>
      <c r="AP17" s="2" t="n"/>
      <c r="AQ17" s="2" t="n"/>
      <c r="AR17" s="2" t="n"/>
      <c r="AS17" s="2" t="n"/>
      <c r="AT17" s="2" t="n"/>
      <c r="AU17" s="2" t="n"/>
      <c r="AV17" s="2" t="n">
        <v>1</v>
      </c>
      <c r="AW17" s="2" t="n"/>
      <c r="AX17" s="2" t="n"/>
      <c r="AY17" s="2" t="n"/>
      <c r="AZ17" s="2" t="n"/>
      <c r="BA17" s="2" t="n">
        <v>-1853</v>
      </c>
      <c r="BB17" s="2" t="n"/>
      <c r="BC17" s="2" t="n"/>
      <c r="BD17" s="2" t="n">
        <v>6843</v>
      </c>
      <c r="BE17" s="2" t="inlineStr">
        <is>
          <t>cumulative over months 1-24 (24 months), computed as months 1-48 minus months 25-48</t>
        </is>
      </c>
      <c r="BF17" s="2" t="n">
        <v>3.5</v>
      </c>
      <c r="BG17" s="2" t="n"/>
      <c r="BH17" s="2" t="n"/>
      <c r="BI17" s="2" t="n"/>
      <c r="BK17" t="n">
        <v>684</v>
      </c>
      <c r="BN17" t="n">
        <v>10401</v>
      </c>
      <c r="BO17" t="inlineStr">
        <is>
          <t>cumulative over months 25-48 (24 months)</t>
        </is>
      </c>
      <c r="BP17" t="inlineStr">
        <is>
          <t>Cave et al. 1993, JOBSTART: Final Report on a Program for School Dropouts. Table 5.12 (p. 157), Table 7.3 (p. 191), Table 2.1 (pp. 37-40).</t>
        </is>
      </c>
      <c r="BQ17" t="inlineStr">
        <is>
          <t>Site: Corpus Christi, TX. Sample size is 48-month impact sample (247 total; 125 experimental, 122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7" t="n">
        <v>2098</v>
      </c>
      <c r="BT17" t="inlineStr">
        <is>
          <t>Cave et al. 1993, Table 7.9 (p.206). B-C analysis available for full sample only (societal NPV = -$4,286 in 1986$, 4-year). No site-level B-C decomposition.</t>
        </is>
      </c>
      <c r="BU17" t="inlineStr">
        <is>
          <t>TX</t>
        </is>
      </c>
      <c r="BV17" t="inlineStr">
        <is>
          <t>urban</t>
        </is>
      </c>
      <c r="BW17" t="n">
        <v>0</v>
      </c>
      <c r="BX17" t="n">
        <v>0</v>
      </c>
      <c r="BY17" t="n">
        <v>1</v>
      </c>
      <c r="BZ17" t="n">
        <v>0</v>
      </c>
      <c r="CA17" t="n">
        <v>0</v>
      </c>
      <c r="CB17" t="n">
        <v>0</v>
      </c>
      <c r="CC17" t="n">
        <v>0</v>
      </c>
      <c r="CD17" t="n">
        <v>0</v>
      </c>
      <c r="CE17" t="n">
        <v>96</v>
      </c>
      <c r="CF17" t="n">
        <v>0</v>
      </c>
      <c r="CI17" t="n">
        <v>6.8</v>
      </c>
    </row>
    <row r="18" ht="44.1" customHeight="1">
      <c r="A18" s="2" t="inlineStr">
        <is>
          <t>JOBSTART</t>
        </is>
      </c>
      <c r="B18" s="2" t="inlineStr">
        <is>
          <t>El Centro Community College</t>
        </is>
      </c>
      <c r="C18" s="2" t="inlineStr">
        <is>
          <t>El Centro Community College</t>
        </is>
      </c>
      <c r="D18" s="2" t="inlineStr">
        <is>
          <t>Community college sequential/in-house program: basic education followed by occupational training, both provided in-house.</t>
        </is>
      </c>
      <c r="E18" s="2" t="inlineStr">
        <is>
          <t>primary</t>
        </is>
      </c>
      <c r="F18" s="2" t="n">
        <v>1</v>
      </c>
      <c r="G18" s="2" t="n">
        <v>0</v>
      </c>
      <c r="H18" s="2" t="n">
        <v>1</v>
      </c>
      <c r="I18" s="2" t="n">
        <v>1</v>
      </c>
      <c r="J18" s="2" t="inlineStr">
        <is>
          <t>support services (child care, transportation), basic skills education, GED preparation</t>
        </is>
      </c>
      <c r="K18" s="2" t="inlineStr">
        <is>
          <t>voluntary</t>
        </is>
      </c>
      <c r="L18" s="2" t="inlineStr">
        <is>
          <t>mixed</t>
        </is>
      </c>
      <c r="M18" s="2" t="inlineStr">
        <is>
          <t>public</t>
        </is>
      </c>
      <c r="N18" s="2" t="inlineStr">
        <is>
          <t>August 1985 – November 1987</t>
        </is>
      </c>
      <c r="O18" t="n">
        <v>1986.75</v>
      </c>
      <c r="P18" s="2" t="inlineStr">
        <is>
          <t>Young school dropouts ages 17-21; reading below 8th grade level; economically disadvantaged (JTPA eligible)</t>
        </is>
      </c>
      <c r="Q18" s="2" t="n">
        <v>18.3</v>
      </c>
      <c r="R18" s="2" t="n">
        <v>46.9</v>
      </c>
      <c r="S18" s="2" t="n">
        <v>6.7</v>
      </c>
      <c r="T18" s="2" t="n">
        <v>48.1</v>
      </c>
      <c r="U18" s="2" t="n">
        <v>36.8</v>
      </c>
      <c r="V18" s="2" t="n">
        <v>100</v>
      </c>
      <c r="W18" s="2" t="n"/>
      <c r="X18" s="2" t="inlineStr">
        <is>
          <t>Voluntary applicants ages 17-21 who had dropped out of school, reading below 8th grade level, economically disadvantaged (JTPA eligible). Staff screened for appropriateness.</t>
        </is>
      </c>
      <c r="Y18" s="2" t="n"/>
      <c r="Z18" s="2" t="n">
        <v>93</v>
      </c>
      <c r="AA18" s="2" t="n">
        <v>86</v>
      </c>
      <c r="AB18" s="2" t="n"/>
      <c r="AC18" s="2" t="n"/>
      <c r="AD18" s="2" t="n"/>
      <c r="AE18" s="2" t="n">
        <v>0.83</v>
      </c>
      <c r="AF18" s="2" t="n">
        <v>0.85</v>
      </c>
      <c r="AG18" s="2" t="n">
        <v>0.84</v>
      </c>
      <c r="AH18" s="2" t="n">
        <v>0.83</v>
      </c>
      <c r="AI18" s="2" t="n">
        <v>0.85</v>
      </c>
      <c r="AJ18" s="2" t="n">
        <v>0.84</v>
      </c>
      <c r="AK18" s="2" t="inlineStr">
        <is>
          <t>self-report (survey)</t>
        </is>
      </c>
      <c r="AL18" s="2" t="n"/>
      <c r="AM18" s="2" t="n"/>
      <c r="AN18" s="2" t="n"/>
      <c r="AO18" s="2" t="n"/>
      <c r="AP18" s="2" t="n"/>
      <c r="AQ18" s="2" t="n"/>
      <c r="AR18" s="2" t="n"/>
      <c r="AS18" s="2" t="n"/>
      <c r="AT18" s="2" t="n"/>
      <c r="AU18" s="2" t="n"/>
      <c r="AV18" s="2" t="n">
        <v>1</v>
      </c>
      <c r="AW18" s="2" t="n"/>
      <c r="AX18" s="2" t="n"/>
      <c r="AY18" s="2" t="n"/>
      <c r="AZ18" s="2" t="n"/>
      <c r="BA18" s="2" t="n">
        <v>1509</v>
      </c>
      <c r="BB18" s="2" t="n"/>
      <c r="BC18" s="2" t="n"/>
      <c r="BD18" s="2" t="n">
        <v>4041</v>
      </c>
      <c r="BE18" s="2" t="inlineStr">
        <is>
          <t>cumulative over months 1-24 (24 months), computed as months 1-48 minus months 25-48</t>
        </is>
      </c>
      <c r="BF18" s="2" t="n">
        <v>3.5</v>
      </c>
      <c r="BG18" s="2" t="n"/>
      <c r="BH18" s="2" t="n"/>
      <c r="BI18" s="2" t="n"/>
      <c r="BK18" t="n">
        <v>1029</v>
      </c>
      <c r="BN18" t="n">
        <v>9989</v>
      </c>
      <c r="BO18" t="inlineStr">
        <is>
          <t>cumulative over months 25-48 (24 months)</t>
        </is>
      </c>
      <c r="BP18" t="inlineStr">
        <is>
          <t>Cave et al. 1993, JOBSTART: Final Report on a Program for School Dropouts. Table 5.12 (p. 157), Table 7.3 (p. 191), Table 2.1 (pp. 37-40).</t>
        </is>
      </c>
      <c r="BQ18" t="inlineStr">
        <is>
          <t>Site: Dallas, TX. Sample size is 48-month impact sample (179 total; 93 experimental, 86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8" t="n">
        <v>5306</v>
      </c>
      <c r="BT18" t="inlineStr">
        <is>
          <t>Cave et al. 1993, Table 7.9 (p.206). B-C analysis available for full sample only (societal NPV = -$4,286 in 1986$, 4-year). No site-level B-C decomposition.</t>
        </is>
      </c>
      <c r="BU18" t="inlineStr">
        <is>
          <t>TX</t>
        </is>
      </c>
      <c r="BV18" t="inlineStr">
        <is>
          <t>urban</t>
        </is>
      </c>
      <c r="BW18" t="n">
        <v>0</v>
      </c>
      <c r="BX18" t="n">
        <v>0</v>
      </c>
      <c r="BY18" t="n">
        <v>0</v>
      </c>
      <c r="BZ18" t="n">
        <v>0</v>
      </c>
      <c r="CA18" t="n">
        <v>0</v>
      </c>
      <c r="CB18" t="n">
        <v>0</v>
      </c>
      <c r="CC18" t="n">
        <v>0</v>
      </c>
      <c r="CD18" t="n">
        <v>0</v>
      </c>
      <c r="CE18" t="n">
        <v>98.90000000000001</v>
      </c>
      <c r="CF18" t="n">
        <v>0</v>
      </c>
      <c r="CI18" t="n">
        <v>6.8</v>
      </c>
    </row>
    <row r="19" ht="44.1" customHeight="1">
      <c r="A19" s="2" t="inlineStr">
        <is>
          <t>JOBSTART</t>
        </is>
      </c>
      <c r="B19" s="2" t="inlineStr">
        <is>
          <t>LA Job Corps</t>
        </is>
      </c>
      <c r="C19" s="2" t="inlineStr">
        <is>
          <t>LA Job Corps</t>
        </is>
      </c>
      <c r="D19" s="2" t="inlineStr">
        <is>
          <t>Los Angeles Job Corps Center providing sequential/in-house education and training with medical/dental services.</t>
        </is>
      </c>
      <c r="E19" s="2" t="inlineStr">
        <is>
          <t>primary</t>
        </is>
      </c>
      <c r="F19" s="2" t="n">
        <v>1</v>
      </c>
      <c r="G19" s="2" t="n">
        <v>0</v>
      </c>
      <c r="H19" s="2" t="n">
        <v>1</v>
      </c>
      <c r="I19" s="2" t="n">
        <v>1</v>
      </c>
      <c r="J19" s="2" t="inlineStr">
        <is>
          <t>support services (child care, transportation), basic skills education, GED preparation</t>
        </is>
      </c>
      <c r="K19" s="2" t="inlineStr">
        <is>
          <t>voluntary</t>
        </is>
      </c>
      <c r="L19" s="2" t="inlineStr">
        <is>
          <t>mixed</t>
        </is>
      </c>
      <c r="M19" s="2" t="inlineStr">
        <is>
          <t>public</t>
        </is>
      </c>
      <c r="N19" s="2" t="inlineStr">
        <is>
          <t>August 1985 – November 1987</t>
        </is>
      </c>
      <c r="O19" t="n">
        <v>1986.75</v>
      </c>
      <c r="P19" s="2" t="inlineStr">
        <is>
          <t>Young school dropouts ages 17-21; reading below 8th grade level; economically disadvantaged (JTPA eligible)</t>
        </is>
      </c>
      <c r="Q19" s="2" t="n">
        <v>18.3</v>
      </c>
      <c r="R19" s="2" t="n">
        <v>41.1</v>
      </c>
      <c r="S19" s="2" t="n">
        <v>3.5</v>
      </c>
      <c r="T19" s="2" t="n">
        <v>77.8</v>
      </c>
      <c r="U19" s="2" t="n">
        <v>7.4</v>
      </c>
      <c r="V19" s="2" t="n">
        <v>100</v>
      </c>
      <c r="W19" s="2" t="n"/>
      <c r="X19" s="2" t="inlineStr">
        <is>
          <t>Voluntary applicants ages 17-21 who had dropped out of school, reading below 8th grade level, economically disadvantaged (JTPA eligible). Staff screened for appropriateness.</t>
        </is>
      </c>
      <c r="Y19" s="2" t="n"/>
      <c r="Z19" s="2" t="n">
        <v>116</v>
      </c>
      <c r="AA19" s="2" t="n">
        <v>115</v>
      </c>
      <c r="AB19" s="2" t="n"/>
      <c r="AC19" s="2" t="n"/>
      <c r="AD19" s="2" t="n"/>
      <c r="AE19" s="2" t="n">
        <v>0.83</v>
      </c>
      <c r="AF19" s="2" t="n">
        <v>0.85</v>
      </c>
      <c r="AG19" s="2" t="n">
        <v>0.84</v>
      </c>
      <c r="AH19" s="2" t="n">
        <v>0.83</v>
      </c>
      <c r="AI19" s="2" t="n">
        <v>0.85</v>
      </c>
      <c r="AJ19" s="2" t="n">
        <v>0.84</v>
      </c>
      <c r="AK19" s="2" t="inlineStr">
        <is>
          <t>self-report (survey)</t>
        </is>
      </c>
      <c r="AL19" s="2" t="n"/>
      <c r="AM19" s="2" t="n"/>
      <c r="AN19" s="2" t="n"/>
      <c r="AO19" s="2" t="n"/>
      <c r="AP19" s="2" t="n"/>
      <c r="AQ19" s="2" t="n"/>
      <c r="AR19" s="2" t="n"/>
      <c r="AS19" s="2" t="n"/>
      <c r="AT19" s="2" t="n"/>
      <c r="AU19" s="2" t="n"/>
      <c r="AV19" s="2" t="n">
        <v>1</v>
      </c>
      <c r="AW19" s="2" t="n"/>
      <c r="AX19" s="2" t="n"/>
      <c r="AY19" s="2" t="n"/>
      <c r="AZ19" s="2" t="n"/>
      <c r="BA19" s="2" t="n">
        <v>-1138</v>
      </c>
      <c r="BB19" s="2" t="n"/>
      <c r="BC19" s="2" t="n"/>
      <c r="BD19" s="2" t="n">
        <v>7186</v>
      </c>
      <c r="BE19" s="2" t="inlineStr">
        <is>
          <t>cumulative over months 1-24 (24 months), computed as months 1-48 minus months 25-48</t>
        </is>
      </c>
      <c r="BF19" s="2" t="n">
        <v>3.5</v>
      </c>
      <c r="BG19" s="2" t="n"/>
      <c r="BH19" s="2" t="n"/>
      <c r="BI19" s="2" t="n"/>
      <c r="BK19" t="n">
        <v>27</v>
      </c>
      <c r="BN19" t="n">
        <v>11683</v>
      </c>
      <c r="BO19" t="inlineStr">
        <is>
          <t>cumulative over months 25-48 (24 months)</t>
        </is>
      </c>
      <c r="BP19" t="inlineStr">
        <is>
          <t>Cave et al. 1993, JOBSTART: Final Report on a Program for School Dropouts. Table 5.12 (p. 157), Table 7.3 (p. 191), Table 2.1 (pp. 37-40).</t>
        </is>
      </c>
      <c r="BQ19" t="inlineStr">
        <is>
          <t>Site: Los Angeles, CA. Sample size is 48-month impact sample (231 total; 116 experimental, 115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9" t="n">
        <v>6114</v>
      </c>
      <c r="BT19" t="inlineStr">
        <is>
          <t>Cave et al. 1993, Table 7.9 (p.206). B-C analysis available for full sample only (societal NPV = -$4,286 in 1986$, 4-year). No site-level B-C decomposition.</t>
        </is>
      </c>
      <c r="BU19" t="inlineStr">
        <is>
          <t>CA</t>
        </is>
      </c>
      <c r="BV19" t="inlineStr">
        <is>
          <t>urban</t>
        </is>
      </c>
      <c r="BW19" t="n">
        <v>0</v>
      </c>
      <c r="BX19" t="n">
        <v>0</v>
      </c>
      <c r="BY19" t="n">
        <v>0</v>
      </c>
      <c r="BZ19" t="n">
        <v>0</v>
      </c>
      <c r="CA19" t="n">
        <v>0</v>
      </c>
      <c r="CB19" t="n">
        <v>0</v>
      </c>
      <c r="CC19" t="n">
        <v>0</v>
      </c>
      <c r="CD19" t="n">
        <v>0</v>
      </c>
      <c r="CE19" t="n">
        <v>81</v>
      </c>
      <c r="CF19" t="n">
        <v>0</v>
      </c>
      <c r="CI19" t="n">
        <v>6.8</v>
      </c>
    </row>
    <row r="20" ht="44.1" customHeight="1">
      <c r="A20" s="2" t="inlineStr">
        <is>
          <t>JOBSTART</t>
        </is>
      </c>
      <c r="B20" s="2" t="inlineStr">
        <is>
          <t>Allentown Youth Services Consortium</t>
        </is>
      </c>
      <c r="C20" s="2" t="inlineStr">
        <is>
          <t>Allentown Youth Services Consortium</t>
        </is>
      </c>
      <c r="D20" s="2" t="inlineStr">
        <is>
          <t>Community-based sequential/brokered program: basic education provided in-house, then referral to other agencies for occupational training.</t>
        </is>
      </c>
      <c r="E20" s="2" t="inlineStr">
        <is>
          <t>primary</t>
        </is>
      </c>
      <c r="F20" s="2" t="n">
        <v>1</v>
      </c>
      <c r="G20" s="2" t="n">
        <v>0</v>
      </c>
      <c r="H20" s="2" t="n">
        <v>1</v>
      </c>
      <c r="I20" s="2" t="n">
        <v>1</v>
      </c>
      <c r="J20" s="2" t="inlineStr">
        <is>
          <t>support services (child care, transportation), basic skills education, GED preparation</t>
        </is>
      </c>
      <c r="K20" s="2" t="inlineStr">
        <is>
          <t>voluntary</t>
        </is>
      </c>
      <c r="L20" s="2" t="inlineStr">
        <is>
          <t>mixed</t>
        </is>
      </c>
      <c r="M20" s="2" t="inlineStr">
        <is>
          <t>private</t>
        </is>
      </c>
      <c r="N20" s="2" t="inlineStr">
        <is>
          <t>August 1985 – November 1987</t>
        </is>
      </c>
      <c r="O20" t="n">
        <v>1986.75</v>
      </c>
      <c r="P20" s="2" t="inlineStr">
        <is>
          <t>Young school dropouts ages 17-21; reading below 8th grade level; economically disadvantaged (JTPA eligible)</t>
        </is>
      </c>
      <c r="Q20" s="2" t="n">
        <v>18.4</v>
      </c>
      <c r="R20" s="2" t="n">
        <v>41.5</v>
      </c>
      <c r="S20" s="2" t="n">
        <v>14.1</v>
      </c>
      <c r="T20" s="2" t="n">
        <v>64.09999999999999</v>
      </c>
      <c r="U20" s="2" t="n">
        <v>22.3</v>
      </c>
      <c r="V20" s="2" t="n">
        <v>100</v>
      </c>
      <c r="W20" s="2" t="n"/>
      <c r="X20" s="2" t="inlineStr">
        <is>
          <t>Voluntary applicants ages 17-21 who had dropped out of school, reading below 8th grade level, economically disadvantaged (JTPA eligible). Staff screened for appropriateness.</t>
        </is>
      </c>
      <c r="Y20" s="2" t="n"/>
      <c r="Z20" s="2" t="n">
        <v>71</v>
      </c>
      <c r="AA20" s="2" t="n">
        <v>64</v>
      </c>
      <c r="AB20" s="2" t="n"/>
      <c r="AC20" s="2" t="n"/>
      <c r="AD20" s="2" t="n"/>
      <c r="AE20" s="2" t="n">
        <v>0.83</v>
      </c>
      <c r="AF20" s="2" t="n">
        <v>0.85</v>
      </c>
      <c r="AG20" s="2" t="n">
        <v>0.84</v>
      </c>
      <c r="AH20" s="2" t="n">
        <v>0.83</v>
      </c>
      <c r="AI20" s="2" t="n">
        <v>0.85</v>
      </c>
      <c r="AJ20" s="2" t="n">
        <v>0.84</v>
      </c>
      <c r="AK20" s="2" t="inlineStr">
        <is>
          <t>self-report (survey)</t>
        </is>
      </c>
      <c r="AL20" s="2" t="n"/>
      <c r="AM20" s="2" t="n"/>
      <c r="AN20" s="2" t="n"/>
      <c r="AO20" s="2" t="n"/>
      <c r="AP20" s="2" t="n"/>
      <c r="AQ20" s="2" t="n"/>
      <c r="AR20" s="2" t="n"/>
      <c r="AS20" s="2" t="n"/>
      <c r="AT20" s="2" t="n"/>
      <c r="AU20" s="2" t="n"/>
      <c r="AV20" s="2" t="n">
        <v>1</v>
      </c>
      <c r="AW20" s="2" t="n"/>
      <c r="AX20" s="2" t="n"/>
      <c r="AY20" s="2" t="n"/>
      <c r="AZ20" s="2" t="n"/>
      <c r="BA20" s="2" t="n">
        <v>634</v>
      </c>
      <c r="BB20" s="2" t="n"/>
      <c r="BC20" s="2" t="n"/>
      <c r="BD20" s="2" t="n">
        <v>3148</v>
      </c>
      <c r="BE20" s="2" t="inlineStr">
        <is>
          <t>cumulative over months 1-24 (24 months), computed as months 1-48 minus months 25-48</t>
        </is>
      </c>
      <c r="BF20" s="2" t="n">
        <v>3.5</v>
      </c>
      <c r="BG20" s="2" t="n"/>
      <c r="BH20" s="2" t="n"/>
      <c r="BI20" s="2" t="n"/>
      <c r="BK20" t="n">
        <v>475</v>
      </c>
      <c r="BN20" t="n">
        <v>5081</v>
      </c>
      <c r="BO20" t="inlineStr">
        <is>
          <t>cumulative over months 25-48 (24 months)</t>
        </is>
      </c>
      <c r="BP20" t="inlineStr">
        <is>
          <t>Cave et al. 1993, JOBSTART: Final Report on a Program for School Dropouts. Table 5.12 (p. 157), Table 7.3 (p. 191), Table 2.1 (pp. 37-40).</t>
        </is>
      </c>
      <c r="BQ20" t="inlineStr">
        <is>
          <t>Site: Buffalo, NY. Sample size is 48-month impact sample (135 total; 71 experimental, 64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20" t="n">
        <v>5862</v>
      </c>
      <c r="BT20" t="inlineStr">
        <is>
          <t>Cave et al. 1993, Table 7.9 (p.206). B-C analysis available for full sample only (societal NPV = -$4,286 in 1986$, 4-year). No site-level B-C decomposition.</t>
        </is>
      </c>
      <c r="BU20" t="inlineStr">
        <is>
          <t>PA</t>
        </is>
      </c>
      <c r="BV20" t="inlineStr">
        <is>
          <t>urban</t>
        </is>
      </c>
      <c r="BW20" t="n">
        <v>0</v>
      </c>
      <c r="BX20" t="n">
        <v>0</v>
      </c>
      <c r="BY20" t="n">
        <v>1</v>
      </c>
      <c r="BZ20" t="n">
        <v>0</v>
      </c>
      <c r="CA20" t="n">
        <v>0</v>
      </c>
      <c r="CB20" t="n">
        <v>0</v>
      </c>
      <c r="CC20" t="n">
        <v>0</v>
      </c>
      <c r="CD20" t="n">
        <v>0</v>
      </c>
      <c r="CE20" t="n">
        <v>100</v>
      </c>
      <c r="CF20" t="n">
        <v>0</v>
      </c>
      <c r="CI20" t="n">
        <v>6.8</v>
      </c>
    </row>
    <row r="21" ht="44.1" customHeight="1">
      <c r="A21" s="2" t="inlineStr">
        <is>
          <t>JOBSTART</t>
        </is>
      </c>
      <c r="B21" s="2" t="inlineStr">
        <is>
          <t>BSA (NYC)</t>
        </is>
      </c>
      <c r="C21" s="2" t="inlineStr">
        <is>
          <t>BSA (NYC)</t>
        </is>
      </c>
      <c r="D21" s="2" t="inlineStr">
        <is>
          <t>Basic Skills Academy: community-based sequential/brokered program with emphasis on education.</t>
        </is>
      </c>
      <c r="E21" s="2" t="inlineStr">
        <is>
          <t>primary</t>
        </is>
      </c>
      <c r="F21" s="2" t="n">
        <v>1</v>
      </c>
      <c r="G21" s="2" t="n">
        <v>0</v>
      </c>
      <c r="H21" s="2" t="n">
        <v>1</v>
      </c>
      <c r="I21" s="2" t="n">
        <v>1</v>
      </c>
      <c r="J21" s="2" t="inlineStr">
        <is>
          <t>support services (child care, transportation), basic skills education, GED preparation</t>
        </is>
      </c>
      <c r="K21" s="2" t="inlineStr">
        <is>
          <t>voluntary</t>
        </is>
      </c>
      <c r="L21" s="2" t="inlineStr">
        <is>
          <t>mixed</t>
        </is>
      </c>
      <c r="M21" s="2" t="inlineStr">
        <is>
          <t>private</t>
        </is>
      </c>
      <c r="N21" s="2" t="inlineStr">
        <is>
          <t>August 1985 – November 1987</t>
        </is>
      </c>
      <c r="O21" t="n">
        <v>1986.75</v>
      </c>
      <c r="P21" s="2" t="inlineStr">
        <is>
          <t>Young school dropouts ages 17-21; reading below 8th grade level; economically disadvantaged (JTPA eligible)</t>
        </is>
      </c>
      <c r="Q21" s="2" t="n">
        <v>18.5</v>
      </c>
      <c r="R21" s="2" t="n">
        <v>52.1</v>
      </c>
      <c r="S21" s="2" t="n">
        <v>3.4</v>
      </c>
      <c r="T21" s="2" t="n">
        <v>52.5</v>
      </c>
      <c r="U21" s="2" t="n">
        <v>31.6</v>
      </c>
      <c r="V21" s="2" t="n">
        <v>100</v>
      </c>
      <c r="W21" s="2" t="n"/>
      <c r="X21" s="2" t="inlineStr">
        <is>
          <t>Voluntary applicants ages 17-21 who had dropped out of school, reading below 8th grade level, economically disadvantaged (JTPA eligible). Staff screened for appropriateness.</t>
        </is>
      </c>
      <c r="Y21" s="2" t="n"/>
      <c r="Z21" s="2" t="n">
        <v>60</v>
      </c>
      <c r="AA21" s="2" t="n">
        <v>57</v>
      </c>
      <c r="AB21" s="2" t="n"/>
      <c r="AC21" s="2" t="n"/>
      <c r="AD21" s="2" t="n"/>
      <c r="AE21" s="2" t="n">
        <v>0.83</v>
      </c>
      <c r="AF21" s="2" t="n">
        <v>0.85</v>
      </c>
      <c r="AG21" s="2" t="n">
        <v>0.84</v>
      </c>
      <c r="AH21" s="2" t="n">
        <v>0.83</v>
      </c>
      <c r="AI21" s="2" t="n">
        <v>0.85</v>
      </c>
      <c r="AJ21" s="2" t="n">
        <v>0.84</v>
      </c>
      <c r="AK21" s="2" t="inlineStr">
        <is>
          <t>self-report (survey)</t>
        </is>
      </c>
      <c r="AL21" s="2" t="n"/>
      <c r="AM21" s="2" t="n"/>
      <c r="AN21" s="2" t="n"/>
      <c r="AO21" s="2" t="n"/>
      <c r="AP21" s="2" t="n"/>
      <c r="AQ21" s="2" t="n"/>
      <c r="AR21" s="2" t="n"/>
      <c r="AS21" s="2" t="n"/>
      <c r="AT21" s="2" t="n"/>
      <c r="AU21" s="2" t="n"/>
      <c r="AV21" s="2" t="n">
        <v>1</v>
      </c>
      <c r="AW21" s="2" t="n"/>
      <c r="AX21" s="2" t="n"/>
      <c r="AY21" s="2" t="n"/>
      <c r="AZ21" s="2" t="n"/>
      <c r="BA21" s="2" t="n">
        <v>-5166</v>
      </c>
      <c r="BB21" s="2" t="n"/>
      <c r="BC21" s="2" t="n"/>
      <c r="BD21" s="2" t="n">
        <v>10860</v>
      </c>
      <c r="BE21" s="2" t="inlineStr">
        <is>
          <t>cumulative over months 1-24 (24 months), computed as months 1-48 minus months 25-48</t>
        </is>
      </c>
      <c r="BF21" s="2" t="n">
        <v>3.5</v>
      </c>
      <c r="BG21" s="2" t="n"/>
      <c r="BH21" s="2" t="n"/>
      <c r="BI21" s="2" t="n"/>
      <c r="BK21" t="n">
        <v>-1011</v>
      </c>
      <c r="BN21" t="n">
        <v>10782</v>
      </c>
      <c r="BO21" t="inlineStr">
        <is>
          <t>cumulative over months 25-48 (24 months)</t>
        </is>
      </c>
      <c r="BP21" t="inlineStr">
        <is>
          <t>Cave et al. 1993, JOBSTART: Final Report on a Program for School Dropouts. Table 5.12 (p. 157), Table 7.3 (p. 191), Table 2.1 (pp. 37-40).</t>
        </is>
      </c>
      <c r="BQ21" t="inlineStr">
        <is>
          <t>Site: New York, NY. Sample size is 48-month impact sample (117 total; 60 experimental, 57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21" t="n">
        <v>7484</v>
      </c>
      <c r="BT21" t="inlineStr">
        <is>
          <t>Cave et al. 1993, Table 7.9 (p.206). B-C analysis available for full sample only (societal NPV = -$4,286 in 1986$, 4-year). No site-level B-C decomposition.</t>
        </is>
      </c>
      <c r="BU21" t="inlineStr">
        <is>
          <t>NY</t>
        </is>
      </c>
      <c r="BV21" t="inlineStr">
        <is>
          <t>urban</t>
        </is>
      </c>
      <c r="BW21" t="n">
        <v>0</v>
      </c>
      <c r="BX21" t="n">
        <v>0</v>
      </c>
      <c r="BY21" t="n">
        <v>1</v>
      </c>
      <c r="BZ21" t="n">
        <v>0</v>
      </c>
      <c r="CA21" t="n">
        <v>0</v>
      </c>
      <c r="CB21" t="n">
        <v>0</v>
      </c>
      <c r="CC21" t="n">
        <v>0</v>
      </c>
      <c r="CD21" t="n">
        <v>0</v>
      </c>
      <c r="CE21" t="n">
        <v>75</v>
      </c>
      <c r="CF21" t="n">
        <v>0</v>
      </c>
      <c r="CI21" t="n">
        <v>6.8</v>
      </c>
    </row>
    <row r="22" ht="44.1" customHeight="1">
      <c r="A22" s="2" t="inlineStr">
        <is>
          <t>JOBSTART</t>
        </is>
      </c>
      <c r="B22" s="2" t="inlineStr">
        <is>
          <t>CREC (Hartford)</t>
        </is>
      </c>
      <c r="C22" s="2" t="inlineStr">
        <is>
          <t>CREC (Hartford)</t>
        </is>
      </c>
      <c r="D22" s="2" t="inlineStr">
        <is>
          <t>Capitol Region Education Council: sequential/brokered education program.</t>
        </is>
      </c>
      <c r="E22" s="2" t="inlineStr">
        <is>
          <t>primary</t>
        </is>
      </c>
      <c r="F22" s="2" t="n">
        <v>1</v>
      </c>
      <c r="G22" s="2" t="n">
        <v>0</v>
      </c>
      <c r="H22" s="2" t="n">
        <v>1</v>
      </c>
      <c r="I22" s="2" t="n">
        <v>1</v>
      </c>
      <c r="J22" s="2" t="inlineStr">
        <is>
          <t>support services (child care, transportation), basic skills education, GED preparation</t>
        </is>
      </c>
      <c r="K22" s="2" t="inlineStr">
        <is>
          <t>voluntary</t>
        </is>
      </c>
      <c r="L22" s="2" t="inlineStr">
        <is>
          <t>mixed</t>
        </is>
      </c>
      <c r="M22" s="2" t="inlineStr">
        <is>
          <t>private</t>
        </is>
      </c>
      <c r="N22" s="2" t="inlineStr">
        <is>
          <t>August 1985 – November 1987</t>
        </is>
      </c>
      <c r="O22" t="n">
        <v>1986.75</v>
      </c>
      <c r="P22" s="2" t="inlineStr">
        <is>
          <t>Young school dropouts ages 17-21; reading below 8th grade level; economically disadvantaged (JTPA eligible)</t>
        </is>
      </c>
      <c r="Q22" s="2" t="n">
        <v>18.3</v>
      </c>
      <c r="R22" s="2" t="n">
        <v>35.4</v>
      </c>
      <c r="S22" s="2" t="n">
        <v>4</v>
      </c>
      <c r="T22" s="2" t="n">
        <v>52.5</v>
      </c>
      <c r="U22" s="2" t="n">
        <v>43.4</v>
      </c>
      <c r="V22" s="2" t="n">
        <v>100</v>
      </c>
      <c r="W22" s="2" t="n"/>
      <c r="X22" s="2" t="inlineStr">
        <is>
          <t>Voluntary applicants ages 17-21 who had dropped out of school, reading below 8th grade level, economically disadvantaged (JTPA eligible). Staff screened for appropriateness.</t>
        </is>
      </c>
      <c r="Y22" s="2" t="n"/>
      <c r="Z22" s="2" t="n">
        <v>52</v>
      </c>
      <c r="AA22" s="2" t="n">
        <v>47</v>
      </c>
      <c r="AB22" s="2" t="n"/>
      <c r="AC22" s="2" t="n"/>
      <c r="AD22" s="2" t="n"/>
      <c r="AE22" s="2" t="n">
        <v>0.83</v>
      </c>
      <c r="AF22" s="2" t="n">
        <v>0.85</v>
      </c>
      <c r="AG22" s="2" t="n">
        <v>0.84</v>
      </c>
      <c r="AH22" s="2" t="n">
        <v>0.83</v>
      </c>
      <c r="AI22" s="2" t="n">
        <v>0.85</v>
      </c>
      <c r="AJ22" s="2" t="n">
        <v>0.84</v>
      </c>
      <c r="AK22" s="2" t="inlineStr">
        <is>
          <t>self-report (survey)</t>
        </is>
      </c>
      <c r="AL22" s="2" t="n"/>
      <c r="AM22" s="2" t="n"/>
      <c r="AN22" s="2" t="n"/>
      <c r="AO22" s="2" t="n"/>
      <c r="AP22" s="2" t="n"/>
      <c r="AQ22" s="2" t="n"/>
      <c r="AR22" s="2" t="n"/>
      <c r="AS22" s="2" t="n"/>
      <c r="AT22" s="2" t="n"/>
      <c r="AU22" s="2" t="n"/>
      <c r="AV22" s="2" t="n">
        <v>1</v>
      </c>
      <c r="AW22" s="2" t="n"/>
      <c r="AX22" s="2" t="n"/>
      <c r="AY22" s="2" t="n"/>
      <c r="AZ22" s="2" t="n"/>
      <c r="BA22" s="2" t="n">
        <v>1038</v>
      </c>
      <c r="BB22" s="2" t="n"/>
      <c r="BC22" s="2" t="n"/>
      <c r="BD22" s="2" t="n">
        <v>7371</v>
      </c>
      <c r="BE22" s="2" t="inlineStr">
        <is>
          <t>cumulative over months 1-24 (24 months), computed as months 1-48 minus months 25-48</t>
        </is>
      </c>
      <c r="BF22" s="2" t="n">
        <v>3.5</v>
      </c>
      <c r="BG22" s="2" t="n"/>
      <c r="BH22" s="2" t="n"/>
      <c r="BI22" s="2" t="n"/>
      <c r="BK22" t="n">
        <v>-1004</v>
      </c>
      <c r="BN22" t="n">
        <v>9897</v>
      </c>
      <c r="BO22" t="inlineStr">
        <is>
          <t>cumulative over months 25-48 (24 months)</t>
        </is>
      </c>
      <c r="BP22" t="inlineStr">
        <is>
          <t>Cave et al. 1993, JOBSTART: Final Report on a Program for School Dropouts. Table 5.12 (p. 157), Table 7.3 (p. 191), Table 2.1 (pp. 37-40).</t>
        </is>
      </c>
      <c r="BQ22" t="inlineStr">
        <is>
          <t>Site: Hartford, CT. Sample size is 48-month impact sample (99 total; 52 experimental, 47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22" t="n">
        <v>5166</v>
      </c>
      <c r="BT22" t="inlineStr">
        <is>
          <t>Cave et al. 1993, Table 7.9 (p.206). B-C analysis available for full sample only (societal NPV = -$4,286 in 1986$, 4-year). No site-level B-C decomposition.</t>
        </is>
      </c>
      <c r="BU22" t="inlineStr">
        <is>
          <t>CT</t>
        </is>
      </c>
      <c r="BV22" t="inlineStr">
        <is>
          <t>urban</t>
        </is>
      </c>
      <c r="BW22" t="n">
        <v>0</v>
      </c>
      <c r="BX22" t="n">
        <v>0</v>
      </c>
      <c r="BY22" t="n">
        <v>0</v>
      </c>
      <c r="BZ22" t="n">
        <v>0</v>
      </c>
      <c r="CA22" t="n">
        <v>0</v>
      </c>
      <c r="CB22" t="n">
        <v>0</v>
      </c>
      <c r="CC22" t="n">
        <v>0</v>
      </c>
      <c r="CD22" t="n">
        <v>0</v>
      </c>
      <c r="CE22" t="n">
        <v>86.5</v>
      </c>
      <c r="CF22" t="n">
        <v>0</v>
      </c>
      <c r="CI22" t="n">
        <v>6.8</v>
      </c>
    </row>
    <row r="23" ht="44.1" customHeight="1">
      <c r="A23" s="2" t="inlineStr">
        <is>
          <t>GAIN</t>
        </is>
      </c>
      <c r="B23" s="2" t="inlineStr">
        <is>
          <t>Alameda</t>
        </is>
      </c>
      <c r="C23" s="2" t="inlineStr">
        <is>
          <t>GAIN-Alameda</t>
        </is>
      </c>
      <c r="D23"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3" s="2" t="inlineStr">
        <is>
          <t>secondary</t>
        </is>
      </c>
      <c r="F23" s="2" t="n">
        <v>1</v>
      </c>
      <c r="G23" s="2" t="n">
        <v>0</v>
      </c>
      <c r="H23" s="2" t="n">
        <v>1</v>
      </c>
      <c r="I23" s="2" t="n">
        <v>1</v>
      </c>
      <c r="J23" s="2" t="inlineStr">
        <is>
          <t>mandatory welfare-to-work participation, sanctions for non-compliance, basic education (ABE/GED/ESL) for low-scoring registrants</t>
        </is>
      </c>
      <c r="K23" s="2" t="inlineStr">
        <is>
          <t>mandatory</t>
        </is>
      </c>
      <c r="L23" s="2" t="inlineStr">
        <is>
          <t>public</t>
        </is>
      </c>
      <c r="M23" s="2" t="inlineStr">
        <is>
          <t>public</t>
        </is>
      </c>
      <c r="N23" s="2" t="inlineStr">
        <is>
          <t>July 1989 – May 1990</t>
        </is>
      </c>
      <c r="O23" t="n">
        <v>1989.958</v>
      </c>
      <c r="P23" s="2" t="inlineStr">
        <is>
          <t>AFDC-FG single parents (mostly women); youngest child at least 6 years old at random assignment</t>
        </is>
      </c>
      <c r="Q23" s="2" t="n">
        <v>34.7</v>
      </c>
      <c r="R23" s="2" t="n"/>
      <c r="S23" s="2" t="n">
        <v>17.9</v>
      </c>
      <c r="T23" s="2" t="n">
        <v>68.59999999999999</v>
      </c>
      <c r="U23" s="2" t="n">
        <v>7.5</v>
      </c>
      <c r="V23" s="2" t="n"/>
      <c r="W23" s="2" t="n"/>
      <c r="X23" s="2" t="inlineStr">
        <is>
          <t>Included recently-approved applicants for AFDC as well as ongoing recipients. Alameda limited intake to long-term AFDC recipients.</t>
        </is>
      </c>
      <c r="Y23" s="2" t="n"/>
      <c r="Z23" s="2" t="n">
        <v>602</v>
      </c>
      <c r="AA23" s="2" t="n">
        <v>603</v>
      </c>
      <c r="AB23" s="2" t="n"/>
      <c r="AC23" s="2" t="n"/>
      <c r="AD23" s="2" t="n"/>
      <c r="AE23" s="2" t="n"/>
      <c r="AF23" s="2" t="n"/>
      <c r="AG23" s="2" t="n"/>
      <c r="AH23" s="2" t="n"/>
      <c r="AI23" s="2" t="n"/>
      <c r="AJ23" s="2" t="n"/>
      <c r="AK23" s="2" t="inlineStr">
        <is>
          <t>UI wage records</t>
        </is>
      </c>
      <c r="AL23" s="2" t="n">
        <v>1</v>
      </c>
      <c r="AM23" s="2" t="n">
        <v>2.8</v>
      </c>
      <c r="AN23" s="2" t="n"/>
      <c r="AO23" s="2" t="n"/>
      <c r="AP23" s="2" t="n">
        <v>27.3</v>
      </c>
      <c r="AQ23" s="2" t="n">
        <v>209</v>
      </c>
      <c r="AR23" s="2" t="n"/>
      <c r="AS23" s="2" t="n"/>
      <c r="AT23" s="2" t="n">
        <v>1212</v>
      </c>
      <c r="AU23" s="2" t="inlineStr">
        <is>
          <t>annual (Year 1, quarters 2-5)</t>
        </is>
      </c>
      <c r="AV23" s="2" t="n">
        <v>2</v>
      </c>
      <c r="AW23" s="2" t="n">
        <v>6.5</v>
      </c>
      <c r="AX23" s="2" t="n">
        <v>2.52</v>
      </c>
      <c r="AY23" s="2" t="inlineStr">
        <is>
          <t>***</t>
        </is>
      </c>
      <c r="AZ23" s="2" t="n">
        <v>26.3</v>
      </c>
      <c r="BA23" s="2" t="n">
        <v>508</v>
      </c>
      <c r="BB23" s="2" t="n">
        <v>308.77</v>
      </c>
      <c r="BC23" s="2" t="inlineStr">
        <is>
          <t>*</t>
        </is>
      </c>
      <c r="BD23" s="2" t="n">
        <v>1624</v>
      </c>
      <c r="BE23" s="2" t="inlineStr">
        <is>
          <t>annual (Year 2, quarters 6-9)</t>
        </is>
      </c>
      <c r="BF23" s="2" t="n">
        <v>5</v>
      </c>
      <c r="BG23" s="2" t="n">
        <v>1.5</v>
      </c>
      <c r="BH23" s="2" t="n"/>
      <c r="BI23" s="2" t="n"/>
      <c r="BJ23" t="n">
        <v>35.5</v>
      </c>
      <c r="BK23" t="n">
        <v>527</v>
      </c>
      <c r="BN23" t="n">
        <v>3236</v>
      </c>
      <c r="BO23" t="inlineStr">
        <is>
          <t>annual (Year 5, quarters 18-21)</t>
        </is>
      </c>
      <c r="BP23" t="inlineStr">
        <is>
          <t>Freedman, Friedlander, Lin, and Schweder (1996), 'The GAIN Evaluation: Five-Year Impacts on Employment, Earnings, and AFDC Receipt,' Working Paper 96.1, MDRC. Table 1, county section for Alameda. Randomization periods from Table 1 notes. Riccio and Friedlander (1992), Table 1.2 (demographics).</t>
        </is>
      </c>
      <c r="BQ23"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$5597,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t>
        </is>
      </c>
      <c r="BR23" t="n">
        <v>5597</v>
      </c>
      <c r="BT23" t="inlineStr">
        <is>
          <t>Riccio et al. 1994, Table 7 (exec summary p.44). Net B-C from societal perspective = -$2,103 (1993$, 3-year). Only net values reported; gross benefits not decomposed.</t>
        </is>
      </c>
      <c r="BU23" t="inlineStr">
        <is>
          <t>CA</t>
        </is>
      </c>
      <c r="BV23" t="inlineStr">
        <is>
          <t>urban</t>
        </is>
      </c>
      <c r="BW23" t="n">
        <v>0</v>
      </c>
      <c r="BX23" t="n">
        <v>0</v>
      </c>
      <c r="BY23" t="n">
        <v>0</v>
      </c>
      <c r="BZ23" t="n">
        <v>0</v>
      </c>
      <c r="CA23" t="n">
        <v>0</v>
      </c>
      <c r="CB23" t="n">
        <v>0</v>
      </c>
      <c r="CC23" t="n">
        <v>0</v>
      </c>
      <c r="CD23" t="n">
        <v>0</v>
      </c>
    </row>
    <row r="24" ht="44.1" customHeight="1">
      <c r="A24" s="2" t="inlineStr">
        <is>
          <t>GAIN</t>
        </is>
      </c>
      <c r="B24" s="2" t="inlineStr">
        <is>
          <t>Butte</t>
        </is>
      </c>
      <c r="C24" s="2" t="inlineStr">
        <is>
          <t>GAIN-Butte</t>
        </is>
      </c>
      <c r="D24"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4" s="2" t="inlineStr">
        <is>
          <t>secondary</t>
        </is>
      </c>
      <c r="F24" s="2" t="n">
        <v>1</v>
      </c>
      <c r="G24" s="2" t="n">
        <v>0</v>
      </c>
      <c r="H24" s="2" t="n">
        <v>1</v>
      </c>
      <c r="I24" s="2" t="n">
        <v>1</v>
      </c>
      <c r="J24" s="2" t="inlineStr">
        <is>
          <t>mandatory welfare-to-work participation, sanctions for non-compliance, basic education (ABE/GED/ESL) for low-scoring registrants</t>
        </is>
      </c>
      <c r="K24" s="2" t="inlineStr">
        <is>
          <t>mandatory</t>
        </is>
      </c>
      <c r="L24" s="2" t="inlineStr">
        <is>
          <t>public</t>
        </is>
      </c>
      <c r="M24" s="2" t="inlineStr">
        <is>
          <t>public</t>
        </is>
      </c>
      <c r="N24" s="2" t="inlineStr">
        <is>
          <t>March 1988 – March 1990</t>
        </is>
      </c>
      <c r="O24" t="n">
        <v>1989.208</v>
      </c>
      <c r="P24" s="2" t="inlineStr">
        <is>
          <t>AFDC-FG single parents (mostly women); youngest child at least 6 years old at random assignment</t>
        </is>
      </c>
      <c r="Q24" s="2" t="n">
        <v>33.6</v>
      </c>
      <c r="R24" s="2" t="n"/>
      <c r="S24" s="2" t="n">
        <v>85.7</v>
      </c>
      <c r="T24" s="2" t="n">
        <v>3.5</v>
      </c>
      <c r="U24" s="2" t="n">
        <v>5.6</v>
      </c>
      <c r="V24" s="2" t="n"/>
      <c r="W24" s="2" t="n"/>
      <c r="X24" s="2" t="inlineStr">
        <is>
          <t>Included recently-approved applicants for AFDC as well as ongoing recipients.</t>
        </is>
      </c>
      <c r="Y24" s="2" t="n"/>
      <c r="Z24" s="2" t="n">
        <v>986</v>
      </c>
      <c r="AA24" s="2" t="n">
        <v>243</v>
      </c>
      <c r="AB24" s="2" t="n"/>
      <c r="AC24" s="2" t="n"/>
      <c r="AD24" s="2" t="n"/>
      <c r="AE24" s="2" t="n"/>
      <c r="AF24" s="2" t="n"/>
      <c r="AG24" s="2" t="n"/>
      <c r="AH24" s="2" t="n"/>
      <c r="AI24" s="2" t="n"/>
      <c r="AJ24" s="2" t="n"/>
      <c r="AK24" s="2" t="inlineStr">
        <is>
          <t>UI wage records</t>
        </is>
      </c>
      <c r="AL24" s="2" t="n">
        <v>1</v>
      </c>
      <c r="AM24" s="2" t="n">
        <v>-3.3</v>
      </c>
      <c r="AN24" s="2" t="n"/>
      <c r="AO24" s="2" t="n"/>
      <c r="AP24" s="2" t="n">
        <v>45.6</v>
      </c>
      <c r="AQ24" s="2" t="n">
        <v>272</v>
      </c>
      <c r="AR24" s="2" t="n"/>
      <c r="AS24" s="2" t="n"/>
      <c r="AT24" s="2" t="n">
        <v>1729</v>
      </c>
      <c r="AU24" s="2" t="inlineStr">
        <is>
          <t>annual (Year 1, quarters 2-5)</t>
        </is>
      </c>
      <c r="AV24" s="2" t="n">
        <v>2</v>
      </c>
      <c r="AW24" s="2" t="n">
        <v>4</v>
      </c>
      <c r="AX24" s="2" t="n"/>
      <c r="AY24" s="2" t="n"/>
      <c r="AZ24" s="2" t="n">
        <v>42.2</v>
      </c>
      <c r="BA24" s="2" t="n">
        <v>556</v>
      </c>
      <c r="BB24" s="2" t="n"/>
      <c r="BC24" s="2" t="n"/>
      <c r="BD24" s="2" t="n">
        <v>2442</v>
      </c>
      <c r="BE24" s="2" t="inlineStr">
        <is>
          <t>annual (Year 2, quarters 6-9)</t>
        </is>
      </c>
      <c r="BF24" s="2" t="n">
        <v>5</v>
      </c>
      <c r="BG24" s="2" t="n">
        <v>-1.5</v>
      </c>
      <c r="BH24" s="2" t="n"/>
      <c r="BI24" s="2" t="n"/>
      <c r="BJ24" t="n">
        <v>45.5</v>
      </c>
      <c r="BK24" t="n">
        <v>1339</v>
      </c>
      <c r="BL24" t="n">
        <v>683.03</v>
      </c>
      <c r="BM24" t="inlineStr">
        <is>
          <t>**</t>
        </is>
      </c>
      <c r="BN24" t="n">
        <v>3281</v>
      </c>
      <c r="BO24" t="inlineStr">
        <is>
          <t>annual (Year 5, quarters 18-21)</t>
        </is>
      </c>
      <c r="BP24" t="inlineStr">
        <is>
          <t>Freedman, Friedlander, Lin, and Schweder (1996), 'The GAIN Evaluation: Five-Year Impacts on Employment, Earnings, and AFDC Receipt,' Working Paper 96.1, MDRC. Table 1, county section for Butte. Randomization periods from Table 1 notes. Riccio and Friedlander (1992), Table 1.2 (demographics).</t>
        </is>
      </c>
      <c r="BQ24"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$2904,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t>
        </is>
      </c>
      <c r="BR24" t="n">
        <v>2904</v>
      </c>
      <c r="BT24" t="inlineStr">
        <is>
          <t>Riccio et al. 1994, Table 7. Net B-C from societal perspective = $1,452 (1993$, 3-year). Only net values reported.</t>
        </is>
      </c>
      <c r="BU24" t="inlineStr">
        <is>
          <t>CA</t>
        </is>
      </c>
      <c r="BV24" t="inlineStr">
        <is>
          <t>rural</t>
        </is>
      </c>
      <c r="BW24" t="n">
        <v>0</v>
      </c>
      <c r="BX24" t="n">
        <v>0</v>
      </c>
      <c r="BY24" t="n">
        <v>0</v>
      </c>
      <c r="BZ24" t="n">
        <v>0</v>
      </c>
      <c r="CA24" t="n">
        <v>0</v>
      </c>
      <c r="CB24" t="n">
        <v>0</v>
      </c>
      <c r="CC24" t="n">
        <v>0</v>
      </c>
      <c r="CD24" t="n">
        <v>0</v>
      </c>
      <c r="CI24" t="n">
        <v>2.4</v>
      </c>
    </row>
    <row r="25" ht="44.1" customHeight="1">
      <c r="A25" s="2" t="inlineStr">
        <is>
          <t>GAIN</t>
        </is>
      </c>
      <c r="B25" s="2" t="inlineStr">
        <is>
          <t>Los Angeles</t>
        </is>
      </c>
      <c r="C25" s="2" t="inlineStr">
        <is>
          <t>GAIN-Los Angeles</t>
        </is>
      </c>
      <c r="D25"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5" s="2" t="inlineStr">
        <is>
          <t>secondary</t>
        </is>
      </c>
      <c r="F25" s="2" t="n">
        <v>1</v>
      </c>
      <c r="G25" s="2" t="n">
        <v>0</v>
      </c>
      <c r="H25" s="2" t="n">
        <v>1</v>
      </c>
      <c r="I25" s="2" t="n">
        <v>1</v>
      </c>
      <c r="J25" s="2" t="inlineStr">
        <is>
          <t>mandatory welfare-to-work participation, sanctions for non-compliance, basic education (ABE/GED/ESL) for low-scoring registrants</t>
        </is>
      </c>
      <c r="K25" s="2" t="inlineStr">
        <is>
          <t>mandatory</t>
        </is>
      </c>
      <c r="L25" s="2" t="inlineStr">
        <is>
          <t>public</t>
        </is>
      </c>
      <c r="M25" s="2" t="inlineStr">
        <is>
          <t>public</t>
        </is>
      </c>
      <c r="N25" s="2" t="inlineStr">
        <is>
          <t>July 1989 – March 1990</t>
        </is>
      </c>
      <c r="O25" t="n">
        <v>1989.875</v>
      </c>
      <c r="P25" s="2" t="inlineStr">
        <is>
          <t>AFDC-FG single parents (mostly women); youngest child at least 6 years old at random assignment</t>
        </is>
      </c>
      <c r="Q25" s="2" t="n">
        <v>38.5</v>
      </c>
      <c r="R25" s="2" t="n"/>
      <c r="S25" s="2" t="n">
        <v>11.6</v>
      </c>
      <c r="T25" s="2" t="n">
        <v>45.3</v>
      </c>
      <c r="U25" s="2" t="n">
        <v>31.9</v>
      </c>
      <c r="V25" s="2" t="n"/>
      <c r="W25" s="2" t="n"/>
      <c r="X25" s="2" t="inlineStr">
        <is>
          <t>Alameda and Los Angeles limited intake to long-term AFDC recipients. Nearly 60% of AFDC-Us in Los Angeles were of Indochinese origin.</t>
        </is>
      </c>
      <c r="Y25" s="2" t="n"/>
      <c r="Z25" s="2" t="n">
        <v>2995</v>
      </c>
      <c r="AA25" s="2" t="n">
        <v>1401</v>
      </c>
      <c r="AB25" s="2" t="n"/>
      <c r="AC25" s="2" t="n"/>
      <c r="AD25" s="2" t="n"/>
      <c r="AE25" s="2" t="n"/>
      <c r="AF25" s="2" t="n"/>
      <c r="AG25" s="2" t="n"/>
      <c r="AH25" s="2" t="n"/>
      <c r="AI25" s="2" t="n"/>
      <c r="AJ25" s="2" t="n"/>
      <c r="AK25" s="2" t="inlineStr">
        <is>
          <t>UI wage records</t>
        </is>
      </c>
      <c r="AL25" s="2" t="n">
        <v>1</v>
      </c>
      <c r="AM25" s="2" t="n">
        <v>2.1</v>
      </c>
      <c r="AN25" s="2" t="n"/>
      <c r="AO25" s="2" t="n"/>
      <c r="AP25" s="2" t="n">
        <v>24.9</v>
      </c>
      <c r="AQ25" s="2" t="n">
        <v>-4</v>
      </c>
      <c r="AR25" s="2" t="n"/>
      <c r="AS25" s="2" t="n"/>
      <c r="AT25" s="2" t="n">
        <v>1308</v>
      </c>
      <c r="AU25" s="2" t="inlineStr">
        <is>
          <t>annual (Year 1, quarters 2-5)</t>
        </is>
      </c>
      <c r="AV25" s="2" t="n">
        <v>2</v>
      </c>
      <c r="AW25" s="2" t="n">
        <v>4</v>
      </c>
      <c r="AX25" s="2" t="n">
        <v>1.55</v>
      </c>
      <c r="AY25" s="2" t="inlineStr">
        <is>
          <t>***</t>
        </is>
      </c>
      <c r="AZ25" s="2" t="n">
        <v>22.9</v>
      </c>
      <c r="BA25" s="2" t="n">
        <v>110</v>
      </c>
      <c r="BB25" s="2" t="n"/>
      <c r="BC25" s="2" t="n"/>
      <c r="BD25" s="2" t="n">
        <v>1589</v>
      </c>
      <c r="BE25" s="2" t="inlineStr">
        <is>
          <t>annual (Year 2, quarters 6-9)</t>
        </is>
      </c>
      <c r="BF25" s="2" t="n">
        <v>5</v>
      </c>
      <c r="BG25" s="2" t="n">
        <v>4</v>
      </c>
      <c r="BH25" s="2" t="n">
        <v>1.55</v>
      </c>
      <c r="BI25" s="2" t="inlineStr">
        <is>
          <t>***</t>
        </is>
      </c>
      <c r="BJ25" t="n">
        <v>25.8</v>
      </c>
      <c r="BK25" t="n">
        <v>213</v>
      </c>
      <c r="BN25" t="n">
        <v>2259</v>
      </c>
      <c r="BO25" t="inlineStr">
        <is>
          <t>annual (Year 5, quarters 18-21)</t>
        </is>
      </c>
      <c r="BP25" t="inlineStr">
        <is>
          <t>Freedman, Friedlander, Lin, and Schweder (1996), 'The GAIN Evaluation: Five-Year Impacts on Employment, Earnings, and AFDC Receipt,' Working Paper 96.1, MDRC. Table 1, county section for Los Angeles. Randomization periods from Table 1 notes. Riccio and Friedlander (1992), Table 1.2 (demographics).</t>
        </is>
      </c>
      <c r="BQ25"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$5789,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t>
        </is>
      </c>
      <c r="BR25" t="n">
        <v>5789</v>
      </c>
      <c r="BT25" t="inlineStr">
        <is>
          <t>Riccio et al. 1994, Table 7. Net B-C from societal perspective = -$5,046 (1993$, 3-year). Only net values reported.</t>
        </is>
      </c>
      <c r="BU25" t="inlineStr">
        <is>
          <t>CA</t>
        </is>
      </c>
      <c r="BV25" t="inlineStr">
        <is>
          <t>urban</t>
        </is>
      </c>
      <c r="BW25" t="n">
        <v>0</v>
      </c>
      <c r="BX25" t="n">
        <v>0</v>
      </c>
      <c r="BY25" t="n">
        <v>0</v>
      </c>
      <c r="BZ25" t="n">
        <v>0</v>
      </c>
      <c r="CA25" t="n">
        <v>0</v>
      </c>
      <c r="CB25" t="n">
        <v>0</v>
      </c>
      <c r="CC25" t="n">
        <v>0</v>
      </c>
      <c r="CD25" t="n">
        <v>0</v>
      </c>
    </row>
    <row r="26" ht="44.1" customHeight="1">
      <c r="A26" s="2" t="inlineStr">
        <is>
          <t>GAIN</t>
        </is>
      </c>
      <c r="B26" s="2" t="inlineStr">
        <is>
          <t>Riverside</t>
        </is>
      </c>
      <c r="C26" s="2" t="inlineStr">
        <is>
          <t>GAIN-Riverside</t>
        </is>
      </c>
      <c r="D26"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6" s="2" t="inlineStr">
        <is>
          <t>secondary</t>
        </is>
      </c>
      <c r="F26" s="2" t="n">
        <v>1</v>
      </c>
      <c r="G26" s="2" t="n">
        <v>0</v>
      </c>
      <c r="H26" s="2" t="n">
        <v>1</v>
      </c>
      <c r="I26" s="2" t="n">
        <v>1</v>
      </c>
      <c r="J26" s="2" t="inlineStr">
        <is>
          <t>mandatory welfare-to-work participation, sanctions for non-compliance, basic education (ABE/GED/ESL) for low-scoring registrants</t>
        </is>
      </c>
      <c r="K26" s="2" t="inlineStr">
        <is>
          <t>mandatory</t>
        </is>
      </c>
      <c r="L26" s="2" t="inlineStr">
        <is>
          <t>public</t>
        </is>
      </c>
      <c r="M26" s="2" t="inlineStr">
        <is>
          <t>public</t>
        </is>
      </c>
      <c r="N26" s="2" t="inlineStr">
        <is>
          <t>August 1988 – March 1990</t>
        </is>
      </c>
      <c r="O26" t="n">
        <v>1989.417</v>
      </c>
      <c r="P26" s="2" t="inlineStr">
        <is>
          <t>AFDC-FG single parents (mostly women); youngest child at least 6 years old at random assignment</t>
        </is>
      </c>
      <c r="Q26" s="2" t="n">
        <v>33.7</v>
      </c>
      <c r="R26" s="2" t="n"/>
      <c r="S26" s="2" t="n">
        <v>51.2</v>
      </c>
      <c r="T26" s="2" t="n">
        <v>15.5</v>
      </c>
      <c r="U26" s="2" t="n">
        <v>27.6</v>
      </c>
      <c r="V26" s="2" t="n"/>
      <c r="W26" s="2" t="n"/>
      <c r="X26" s="2" t="inlineStr">
        <is>
          <t>Included recently-approved applicants for AFDC as well as ongoing recipients. Riverside emphasized employment-focused services over education.</t>
        </is>
      </c>
      <c r="Y26" s="2" t="n"/>
      <c r="Z26" s="2" t="n">
        <v>4457</v>
      </c>
      <c r="AA26" s="2" t="n">
        <v>1051</v>
      </c>
      <c r="AB26" s="2" t="n"/>
      <c r="AC26" s="2" t="n"/>
      <c r="AD26" s="2" t="n"/>
      <c r="AE26" s="2" t="n"/>
      <c r="AF26" s="2" t="n"/>
      <c r="AG26" s="2" t="n"/>
      <c r="AH26" s="2" t="n"/>
      <c r="AI26" s="2" t="n"/>
      <c r="AJ26" s="2" t="n"/>
      <c r="AK26" s="2" t="inlineStr">
        <is>
          <t>UI wage records</t>
        </is>
      </c>
      <c r="AL26" s="2" t="n">
        <v>1</v>
      </c>
      <c r="AM26" s="2" t="n">
        <v>18</v>
      </c>
      <c r="AN26" s="2" t="n">
        <v>6.99</v>
      </c>
      <c r="AO26" s="2" t="inlineStr">
        <is>
          <t>***</t>
        </is>
      </c>
      <c r="AP26" s="2" t="n">
        <v>34</v>
      </c>
      <c r="AQ26" s="2" t="n">
        <v>920</v>
      </c>
      <c r="AR26" s="2" t="n">
        <v>357.11</v>
      </c>
      <c r="AS26" s="2" t="inlineStr">
        <is>
          <t>***</t>
        </is>
      </c>
      <c r="AT26" s="2" t="n">
        <v>1550</v>
      </c>
      <c r="AU26" s="2" t="inlineStr">
        <is>
          <t>annual (Year 1, quarters 2-5)</t>
        </is>
      </c>
      <c r="AV26" s="2" t="n">
        <v>2</v>
      </c>
      <c r="AW26" s="2" t="n">
        <v>14</v>
      </c>
      <c r="AX26" s="2" t="n">
        <v>5.43</v>
      </c>
      <c r="AY26" s="2" t="inlineStr">
        <is>
          <t>***</t>
        </is>
      </c>
      <c r="AZ26" s="2" t="n">
        <v>35.4</v>
      </c>
      <c r="BA26" s="2" t="n">
        <v>1183</v>
      </c>
      <c r="BB26" s="2" t="n">
        <v>459.2</v>
      </c>
      <c r="BC26" s="2" t="inlineStr">
        <is>
          <t>***</t>
        </is>
      </c>
      <c r="BD26" s="2" t="n">
        <v>2233</v>
      </c>
      <c r="BE26" s="2" t="inlineStr">
        <is>
          <t>annual (Year 2, quarters 6-9)</t>
        </is>
      </c>
      <c r="BF26" s="2" t="n">
        <v>5</v>
      </c>
      <c r="BG26" s="2" t="n">
        <v>6</v>
      </c>
      <c r="BH26" s="2" t="n">
        <v>2.33</v>
      </c>
      <c r="BI26" s="2" t="inlineStr">
        <is>
          <t>***</t>
        </is>
      </c>
      <c r="BJ26" t="n">
        <v>33.4</v>
      </c>
      <c r="BK26" t="n">
        <v>922</v>
      </c>
      <c r="BL26" t="n">
        <v>357.89</v>
      </c>
      <c r="BM26" t="inlineStr">
        <is>
          <t>***</t>
        </is>
      </c>
      <c r="BN26" t="n">
        <v>2917</v>
      </c>
      <c r="BO26" t="inlineStr">
        <is>
          <t>annual (Year 5, quarters 18-21)</t>
        </is>
      </c>
      <c r="BP26" t="inlineStr">
        <is>
          <t>Freedman, Friedlander, Lin, and Schweder (1996), 'The GAIN Evaluation: Five-Year Impacts on Employment, Earnings, and AFDC Receipt,' Working Paper 96.1, MDRC. Table 1, county section for Riverside. Randomization periods from Table 1 notes. Riccio and Friedlander (1992), Table 1.2 (demographics).</t>
        </is>
      </c>
      <c r="BQ26"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$1597,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t>
        </is>
      </c>
      <c r="BR26" t="n">
        <v>1597</v>
      </c>
      <c r="BT26" t="inlineStr">
        <is>
          <t>Riccio et al. 1994, Table 7. Net B-C from societal perspective = $4,458 (1993$, 3-year). Only net values reported.</t>
        </is>
      </c>
      <c r="BU26" t="inlineStr">
        <is>
          <t>CA</t>
        </is>
      </c>
      <c r="BV26" t="inlineStr">
        <is>
          <t>urban</t>
        </is>
      </c>
      <c r="BW26" t="n">
        <v>0</v>
      </c>
      <c r="BX26" t="n">
        <v>0</v>
      </c>
      <c r="BY26" t="n">
        <v>0</v>
      </c>
      <c r="BZ26" t="n">
        <v>0</v>
      </c>
      <c r="CA26" t="n">
        <v>0</v>
      </c>
      <c r="CB26" t="n">
        <v>0</v>
      </c>
      <c r="CC26" t="n">
        <v>0</v>
      </c>
      <c r="CD26" t="n">
        <v>0</v>
      </c>
      <c r="CI26" t="n">
        <v>3.2</v>
      </c>
    </row>
    <row r="27" ht="44.1" customHeight="1">
      <c r="A27" s="2" t="inlineStr">
        <is>
          <t>GAIN</t>
        </is>
      </c>
      <c r="B27" s="2" t="inlineStr">
        <is>
          <t>San Diego</t>
        </is>
      </c>
      <c r="C27" s="2" t="inlineStr">
        <is>
          <t>GAIN-San Diego</t>
        </is>
      </c>
      <c r="D27"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7" s="2" t="inlineStr">
        <is>
          <t>secondary</t>
        </is>
      </c>
      <c r="F27" s="2" t="n">
        <v>1</v>
      </c>
      <c r="G27" s="2" t="n">
        <v>0</v>
      </c>
      <c r="H27" s="2" t="n">
        <v>1</v>
      </c>
      <c r="I27" s="2" t="n">
        <v>1</v>
      </c>
      <c r="J27" s="2" t="inlineStr">
        <is>
          <t>mandatory welfare-to-work participation, sanctions for non-compliance, basic education (ABE/GED/ESL) for low-scoring registrants</t>
        </is>
      </c>
      <c r="K27" s="2" t="inlineStr">
        <is>
          <t>mandatory</t>
        </is>
      </c>
      <c r="L27" s="2" t="inlineStr">
        <is>
          <t>public</t>
        </is>
      </c>
      <c r="M27" s="2" t="inlineStr">
        <is>
          <t>public</t>
        </is>
      </c>
      <c r="N27" s="2" t="inlineStr">
        <is>
          <t>August 1988 – September 1989</t>
        </is>
      </c>
      <c r="O27" t="n">
        <v>1989.167</v>
      </c>
      <c r="P27" s="2" t="inlineStr">
        <is>
          <t>AFDC-FG single parents (mostly women); youngest child at least 6 years old at random assignment</t>
        </is>
      </c>
      <c r="Q27" s="2" t="n">
        <v>33.8</v>
      </c>
      <c r="R27" s="2" t="n"/>
      <c r="S27" s="2" t="n">
        <v>41.8</v>
      </c>
      <c r="T27" s="2" t="n">
        <v>22.5</v>
      </c>
      <c r="U27" s="2" t="n">
        <v>25.3</v>
      </c>
      <c r="V27" s="2" t="n"/>
      <c r="W27" s="2" t="n"/>
      <c r="X27" s="2" t="inlineStr">
        <is>
          <t>Included recently-approved applicants for AFDC as well as ongoing recipients.</t>
        </is>
      </c>
      <c r="Y27" s="2" t="n"/>
      <c r="Z27" s="2" t="n">
        <v>7049</v>
      </c>
      <c r="AA27" s="2" t="n">
        <v>1170</v>
      </c>
      <c r="AB27" s="2" t="n"/>
      <c r="AC27" s="2" t="n"/>
      <c r="AD27" s="2" t="n"/>
      <c r="AE27" s="2" t="n"/>
      <c r="AF27" s="2" t="n"/>
      <c r="AG27" s="2" t="n"/>
      <c r="AH27" s="2" t="n"/>
      <c r="AI27" s="2" t="n"/>
      <c r="AJ27" s="2" t="n"/>
      <c r="AK27" s="2" t="inlineStr">
        <is>
          <t>UI wage records</t>
        </is>
      </c>
      <c r="AL27" s="2" t="n">
        <v>1</v>
      </c>
      <c r="AM27" s="2" t="n">
        <v>6</v>
      </c>
      <c r="AN27" s="2" t="n">
        <v>2.33</v>
      </c>
      <c r="AO27" s="2" t="inlineStr">
        <is>
          <t>***</t>
        </is>
      </c>
      <c r="AP27" s="2" t="n">
        <v>40</v>
      </c>
      <c r="AQ27" s="2" t="n">
        <v>349</v>
      </c>
      <c r="AR27" s="2" t="n">
        <v>178.03</v>
      </c>
      <c r="AS27" s="2" t="inlineStr">
        <is>
          <t>**</t>
        </is>
      </c>
      <c r="AT27" s="2" t="n">
        <v>2113</v>
      </c>
      <c r="AU27" s="2" t="inlineStr">
        <is>
          <t>annual (Year 1, quarters 2-5)</t>
        </is>
      </c>
      <c r="AV27" s="2" t="n">
        <v>2</v>
      </c>
      <c r="AW27" s="2" t="n">
        <v>5.1</v>
      </c>
      <c r="AX27" s="2" t="n">
        <v>1.98</v>
      </c>
      <c r="AY27" s="2" t="inlineStr">
        <is>
          <t>***</t>
        </is>
      </c>
      <c r="AZ27" s="2" t="n">
        <v>40.8</v>
      </c>
      <c r="BA27" s="2" t="n">
        <v>709</v>
      </c>
      <c r="BB27" s="2" t="n">
        <v>275.21</v>
      </c>
      <c r="BC27" s="2" t="inlineStr">
        <is>
          <t>***</t>
        </is>
      </c>
      <c r="BD27" s="2" t="n">
        <v>2794</v>
      </c>
      <c r="BE27" s="2" t="inlineStr">
        <is>
          <t>annual (Year 2, quarters 6-9)</t>
        </is>
      </c>
      <c r="BF27" s="2" t="n">
        <v>5</v>
      </c>
      <c r="BG27" s="2" t="n">
        <v>3.3</v>
      </c>
      <c r="BH27" s="2" t="n">
        <v>1.68</v>
      </c>
      <c r="BI27" s="2" t="inlineStr">
        <is>
          <t>**</t>
        </is>
      </c>
      <c r="BJ27" t="n">
        <v>37.1</v>
      </c>
      <c r="BK27" t="n">
        <v>555</v>
      </c>
      <c r="BL27" t="n">
        <v>283.11</v>
      </c>
      <c r="BM27" t="inlineStr">
        <is>
          <t>**</t>
        </is>
      </c>
      <c r="BN27" t="n">
        <v>3750</v>
      </c>
      <c r="BO27" t="inlineStr">
        <is>
          <t>annual (Year 5, quarters 18-21)</t>
        </is>
      </c>
      <c r="BP27" t="inlineStr">
        <is>
          <t>Freedman, Friedlander, Lin, and Schweder (1996), 'The GAIN Evaluation: Five-Year Impacts on Employment, Earnings, and AFDC Receipt,' Working Paper 96.1, MDRC. Table 1, county section for San Diego. Randomization periods from Table 1 notes. Riccio and Friedlander (1992), Table 1.2 (demographics).</t>
        </is>
      </c>
      <c r="BQ27"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$1912,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t>
        </is>
      </c>
      <c r="BR27" t="n">
        <v>1912</v>
      </c>
      <c r="BT27" t="inlineStr">
        <is>
          <t>Riccio et al. 1994, Table 7. Net B-C from societal perspective = $1,649 (1993$, 3-year). Only net values reported.</t>
        </is>
      </c>
      <c r="BU27" t="inlineStr">
        <is>
          <t>CA</t>
        </is>
      </c>
      <c r="BV27" t="inlineStr">
        <is>
          <t>urban</t>
        </is>
      </c>
      <c r="BW27" t="n">
        <v>0</v>
      </c>
      <c r="BX27" t="n">
        <v>0</v>
      </c>
      <c r="BY27" t="n">
        <v>0</v>
      </c>
      <c r="BZ27" t="n">
        <v>0</v>
      </c>
      <c r="CA27" t="n">
        <v>0</v>
      </c>
      <c r="CB27" t="n">
        <v>0</v>
      </c>
      <c r="CC27" t="n">
        <v>0</v>
      </c>
      <c r="CD27" t="n">
        <v>0</v>
      </c>
      <c r="CI27" t="n">
        <v>3.1</v>
      </c>
    </row>
    <row r="28" ht="44.1" customHeight="1">
      <c r="A28" s="2" t="inlineStr">
        <is>
          <t>GAIN</t>
        </is>
      </c>
      <c r="B28" s="2" t="inlineStr">
        <is>
          <t>Tulare</t>
        </is>
      </c>
      <c r="C28" s="2" t="inlineStr">
        <is>
          <t>GAIN-Tulare</t>
        </is>
      </c>
      <c r="D28"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8" s="2" t="inlineStr">
        <is>
          <t>secondary</t>
        </is>
      </c>
      <c r="F28" s="2" t="n">
        <v>1</v>
      </c>
      <c r="G28" s="2" t="n">
        <v>0</v>
      </c>
      <c r="H28" s="2" t="n">
        <v>1</v>
      </c>
      <c r="I28" s="2" t="n">
        <v>1</v>
      </c>
      <c r="J28" s="2" t="inlineStr">
        <is>
          <t>mandatory welfare-to-work participation, sanctions for non-compliance, basic education (ABE/GED/ESL) for low-scoring registrants</t>
        </is>
      </c>
      <c r="K28" s="2" t="inlineStr">
        <is>
          <t>mandatory</t>
        </is>
      </c>
      <c r="L28" s="2" t="inlineStr">
        <is>
          <t>public</t>
        </is>
      </c>
      <c r="M28" s="2" t="inlineStr">
        <is>
          <t>public</t>
        </is>
      </c>
      <c r="N28" s="2" t="inlineStr">
        <is>
          <t>January 1989 – June 1990</t>
        </is>
      </c>
      <c r="O28" t="n">
        <v>1989.75</v>
      </c>
      <c r="P28" s="2" t="inlineStr">
        <is>
          <t>AFDC-FG single parents (mostly women); youngest child at least 6 years old at random assignment</t>
        </is>
      </c>
      <c r="Q28" s="2" t="n">
        <v>34.9</v>
      </c>
      <c r="R28" s="2" t="n"/>
      <c r="S28" s="2" t="n">
        <v>51.7</v>
      </c>
      <c r="T28" s="2" t="n">
        <v>3.6</v>
      </c>
      <c r="U28" s="2" t="n">
        <v>39.2</v>
      </c>
      <c r="V28" s="2" t="n"/>
      <c r="W28" s="2" t="n"/>
      <c r="X28" s="2" t="inlineStr">
        <is>
          <t>Included recently-approved applicants for AFDC as well as ongoing recipients.</t>
        </is>
      </c>
      <c r="Y28" s="2" t="n"/>
      <c r="Z28" s="2" t="n">
        <v>1588</v>
      </c>
      <c r="AA28" s="2" t="n">
        <v>646</v>
      </c>
      <c r="AB28" s="2" t="n"/>
      <c r="AC28" s="2" t="n"/>
      <c r="AD28" s="2" t="n"/>
      <c r="AE28" s="2" t="n"/>
      <c r="AF28" s="2" t="n"/>
      <c r="AG28" s="2" t="n"/>
      <c r="AH28" s="2" t="n"/>
      <c r="AI28" s="2" t="n"/>
      <c r="AJ28" s="2" t="n"/>
      <c r="AK28" s="2" t="inlineStr">
        <is>
          <t>UI wage records</t>
        </is>
      </c>
      <c r="AL28" s="2" t="n">
        <v>1</v>
      </c>
      <c r="AM28" s="2" t="n">
        <v>-1</v>
      </c>
      <c r="AN28" s="2" t="n"/>
      <c r="AO28" s="2" t="n"/>
      <c r="AP28" s="2" t="n">
        <v>40.9</v>
      </c>
      <c r="AQ28" s="2" t="n">
        <v>-149</v>
      </c>
      <c r="AR28" s="2" t="n"/>
      <c r="AS28" s="2" t="n"/>
      <c r="AT28" s="2" t="n">
        <v>1941</v>
      </c>
      <c r="AU28" s="2" t="inlineStr">
        <is>
          <t>annual (Year 1, quarters 2-5)</t>
        </is>
      </c>
      <c r="AV28" s="2" t="n">
        <v>2</v>
      </c>
      <c r="AW28" s="2" t="n">
        <v>-0.5</v>
      </c>
      <c r="AX28" s="2" t="n"/>
      <c r="AY28" s="2" t="n"/>
      <c r="AZ28" s="2" t="n">
        <v>42.3</v>
      </c>
      <c r="BA28" s="2" t="n">
        <v>5</v>
      </c>
      <c r="BB28" s="2" t="n"/>
      <c r="BC28" s="2" t="n"/>
      <c r="BD28" s="2" t="n">
        <v>2531</v>
      </c>
      <c r="BE28" s="2" t="inlineStr">
        <is>
          <t>annual (Year 2, quarters 6-9)</t>
        </is>
      </c>
      <c r="BF28" s="2" t="n">
        <v>5</v>
      </c>
      <c r="BG28" s="2" t="n">
        <v>5</v>
      </c>
      <c r="BH28" s="2" t="n">
        <v>2.55</v>
      </c>
      <c r="BI28" s="2" t="inlineStr">
        <is>
          <t>**</t>
        </is>
      </c>
      <c r="BJ28" t="n">
        <v>40.8</v>
      </c>
      <c r="BK28" t="n">
        <v>597</v>
      </c>
      <c r="BL28" t="n">
        <v>362.87</v>
      </c>
      <c r="BM28" t="inlineStr">
        <is>
          <t>*</t>
        </is>
      </c>
      <c r="BN28" t="n">
        <v>3201</v>
      </c>
      <c r="BO28" t="inlineStr">
        <is>
          <t>annual (Year 5, quarters 18-21)</t>
        </is>
      </c>
      <c r="BP28" t="inlineStr">
        <is>
          <t>Freedman, Friedlander, Lin, and Schweder (1996), 'The GAIN Evaluation: Five-Year Impacts on Employment, Earnings, and AFDC Receipt,' Working Paper 96.1, MDRC. Table 1, county section for Tulare. Randomization periods from Table 1 notes. Riccio and Friedlander (1992), Table 1.2 (demographics).</t>
        </is>
      </c>
      <c r="BQ28"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$2734,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t>
        </is>
      </c>
      <c r="BR28" t="n">
        <v>2734</v>
      </c>
      <c r="BT28" t="inlineStr">
        <is>
          <t>Riccio et al. 1994, Table 7. Net B-C from societal perspective = -$819 (1993$, 3-year). Only net values reported.</t>
        </is>
      </c>
      <c r="BU28" t="inlineStr">
        <is>
          <t>CA</t>
        </is>
      </c>
      <c r="BV28" t="inlineStr">
        <is>
          <t>rural</t>
        </is>
      </c>
      <c r="BW28" t="n">
        <v>0</v>
      </c>
      <c r="BX28" t="n">
        <v>0</v>
      </c>
      <c r="BY28" t="n">
        <v>0</v>
      </c>
      <c r="BZ28" t="n">
        <v>0</v>
      </c>
      <c r="CA28" t="n">
        <v>0</v>
      </c>
      <c r="CB28" t="n">
        <v>0</v>
      </c>
      <c r="CC28" t="n">
        <v>0</v>
      </c>
      <c r="CD28" t="n">
        <v>0</v>
      </c>
      <c r="CI28" t="n">
        <v>4.2</v>
      </c>
    </row>
    <row r="29" ht="44.1" customHeight="1">
      <c r="A29" s="2" t="inlineStr">
        <is>
          <t>Career Academies</t>
        </is>
      </c>
      <c r="B29" s="2" t="inlineStr">
        <is>
          <t>Full sample (9 sites pooled)</t>
        </is>
      </c>
      <c r="C29" s="2" t="inlineStr">
        <is>
          <t>Career Academies</t>
        </is>
      </c>
      <c r="D29" s="2" t="inlineStr">
        <is>
          <t>Small learning communities within high schools combining academic and career/technical curricula around a career theme, with employer partnerships providing work-based learning. Students entered in grade 9 or 10 and participated through grade 12. (Kemple and Willner 2008, p.1)</t>
        </is>
      </c>
      <c r="E29" s="2" t="inlineStr">
        <is>
          <t>primary</t>
        </is>
      </c>
      <c r="F29" s="2" t="n">
        <v>1</v>
      </c>
      <c r="G29" s="2" t="n">
        <v>0</v>
      </c>
      <c r="H29" s="2" t="n">
        <v>0</v>
      </c>
      <c r="I29" s="2" t="n">
        <v>1</v>
      </c>
      <c r="J29" s="2" t="inlineStr">
        <is>
          <t>work-based learning through employer partnerships</t>
        </is>
      </c>
      <c r="K29" s="2" t="inlineStr">
        <is>
          <t>voluntary</t>
        </is>
      </c>
      <c r="L29" s="2" t="inlineStr">
        <is>
          <t>public</t>
        </is>
      </c>
      <c r="M29" s="2" t="inlineStr">
        <is>
          <t>public</t>
        </is>
      </c>
      <c r="N29" s="2" t="inlineStr">
        <is>
          <t>1993 – 1997</t>
        </is>
      </c>
      <c r="O29" t="n">
        <v>1995.5</v>
      </c>
      <c r="P29" s="2" t="inlineStr">
        <is>
          <t>high school students at risk of disengagement</t>
        </is>
      </c>
      <c r="Q29" s="2" t="n"/>
      <c r="R29" s="2" t="n">
        <v>41.8</v>
      </c>
      <c r="S29" s="2" t="n">
        <v>5.8</v>
      </c>
      <c r="T29" s="2" t="n">
        <v>29.6</v>
      </c>
      <c r="U29" s="2" t="n">
        <v>57.6</v>
      </c>
      <c r="V29" s="2" t="n"/>
      <c r="W29" s="2" t="n"/>
      <c r="X29" s="2" t="inlineStr">
        <is>
          <t>Students applied to oversubscribed Career Academies within their high schools; approximately 55% of applicants randomized to treatment. Academies made explicit efforts to include students perceived at risk of dropping out. (pp.4-5)</t>
        </is>
      </c>
      <c r="Y29" s="2" t="n">
        <v>0.55</v>
      </c>
      <c r="Z29" s="2" t="n">
        <v>781</v>
      </c>
      <c r="AA29" s="2" t="n">
        <v>643</v>
      </c>
      <c r="AB29" s="2" t="n"/>
      <c r="AC29" s="2" t="n"/>
      <c r="AD29" s="2" t="n"/>
      <c r="AE29" s="2" t="n"/>
      <c r="AF29" s="2" t="n"/>
      <c r="AG29" s="2" t="n"/>
      <c r="AH29" s="2" t="n">
        <v>0.8</v>
      </c>
      <c r="AI29" s="2" t="n">
        <v>0.82</v>
      </c>
      <c r="AJ29" s="2" t="n">
        <v>0.8100000000000001</v>
      </c>
      <c r="AK29" s="2" t="inlineStr">
        <is>
          <t>self-report (survey)</t>
        </is>
      </c>
      <c r="AL29" s="2" t="n"/>
      <c r="AM29" s="2" t="n"/>
      <c r="AN29" s="2" t="n"/>
      <c r="AO29" s="2" t="n"/>
      <c r="AP29" s="2" t="n"/>
      <c r="AQ29" s="2" t="n"/>
      <c r="AR29" s="2" t="n"/>
      <c r="AS29" s="2" t="n"/>
      <c r="AT29" s="2" t="n"/>
      <c r="AU29" s="2" t="n"/>
      <c r="AV29" s="2" t="n">
        <v>2.5</v>
      </c>
      <c r="AW29" s="2" t="n"/>
      <c r="AX29" s="2" t="n"/>
      <c r="AY29" s="2" t="n"/>
      <c r="AZ29" s="2" t="n"/>
      <c r="BA29" s="2" t="n">
        <v>132</v>
      </c>
      <c r="BB29" s="2" t="n"/>
      <c r="BC29" s="2" t="inlineStr">
        <is>
          <t>***</t>
        </is>
      </c>
      <c r="BD29" s="2" t="n">
        <v>1225</v>
      </c>
      <c r="BE29" s="2" t="inlineStr">
        <is>
          <t>monthly (average over Years 1-4)</t>
        </is>
      </c>
      <c r="BF29" s="2" t="n">
        <v>6.5</v>
      </c>
      <c r="BG29" s="2" t="n"/>
      <c r="BH29" s="2" t="n"/>
      <c r="BI29" s="2" t="n"/>
      <c r="BK29" t="n">
        <v>216</v>
      </c>
      <c r="BM29" t="inlineStr">
        <is>
          <t>***</t>
        </is>
      </c>
      <c r="BN29" t="n">
        <v>1896</v>
      </c>
      <c r="BO29" t="inlineStr">
        <is>
          <t>monthly (average over Years 5-8)</t>
        </is>
      </c>
      <c r="BP29" t="inlineStr">
        <is>
          <t>Kemple and Willner 2008 (MDRC), Career Academies Long-Term Impacts. Exhibit 1 (full sample earnings/components, p.13), Exhibit 10 (sample sizes, p.36). Kemple, J. J. (2001). Career Academies: Impacts on Students' Initial Transitions to Post-Secondary Education and Employment. Technical Resources. MDRC. Tables 1.1, 1.2, pp. 12-13.</t>
        </is>
      </c>
      <c r="BQ29" t="inlineStr">
        <is>
          <t>Earnings are self-reported, calculated as hourly wage × hours/week × weeks/month. All dollar values in 2006 dollars. Report groups outcomes into two 4-year blocks (Years 1-4 and Years 5-8) rather than single years. Years 1-4 (center ~Year 2.5 post-HS graduation) assigned to medium-term; Years 5-8 (center ~Year 6.5) to long-term. The 8-year overall average is $174/month ($2,088/year, 11% over control). Employment impacts reported as months employed rather than employment rate; not entered. SEs not reported in exhibits; only significance stars provided (*** = p&lt;0.01). Technical Resources companion (Kemple and Willner 2008) would contain SEs but is not in our collection. Demographics from Kemple 2001 (Career Academies--Impacts on Initial Transitions), Table 1.2 (Differences Between Academy and Non-Academy Sample Members' Background Characteristics), p. 13, Full Sample column. Sample sizes by gender and ethnicity also appear in Table 1.1, p. 12 (Total N=1,764; Male 773, Female 991; Hispanic 972, Black 523, White 111, Asian/Native American 124). mean_age left blank: source reports age only in bins at application (13 or younger 8.6%, 14 = 35.9%, 15 = 46.5%, 16+ = 9.1%) and not as a mean. pct_no_hs_diploma left blank: study sample consisted of 8th/9th graders at random assignment, so by definition no participant held a high school diploma at baseline; the field is not meaningful for this in-school sample.</t>
        </is>
      </c>
      <c r="BU29" t="inlineStr">
        <is>
          <t>multiple</t>
        </is>
      </c>
      <c r="BV29" t="inlineStr">
        <is>
          <t>urban</t>
        </is>
      </c>
      <c r="BW29" t="n">
        <v>0</v>
      </c>
      <c r="BX29" t="n">
        <v>0</v>
      </c>
      <c r="BY29" t="n">
        <v>0</v>
      </c>
      <c r="BZ29" t="n">
        <v>0</v>
      </c>
      <c r="CA29" t="n">
        <v>0</v>
      </c>
      <c r="CB29" t="n">
        <v>0</v>
      </c>
      <c r="CC29" t="n">
        <v>1</v>
      </c>
      <c r="CD29" t="n">
        <v>0</v>
      </c>
      <c r="CE29" t="n">
        <v>85</v>
      </c>
      <c r="CF29" t="n">
        <v>0</v>
      </c>
    </row>
    <row r="30" ht="44.1" customHeight="1">
      <c r="A30" s="2" t="inlineStr">
        <is>
          <t>PACE – Year Up</t>
        </is>
      </c>
      <c r="B30" s="2" t="inlineStr">
        <is>
          <t>Full sample (8 offices pooled)</t>
        </is>
      </c>
      <c r="C30" s="2" t="inlineStr">
        <is>
          <t>Year Up</t>
        </is>
      </c>
      <c r="D30" s="2" t="inlineStr">
        <is>
          <t>Full-time, one-year program for young adults 18-24: six months of classroom training in IT and financial services occupations, business communication, and professional skills ('Learning and Development'), followed by six-month internships at major companies. Includes weekly stipends, behavior contracts, social worker support, and post-graduation job placement assistance. (Fein and Dastrup 2022, pp.3-4)</t>
        </is>
      </c>
      <c r="E30" s="2" t="inlineStr">
        <is>
          <t>primary</t>
        </is>
      </c>
      <c r="F30" s="2" t="n">
        <v>1</v>
      </c>
      <c r="G30" s="2" t="n">
        <v>1</v>
      </c>
      <c r="H30" s="2" t="n">
        <v>1</v>
      </c>
      <c r="I30" s="2" t="n">
        <v>1</v>
      </c>
      <c r="J30" s="2" t="inlineStr">
        <is>
          <t>internship at Fortune 500 companies; weekly stipends ($150-$220); behavior contracts; social worker support</t>
        </is>
      </c>
      <c r="K30" s="2" t="inlineStr">
        <is>
          <t>voluntary</t>
        </is>
      </c>
      <c r="L30" s="2" t="inlineStr">
        <is>
          <t>mixed</t>
        </is>
      </c>
      <c r="M30" s="2" t="inlineStr">
        <is>
          <t>private</t>
        </is>
      </c>
      <c r="N30" s="2" t="inlineStr">
        <is>
          <t>January 2013 – August 2014</t>
        </is>
      </c>
      <c r="O30" t="n">
        <v>2013.833</v>
      </c>
      <c r="P30" s="2" t="inlineStr">
        <is>
          <t>young adults 18-24 from low-income communities with HS diploma/equivalent</t>
        </is>
      </c>
      <c r="Q30" s="2" t="n"/>
      <c r="R30" s="2" t="n">
        <v>59</v>
      </c>
      <c r="S30" s="2" t="n">
        <v>5.5</v>
      </c>
      <c r="T30" s="2" t="n">
        <v>53.7</v>
      </c>
      <c r="U30" s="2" t="n">
        <v>31.4</v>
      </c>
      <c r="V30" s="2" t="n">
        <v>0.6</v>
      </c>
      <c r="W30" s="2" t="n"/>
      <c r="X30" s="2" t="inlineStr">
        <is>
          <t>Applicants screened by Year Up on motivation, ability to overcome challenges; approximately 1 in 6 applicants accepted. Three-year embargo on control group participation. 96% of treatment group enrolled. (pp.4, 10)</t>
        </is>
      </c>
      <c r="Y30" s="2" t="n">
        <v>0.17</v>
      </c>
      <c r="Z30" s="2" t="n">
        <v>1637</v>
      </c>
      <c r="AA30" s="2" t="n">
        <v>858</v>
      </c>
      <c r="AB30" s="2" t="n"/>
      <c r="AC30" s="2" t="n"/>
      <c r="AD30" s="2" t="n"/>
      <c r="AE30" s="2" t="n"/>
      <c r="AF30" s="2" t="n"/>
      <c r="AG30" s="2" t="n"/>
      <c r="AH30" s="2" t="n"/>
      <c r="AI30" s="2" t="n"/>
      <c r="AJ30" s="2" t="n"/>
      <c r="AK30" s="2" t="inlineStr">
        <is>
          <t>NDNH wage records</t>
        </is>
      </c>
      <c r="AL30" s="2" t="n">
        <v>2</v>
      </c>
      <c r="AM30" s="2" t="n">
        <v>1.5</v>
      </c>
      <c r="AN30" s="2" t="n"/>
      <c r="AO30" s="2" t="n"/>
      <c r="AP30" s="2" t="n">
        <v>77.59999999999999</v>
      </c>
      <c r="AQ30" s="2" t="n">
        <v>5222</v>
      </c>
      <c r="AR30" s="2" t="n">
        <v>507</v>
      </c>
      <c r="AS30" s="2" t="inlineStr">
        <is>
          <t>***</t>
        </is>
      </c>
      <c r="AT30" s="2" t="n">
        <v>13978</v>
      </c>
      <c r="AU30" s="2" t="inlineStr">
        <is>
          <t>annual (cumulative over 4 quarters)</t>
        </is>
      </c>
      <c r="AV30" s="2" t="n">
        <v>3</v>
      </c>
      <c r="AW30" s="2" t="n">
        <v>2</v>
      </c>
      <c r="AX30" s="2" t="n"/>
      <c r="AY30" s="2" t="n"/>
      <c r="AZ30" s="2" t="n">
        <v>78.59999999999999</v>
      </c>
      <c r="BA30" s="2" t="n">
        <v>7011</v>
      </c>
      <c r="BB30" s="2" t="n">
        <v>636</v>
      </c>
      <c r="BC30" s="2" t="inlineStr">
        <is>
          <t>***</t>
        </is>
      </c>
      <c r="BD30" s="2" t="n">
        <v>17320</v>
      </c>
      <c r="BE30" s="2" t="inlineStr">
        <is>
          <t>annual (cumulative over 4 quarters)</t>
        </is>
      </c>
      <c r="BF30" s="2" t="n">
        <v>6</v>
      </c>
      <c r="BG30" s="2" t="n">
        <v>-1.2</v>
      </c>
      <c r="BH30" s="2" t="n">
        <v>2.1</v>
      </c>
      <c r="BI30" s="2" t="n"/>
      <c r="BJ30" t="n">
        <v>81.09999999999999</v>
      </c>
      <c r="BK30" t="n">
        <v>1895</v>
      </c>
      <c r="BL30" t="n">
        <v>267</v>
      </c>
      <c r="BM30" t="inlineStr">
        <is>
          <t>***</t>
        </is>
      </c>
      <c r="BN30" t="n">
        <v>6901</v>
      </c>
      <c r="BO30" t="inlineStr">
        <is>
          <t>quarterly (average of Quarters 23-24)</t>
        </is>
      </c>
      <c r="BP30" t="inlineStr">
        <is>
          <t>Fein and Dastrup 2022, Benefits that Last: Long-term impact and cost-benefit findings for Year Up. Exhibit 2-1 (earnings impacts, p.14), Exhibit 1-1 (sample characteristics, pp.8-9), Exhibit 5-2 (costs, p.49). Exhibit 2-3 (employment status from six-year survey, p.16). Exhibit 3-2 (education outcomes/credential receipt, p.32). Fein and Hamadyk 2018, Bridging the Opportunity Divide for Low-Income Youth: Implementation and Early Impacts of the Year Up Program, Exhibit 3-2 (Selected Characteristics of the Study Sample, N=2,544), p. 29.</t>
        </is>
      </c>
      <c r="BQ30" t="inlineStr">
        <is>
          <t>Year 1 earnings impact is negative (-$5,778) because treatment group was in program, offset by $7,142 average stipend (not counted in NDNH). Long-term confirmatory outcome is average quarterly earnings in Q23-24; the annual Year 6 total is $8,076. LT employment impact (-1.2 pp, SE=2.1) is the complement of 'not currently employed' from Exhibit 2-3 (six-year survey, N=1,119 T + 534 C). Control mean 81.1%. Not statistically significant (p=.576). Cost is net incremental (treatment minus control group costs). Gross program cost per participant is $28,290; net of control group service costs = $23,135. n_treatment (1,637) and n_control (858) are NDNH-matched sample; full randomization sample is 1,668 T + 871 C = 2,539 (Exhibit 1-1). mean_age not reported as single number; 43% aged 18-20, 57% aged 21-24. pct_no_hs_diploma = 0 by design (HS diploma required). program_uptake: 96% T enrolled, 3.4% C crossed over. any_training: measures credential receipt from any source (Exhibit 3-2), not direct training participation; best available proxy in this report. V13 UPDATE: ST emp = avg quarterly impacts Q4-Q7 from Supplemental Exhibit 2 (Fein &amp; Dastrup 2022). Q4 still shows lock-in (-7.3 pp); Q5-Q7 alone = +4.4 pp. MT emp = avg Q8-Q11. No SEs (user will derive via binomial proportions). pct_no_hs_diploma = 0.6 from Fein &amp; Hamadyk 2018 Exhibit 3-2 ("Less than a high school degree"). Mean age not reported by source; age categories 18-20 (42.8%) and 21-24 (57.2%) only.</t>
        </is>
      </c>
      <c r="BR30" t="n">
        <v>23135</v>
      </c>
      <c r="BS30" t="n">
        <v>57019</v>
      </c>
      <c r="BT30" t="inlineStr">
        <is>
          <t>Fein and Dastrup 2022, Exhibit 5-5 (p.53). Total benefit to society as a whole = $57,019 per participant (7-year NPV at 5% discount rate). Total cost = $23,135. Net benefit = $33,884 (Exhibit 5-6, p.56).</t>
        </is>
      </c>
      <c r="BU30" t="inlineStr">
        <is>
          <t>multiple</t>
        </is>
      </c>
      <c r="BV30" t="inlineStr">
        <is>
          <t>urban</t>
        </is>
      </c>
      <c r="BW30" t="n">
        <v>0</v>
      </c>
      <c r="BX30" t="n">
        <v>1</v>
      </c>
      <c r="BY30" t="n">
        <v>1</v>
      </c>
      <c r="BZ30" t="n">
        <v>0</v>
      </c>
      <c r="CA30" t="n">
        <v>1</v>
      </c>
      <c r="CB30" t="n">
        <v>0</v>
      </c>
      <c r="CC30" t="n">
        <v>1</v>
      </c>
      <c r="CD30" t="n">
        <v>1</v>
      </c>
      <c r="CE30" t="n">
        <v>92.59999999999999</v>
      </c>
      <c r="CF30" t="n">
        <v>3.4</v>
      </c>
      <c r="CG30" t="n">
        <v>15.6</v>
      </c>
      <c r="CH30" t="n">
        <v>54.4</v>
      </c>
      <c r="CI30" t="n">
        <v>12</v>
      </c>
    </row>
    <row r="31" ht="44.1" customHeight="1">
      <c r="A31" s="2" t="inlineStr">
        <is>
          <t>NEWWS</t>
        </is>
      </c>
      <c r="B31" s="2" t="inlineStr">
        <is>
          <t>Atlanta Human Capital Development</t>
        </is>
      </c>
      <c r="C31" s="2" t="inlineStr">
        <is>
          <t>NEWWS-Atlanta</t>
        </is>
      </c>
      <c r="D31" s="2" t="inlineStr">
        <is>
          <t>Education-focused (Human Capital Development) approach: emphasized basic education, GED preparation, post-secondary education, and vocational training before job search. Case managers enrolled participants in education and training activities as a first step.</t>
        </is>
      </c>
      <c r="E31" s="2" t="inlineStr">
        <is>
          <t>primary</t>
        </is>
      </c>
      <c r="F31" s="2" t="n">
        <v>1</v>
      </c>
      <c r="G31" s="2" t="n">
        <v>0</v>
      </c>
      <c r="H31" s="2" t="n">
        <v>1</v>
      </c>
      <c r="I31" s="2" t="n">
        <v>1</v>
      </c>
      <c r="J31" s="2" t="inlineStr">
        <is>
          <t>case management, mandatory participation requirement</t>
        </is>
      </c>
      <c r="K31" s="2" t="inlineStr">
        <is>
          <t>mandatory</t>
        </is>
      </c>
      <c r="L31" s="2" t="inlineStr">
        <is>
          <t>public</t>
        </is>
      </c>
      <c r="M31" s="2" t="inlineStr">
        <is>
          <t>mixed</t>
        </is>
      </c>
      <c r="N31" s="2" t="inlineStr">
        <is>
          <t>June 1992 – August 1994</t>
        </is>
      </c>
      <c r="O31" t="n">
        <v>1993.542</v>
      </c>
      <c r="P31" s="2" t="inlineStr">
        <is>
          <t>welfare recipients (single-parent AFDC/TANF)</t>
        </is>
      </c>
      <c r="Q31" s="17" t="n">
        <v>32.8</v>
      </c>
      <c r="R31" s="2" t="n">
        <v>3.2</v>
      </c>
      <c r="S31" s="2" t="n">
        <v>3.5</v>
      </c>
      <c r="T31" s="2" t="n">
        <v>95.2</v>
      </c>
      <c r="U31" s="2">
        <f>0.8+0.1</f>
        <v/>
      </c>
      <c r="V31" s="2" t="n">
        <v>40</v>
      </c>
      <c r="W31" s="2" t="n">
        <v>11.2</v>
      </c>
      <c r="X31" s="2" t="n"/>
      <c r="Y31" s="2" t="n"/>
      <c r="Z31" s="2" t="n">
        <v>1495</v>
      </c>
      <c r="AA31" s="2" t="n">
        <v>1497</v>
      </c>
      <c r="AB31" s="2" t="n"/>
      <c r="AC31" s="2" t="n"/>
      <c r="AD31" s="2" t="n"/>
      <c r="AE31" s="2" t="n"/>
      <c r="AF31" s="2" t="n"/>
      <c r="AG31" s="2" t="n"/>
      <c r="AH31" s="2" t="n"/>
      <c r="AI31" s="2" t="n"/>
      <c r="AJ31" s="2" t="n"/>
      <c r="AK31" s="2" t="inlineStr">
        <is>
          <t>UI wage records</t>
        </is>
      </c>
      <c r="AL31" s="2" t="n">
        <v>1</v>
      </c>
      <c r="AM31" s="2" t="n">
        <v>1.1</v>
      </c>
      <c r="AN31" s="2" t="n"/>
      <c r="AO31" s="2" t="n"/>
      <c r="AP31" s="2" t="n">
        <v>44.4</v>
      </c>
      <c r="AQ31" s="2" t="n">
        <v>199</v>
      </c>
      <c r="AR31" s="2" t="n"/>
      <c r="AS31" s="2" t="inlineStr">
        <is>
          <t>*</t>
        </is>
      </c>
      <c r="AT31" s="2" t="n">
        <v>1647</v>
      </c>
      <c r="AU31" s="2" t="inlineStr">
        <is>
          <t>annual</t>
        </is>
      </c>
      <c r="AV31" s="2" t="n">
        <v>2</v>
      </c>
      <c r="AW31" s="2" t="n">
        <v>4.5</v>
      </c>
      <c r="AX31" s="2" t="n"/>
      <c r="AY31" s="2" t="inlineStr">
        <is>
          <t>***</t>
        </is>
      </c>
      <c r="AZ31" s="2" t="n">
        <v>49.8</v>
      </c>
      <c r="BA31" s="2" t="n">
        <v>480</v>
      </c>
      <c r="BB31" s="2" t="n"/>
      <c r="BC31" s="2" t="inlineStr">
        <is>
          <t>***</t>
        </is>
      </c>
      <c r="BD31" s="2" t="n">
        <v>2578</v>
      </c>
      <c r="BE31" s="2" t="inlineStr">
        <is>
          <t>annual</t>
        </is>
      </c>
      <c r="BF31" s="2" t="n">
        <v>5</v>
      </c>
      <c r="BG31" s="2" t="n">
        <v>0.6</v>
      </c>
      <c r="BH31" s="2" t="n"/>
      <c r="BI31" s="2" t="n"/>
      <c r="BJ31" t="n">
        <v>63</v>
      </c>
      <c r="BK31" t="n">
        <v>84</v>
      </c>
      <c r="BN31" t="n">
        <v>5586</v>
      </c>
      <c r="BO31" t="inlineStr">
        <is>
          <t>annual</t>
        </is>
      </c>
      <c r="BP31"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Atlanta Human Capital Development section. Cost: Table 13.4.</t>
        </is>
      </c>
      <c r="BQ31"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Atlanta Human Capital Development, Total row. 5-year net cost in 1999 dollars.</t>
        </is>
      </c>
      <c r="BR31" t="n">
        <v>5480</v>
      </c>
      <c r="BU31" t="inlineStr">
        <is>
          <t>GA</t>
        </is>
      </c>
      <c r="BV31" t="inlineStr">
        <is>
          <t>urban</t>
        </is>
      </c>
      <c r="BW31" t="n">
        <v>0</v>
      </c>
      <c r="BX31" t="n">
        <v>0</v>
      </c>
      <c r="BY31" t="n">
        <v>0</v>
      </c>
      <c r="BZ31" t="n">
        <v>0</v>
      </c>
      <c r="CA31" t="n">
        <v>0</v>
      </c>
      <c r="CB31" t="n">
        <v>0</v>
      </c>
      <c r="CC31" t="n">
        <v>0</v>
      </c>
      <c r="CD31" t="n">
        <v>0</v>
      </c>
      <c r="CE31" t="n">
        <v>19.3</v>
      </c>
      <c r="CF31" t="n">
        <v>54.8</v>
      </c>
      <c r="CG31" t="n">
        <v>25.8</v>
      </c>
      <c r="CH31" t="n">
        <v>35.3</v>
      </c>
    </row>
    <row r="32" ht="44.1" customHeight="1">
      <c r="A32" s="2" t="inlineStr">
        <is>
          <t>NEWWS</t>
        </is>
      </c>
      <c r="B32" s="2" t="inlineStr">
        <is>
          <t>Grand Rapids Human Capital Development</t>
        </is>
      </c>
      <c r="C32" s="2" t="inlineStr">
        <is>
          <t>NEWWS-Grand Rapids</t>
        </is>
      </c>
      <c r="D32" s="2" t="inlineStr">
        <is>
          <t>Education-focused (Human Capital Development) approach: emphasized basic education, GED preparation, post-secondary education, and vocational training. High rates of participation in education and training activities.</t>
        </is>
      </c>
      <c r="E32" s="2" t="inlineStr">
        <is>
          <t>primary</t>
        </is>
      </c>
      <c r="F32" s="2" t="n">
        <v>1</v>
      </c>
      <c r="G32" s="2" t="n">
        <v>0</v>
      </c>
      <c r="H32" s="2" t="n">
        <v>1</v>
      </c>
      <c r="I32" s="2" t="n">
        <v>1</v>
      </c>
      <c r="J32" s="2" t="inlineStr">
        <is>
          <t>case management, mandatory participation requirement</t>
        </is>
      </c>
      <c r="K32" s="2" t="inlineStr">
        <is>
          <t>mandatory</t>
        </is>
      </c>
      <c r="L32" s="2" t="inlineStr">
        <is>
          <t>public</t>
        </is>
      </c>
      <c r="M32" s="2" t="inlineStr">
        <is>
          <t>mixed</t>
        </is>
      </c>
      <c r="N32" s="2" t="inlineStr">
        <is>
          <t>October 1991 – June 1994</t>
        </is>
      </c>
      <c r="O32" t="n">
        <v>1993.125</v>
      </c>
      <c r="P32" s="2" t="inlineStr">
        <is>
          <t>welfare recipients (single-parent AFDC/TANF)</t>
        </is>
      </c>
      <c r="Q32" s="17" t="n">
        <v>28.2</v>
      </c>
      <c r="R32" s="2" t="n">
        <v>4.2</v>
      </c>
      <c r="S32" s="2" t="n">
        <v>50.1</v>
      </c>
      <c r="T32" s="2" t="n">
        <v>39.3</v>
      </c>
      <c r="U32" s="2">
        <f>8+0.3</f>
        <v/>
      </c>
      <c r="V32" s="2" t="n">
        <v>40.9</v>
      </c>
      <c r="W32" s="2" t="n">
        <v>11.4</v>
      </c>
      <c r="X32" s="2" t="n"/>
      <c r="Y32" s="2" t="n"/>
      <c r="Z32" s="2" t="n">
        <v>1542</v>
      </c>
      <c r="AA32" s="2" t="n">
        <v>1455</v>
      </c>
      <c r="AB32" s="2" t="n"/>
      <c r="AC32" s="2" t="n"/>
      <c r="AD32" s="2" t="n"/>
      <c r="AE32" s="2" t="n"/>
      <c r="AF32" s="2" t="n"/>
      <c r="AG32" s="2" t="n"/>
      <c r="AH32" s="2" t="n"/>
      <c r="AI32" s="2" t="n"/>
      <c r="AJ32" s="2" t="n"/>
      <c r="AK32" s="2" t="inlineStr">
        <is>
          <t>UI wage records</t>
        </is>
      </c>
      <c r="AL32" s="2" t="n">
        <v>1</v>
      </c>
      <c r="AM32" s="2" t="n">
        <v>5.3</v>
      </c>
      <c r="AN32" s="2" t="n"/>
      <c r="AO32" s="2" t="inlineStr">
        <is>
          <t>***</t>
        </is>
      </c>
      <c r="AP32" s="2" t="n">
        <v>52.9</v>
      </c>
      <c r="AQ32" s="2" t="n">
        <v>110</v>
      </c>
      <c r="AR32" s="2" t="n"/>
      <c r="AS32" s="2" t="n"/>
      <c r="AT32" s="2" t="n">
        <v>1759</v>
      </c>
      <c r="AU32" s="2" t="inlineStr">
        <is>
          <t>annual</t>
        </is>
      </c>
      <c r="AV32" s="2" t="n">
        <v>2</v>
      </c>
      <c r="AW32" s="2" t="n">
        <v>4.9</v>
      </c>
      <c r="AX32" s="2" t="n"/>
      <c r="AY32" s="2" t="inlineStr">
        <is>
          <t>***</t>
        </is>
      </c>
      <c r="AZ32" s="2" t="n">
        <v>60.6</v>
      </c>
      <c r="BA32" s="2" t="n">
        <v>479</v>
      </c>
      <c r="BB32" s="2" t="n"/>
      <c r="BC32" s="2" t="inlineStr">
        <is>
          <t>***</t>
        </is>
      </c>
      <c r="BD32" s="2" t="n">
        <v>2874</v>
      </c>
      <c r="BE32" s="2" t="inlineStr">
        <is>
          <t>annual</t>
        </is>
      </c>
      <c r="BF32" s="2" t="n">
        <v>5</v>
      </c>
      <c r="BG32" s="2" t="n">
        <v>-2.7</v>
      </c>
      <c r="BH32" s="2" t="n"/>
      <c r="BI32" s="2" t="inlineStr">
        <is>
          <t>*</t>
        </is>
      </c>
      <c r="BJ32" t="n">
        <v>73</v>
      </c>
      <c r="BK32" t="n">
        <v>-102</v>
      </c>
      <c r="BN32" t="n">
        <v>6447</v>
      </c>
      <c r="BO32" t="inlineStr">
        <is>
          <t>annual</t>
        </is>
      </c>
      <c r="BP32"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Grand Rapids Human Capital Development section. Cost: Table 13.4.</t>
        </is>
      </c>
      <c r="BQ32"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Grand Rapids Human Capital Development, Total row. 5-year net cost in 1999 dollars.</t>
        </is>
      </c>
      <c r="BR32" t="n">
        <v>3773</v>
      </c>
      <c r="BU32" t="inlineStr">
        <is>
          <t>MI</t>
        </is>
      </c>
      <c r="BV32" t="inlineStr">
        <is>
          <t>urban</t>
        </is>
      </c>
      <c r="BW32" t="n">
        <v>0</v>
      </c>
      <c r="BX32" t="n">
        <v>0</v>
      </c>
      <c r="BY32" t="n">
        <v>0</v>
      </c>
      <c r="BZ32" t="n">
        <v>0</v>
      </c>
      <c r="CA32" t="n">
        <v>0</v>
      </c>
      <c r="CB32" t="n">
        <v>0</v>
      </c>
      <c r="CC32" t="n">
        <v>0</v>
      </c>
      <c r="CD32" t="n">
        <v>0</v>
      </c>
      <c r="CE32" t="n">
        <v>17.1</v>
      </c>
      <c r="CF32" t="n">
        <v>63.9</v>
      </c>
      <c r="CG32" t="n">
        <v>14.1</v>
      </c>
      <c r="CH32" t="n">
        <v>55.2</v>
      </c>
    </row>
    <row r="33" ht="44.1" customHeight="1">
      <c r="A33" s="2" t="inlineStr">
        <is>
          <t>NEWWS</t>
        </is>
      </c>
      <c r="B33" s="2" t="inlineStr">
        <is>
          <t>Riverside Human Capital Development</t>
        </is>
      </c>
      <c r="C33" s="2" t="inlineStr">
        <is>
          <t>NEWWS-Riverside</t>
        </is>
      </c>
      <c r="D33" s="2" t="inlineStr">
        <is>
          <t>Education-focused (Human Capital Development) approach for welfare recipients lacking a high school diploma or GED: emphasized basic education, GED preparation, and vocational training. Riverside limited HCD enrollment to individuals determined by program regulations to need basic education.</t>
        </is>
      </c>
      <c r="E33" s="2" t="inlineStr">
        <is>
          <t>primary</t>
        </is>
      </c>
      <c r="F33" s="2" t="n">
        <v>1</v>
      </c>
      <c r="G33" s="2" t="n">
        <v>0</v>
      </c>
      <c r="H33" s="2" t="n">
        <v>1</v>
      </c>
      <c r="I33" s="2" t="n">
        <v>1</v>
      </c>
      <c r="J33" s="2" t="inlineStr">
        <is>
          <t>case management, mandatory participation requirement</t>
        </is>
      </c>
      <c r="K33" s="2" t="inlineStr">
        <is>
          <t>mandatory</t>
        </is>
      </c>
      <c r="L33" s="2" t="inlineStr">
        <is>
          <t>public</t>
        </is>
      </c>
      <c r="M33" s="2" t="inlineStr">
        <is>
          <t>mixed</t>
        </is>
      </c>
      <c r="N33" s="2" t="inlineStr">
        <is>
          <t>June 1991 – June 1994</t>
        </is>
      </c>
      <c r="O33" t="n">
        <v>1992.958</v>
      </c>
      <c r="P33" s="2" t="inlineStr">
        <is>
          <t>welfare recipients (single-parent AFDC/TANF)</t>
        </is>
      </c>
      <c r="Q33" s="2" t="n">
        <v>32</v>
      </c>
      <c r="R33" s="2" t="n">
        <v>10.6</v>
      </c>
      <c r="S33" s="2" t="n">
        <v>49</v>
      </c>
      <c r="T33" s="2" t="n">
        <v>16.7</v>
      </c>
      <c r="U33" s="2">
        <f>30.2</f>
        <v/>
      </c>
      <c r="V33" s="2" t="n">
        <v>43.8</v>
      </c>
      <c r="W33" s="2" t="n">
        <v>11</v>
      </c>
      <c r="X33" s="2" t="n"/>
      <c r="Y33" s="2" t="n"/>
      <c r="Z33" s="2" t="n">
        <v>1596</v>
      </c>
      <c r="AA33" s="2" t="n">
        <v>1539</v>
      </c>
      <c r="AB33" s="2" t="n"/>
      <c r="AC33" s="2" t="n"/>
      <c r="AD33" s="2" t="n"/>
      <c r="AE33" s="2" t="n"/>
      <c r="AF33" s="2" t="n"/>
      <c r="AG33" s="2" t="n"/>
      <c r="AH33" s="2" t="n"/>
      <c r="AI33" s="2" t="n"/>
      <c r="AJ33" s="2" t="n"/>
      <c r="AK33" s="2" t="inlineStr">
        <is>
          <t>UI wage records</t>
        </is>
      </c>
      <c r="AL33" s="2" t="n">
        <v>1</v>
      </c>
      <c r="AM33" s="2" t="n">
        <v>6.6</v>
      </c>
      <c r="AN33" s="2" t="n"/>
      <c r="AO33" s="2" t="inlineStr">
        <is>
          <t>***</t>
        </is>
      </c>
      <c r="AP33" s="2" t="n">
        <v>29.1</v>
      </c>
      <c r="AQ33" s="2" t="n">
        <v>196</v>
      </c>
      <c r="AR33" s="2" t="n"/>
      <c r="AS33" s="2" t="inlineStr">
        <is>
          <t>*</t>
        </is>
      </c>
      <c r="AT33" s="2" t="n">
        <v>1250</v>
      </c>
      <c r="AU33" s="2" t="inlineStr">
        <is>
          <t>annual</t>
        </is>
      </c>
      <c r="AV33" s="2" t="n">
        <v>2</v>
      </c>
      <c r="AW33" s="2" t="n">
        <v>5.8</v>
      </c>
      <c r="AX33" s="2" t="n"/>
      <c r="AY33" s="2" t="inlineStr">
        <is>
          <t>***</t>
        </is>
      </c>
      <c r="AZ33" s="2" t="n">
        <v>31.9</v>
      </c>
      <c r="BA33" s="2" t="n">
        <v>139</v>
      </c>
      <c r="BB33" s="2" t="n"/>
      <c r="BC33" s="2" t="n"/>
      <c r="BD33" s="2" t="n">
        <v>1886</v>
      </c>
      <c r="BE33" s="2" t="inlineStr">
        <is>
          <t>annual</t>
        </is>
      </c>
      <c r="BF33" s="2" t="n">
        <v>5</v>
      </c>
      <c r="BG33" s="2" t="n">
        <v>5</v>
      </c>
      <c r="BH33" s="2" t="n"/>
      <c r="BI33" s="2" t="inlineStr">
        <is>
          <t>***</t>
        </is>
      </c>
      <c r="BJ33" t="n">
        <v>39.9</v>
      </c>
      <c r="BK33" t="n">
        <v>359</v>
      </c>
      <c r="BN33" t="n">
        <v>3025</v>
      </c>
      <c r="BO33" t="inlineStr">
        <is>
          <t>annual</t>
        </is>
      </c>
      <c r="BP33"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Riverside Human Capital Development section. Cost: Table 13.4.</t>
        </is>
      </c>
      <c r="BQ33"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Riverside Human Capital Development, Total row. 5-year net cost in 1999 dollars.</t>
        </is>
      </c>
      <c r="BR33" t="n">
        <v>4573</v>
      </c>
      <c r="BU33" t="inlineStr">
        <is>
          <t>CA</t>
        </is>
      </c>
      <c r="BV33" t="inlineStr">
        <is>
          <t>urban</t>
        </is>
      </c>
      <c r="BW33" t="n">
        <v>0</v>
      </c>
      <c r="BX33" t="n">
        <v>0</v>
      </c>
      <c r="BY33" t="n">
        <v>0</v>
      </c>
      <c r="BZ33" t="n">
        <v>0</v>
      </c>
      <c r="CA33" t="n">
        <v>0</v>
      </c>
      <c r="CB33" t="n">
        <v>0</v>
      </c>
      <c r="CC33" t="n">
        <v>0</v>
      </c>
      <c r="CD33" t="n">
        <v>0</v>
      </c>
      <c r="CE33" t="n">
        <v>26.8</v>
      </c>
      <c r="CF33" t="n">
        <v>55.1</v>
      </c>
      <c r="CG33" t="n">
        <v>21.9</v>
      </c>
      <c r="CH33" t="n">
        <v>47.1</v>
      </c>
    </row>
    <row r="34" ht="44.1" customHeight="1">
      <c r="A34" s="2" t="inlineStr">
        <is>
          <t>NEWWS</t>
        </is>
      </c>
      <c r="B34" s="2" t="inlineStr">
        <is>
          <t>Columbus Integrated</t>
        </is>
      </c>
      <c r="C34" s="2" t="inlineStr">
        <is>
          <t>NEWWS-Columbus Intergrated</t>
        </is>
      </c>
      <c r="D34" s="2" t="inlineStr">
        <is>
          <t>Integrated case management model: a single case manager handled both eligibility determination and employment services. Program included job search, basic education, post-secondary education, vocational training, and work experience. Education and training activities were significant components.</t>
        </is>
      </c>
      <c r="E34" s="2" t="inlineStr">
        <is>
          <t>secondary</t>
        </is>
      </c>
      <c r="F34" s="2" t="n">
        <v>1</v>
      </c>
      <c r="G34" s="2" t="n">
        <v>1</v>
      </c>
      <c r="H34" s="2" t="n">
        <v>1</v>
      </c>
      <c r="I34" s="2" t="n">
        <v>1</v>
      </c>
      <c r="J34" s="2" t="inlineStr">
        <is>
          <t>integrated case management, mandatory participation requirement</t>
        </is>
      </c>
      <c r="K34" s="2" t="inlineStr">
        <is>
          <t>mandatory</t>
        </is>
      </c>
      <c r="L34" s="2" t="inlineStr">
        <is>
          <t>public</t>
        </is>
      </c>
      <c r="M34" s="2" t="inlineStr">
        <is>
          <t>mixed</t>
        </is>
      </c>
      <c r="N34" s="2" t="inlineStr">
        <is>
          <t>October 1992 – March 1994</t>
        </is>
      </c>
      <c r="O34" t="n">
        <v>1993.5</v>
      </c>
      <c r="P34" s="2" t="inlineStr">
        <is>
          <t>welfare recipients (single-parent AFDC/TANF)</t>
        </is>
      </c>
      <c r="Q34" s="2" t="n">
        <v>31.8</v>
      </c>
      <c r="R34" s="2" t="n">
        <v>6.5</v>
      </c>
      <c r="S34" s="2" t="n">
        <v>46.5</v>
      </c>
      <c r="T34" s="2" t="n">
        <v>52</v>
      </c>
      <c r="U34" s="2">
        <f>0.4+0</f>
        <v/>
      </c>
      <c r="V34" s="2" t="n">
        <v>42.3</v>
      </c>
      <c r="W34" s="2" t="n">
        <v>11.2</v>
      </c>
      <c r="X34" s="2" t="n"/>
      <c r="Y34" s="2" t="n"/>
      <c r="Z34" s="2" t="n">
        <v>2513</v>
      </c>
      <c r="AA34" s="2" t="n">
        <v>2159</v>
      </c>
      <c r="AB34" s="2" t="n"/>
      <c r="AC34" s="2" t="n"/>
      <c r="AD34" s="2" t="n"/>
      <c r="AE34" s="2" t="n"/>
      <c r="AF34" s="2" t="n"/>
      <c r="AG34" s="2" t="n"/>
      <c r="AH34" s="2" t="n"/>
      <c r="AI34" s="2" t="n"/>
      <c r="AJ34" s="2" t="n"/>
      <c r="AK34" s="2" t="inlineStr">
        <is>
          <t>UI wage records</t>
        </is>
      </c>
      <c r="AL34" s="2" t="n">
        <v>1</v>
      </c>
      <c r="AM34" s="2" t="n">
        <v>-0.1</v>
      </c>
      <c r="AN34" s="2" t="n"/>
      <c r="AO34" s="2" t="n"/>
      <c r="AP34" s="2" t="n">
        <v>60.1</v>
      </c>
      <c r="AQ34" s="2" t="n">
        <v>80</v>
      </c>
      <c r="AR34" s="2" t="n"/>
      <c r="AS34" s="2" t="n"/>
      <c r="AT34" s="2" t="n">
        <v>2914</v>
      </c>
      <c r="AU34" s="2" t="inlineStr">
        <is>
          <t>annual</t>
        </is>
      </c>
      <c r="AV34" s="2" t="n">
        <v>2</v>
      </c>
      <c r="AW34" s="2" t="n">
        <v>2.3</v>
      </c>
      <c r="AX34" s="2" t="n"/>
      <c r="AY34" s="2" t="inlineStr">
        <is>
          <t>*</t>
        </is>
      </c>
      <c r="AZ34" s="2" t="n">
        <v>62.9</v>
      </c>
      <c r="BA34" s="2" t="n">
        <v>595</v>
      </c>
      <c r="BB34" s="2" t="n"/>
      <c r="BC34" s="2" t="inlineStr">
        <is>
          <t>***</t>
        </is>
      </c>
      <c r="BD34" s="2" t="n">
        <v>3982</v>
      </c>
      <c r="BE34" s="2" t="inlineStr">
        <is>
          <t>annual</t>
        </is>
      </c>
      <c r="BF34" s="2" t="n">
        <v>5</v>
      </c>
      <c r="BG34" s="2" t="n">
        <v>0.3</v>
      </c>
      <c r="BH34" s="2" t="n"/>
      <c r="BI34" s="2" t="n"/>
      <c r="BJ34" t="n">
        <v>68.8</v>
      </c>
      <c r="BK34" t="n">
        <v>406</v>
      </c>
      <c r="BN34" t="n">
        <v>7276</v>
      </c>
      <c r="BO34" t="inlineStr">
        <is>
          <t>annual</t>
        </is>
      </c>
      <c r="BP34"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Columbus Integrated section. Cost: Table 13.4.</t>
        </is>
      </c>
      <c r="BQ34"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Columbus Integrated, Total row. 5-year net cost in 1999 dollars.</t>
        </is>
      </c>
      <c r="BR34" t="n">
        <v>4183</v>
      </c>
      <c r="BU34" t="inlineStr">
        <is>
          <t>OH</t>
        </is>
      </c>
      <c r="BV34" t="inlineStr">
        <is>
          <t>urban</t>
        </is>
      </c>
      <c r="BW34" t="n">
        <v>0</v>
      </c>
      <c r="BX34" t="n">
        <v>0</v>
      </c>
      <c r="BY34" t="n">
        <v>0</v>
      </c>
      <c r="BZ34" t="n">
        <v>0</v>
      </c>
      <c r="CA34" t="n">
        <v>0</v>
      </c>
      <c r="CB34" t="n">
        <v>0</v>
      </c>
      <c r="CC34" t="n">
        <v>0</v>
      </c>
      <c r="CD34" t="n">
        <v>0</v>
      </c>
    </row>
    <row r="35" ht="44.1" customHeight="1">
      <c r="A35" s="2" t="inlineStr">
        <is>
          <t>NEWWS</t>
        </is>
      </c>
      <c r="B35" s="2" t="inlineStr">
        <is>
          <t>Columbus Traditional</t>
        </is>
      </c>
      <c r="C35" s="2" t="inlineStr">
        <is>
          <t>NEWWS-Columbus Traditional</t>
        </is>
      </c>
      <c r="D35" s="2" t="inlineStr">
        <is>
          <t>Traditional case management model: separate workers handled eligibility determination and employment services. Program included job search, basic education, post-secondary education, vocational training, and work experience. Similar services to Integrated but different organizational structure.</t>
        </is>
      </c>
      <c r="E35" s="2" t="inlineStr">
        <is>
          <t>secondary</t>
        </is>
      </c>
      <c r="F35" s="2" t="n">
        <v>1</v>
      </c>
      <c r="G35" s="2" t="n">
        <v>1</v>
      </c>
      <c r="H35" s="2" t="n">
        <v>1</v>
      </c>
      <c r="I35" s="2" t="n">
        <v>1</v>
      </c>
      <c r="J35" s="2" t="inlineStr">
        <is>
          <t>traditional (separate) case management, mandatory participation requirement</t>
        </is>
      </c>
      <c r="K35" s="2" t="inlineStr">
        <is>
          <t>mandatory</t>
        </is>
      </c>
      <c r="L35" s="2" t="inlineStr">
        <is>
          <t>public</t>
        </is>
      </c>
      <c r="M35" s="2" t="inlineStr">
        <is>
          <t>mixed</t>
        </is>
      </c>
      <c r="N35" s="2" t="inlineStr">
        <is>
          <t>October 1992 – March 1994</t>
        </is>
      </c>
      <c r="O35" t="n">
        <v>1993.5</v>
      </c>
      <c r="P35" s="2" t="inlineStr">
        <is>
          <t>welfare recipients (single-parent AFDC/TANF)</t>
        </is>
      </c>
      <c r="Q35" s="2" t="n">
        <v>31.8</v>
      </c>
      <c r="R35" s="2" t="n">
        <v>6.5</v>
      </c>
      <c r="S35" s="2" t="n">
        <v>46.5</v>
      </c>
      <c r="T35" s="2" t="n">
        <v>52</v>
      </c>
      <c r="U35" s="2">
        <f>0.4+0</f>
        <v/>
      </c>
      <c r="V35" s="2" t="n">
        <v>42.3</v>
      </c>
      <c r="W35" s="2" t="n">
        <v>11.2</v>
      </c>
      <c r="X35" s="2" t="n"/>
      <c r="Y35" s="2" t="n"/>
      <c r="Z35" s="2" t="n">
        <v>2570</v>
      </c>
      <c r="AA35" s="2" t="n">
        <v>2159</v>
      </c>
      <c r="AB35" s="2" t="n"/>
      <c r="AC35" s="2" t="n"/>
      <c r="AD35" s="2" t="n"/>
      <c r="AE35" s="2" t="n"/>
      <c r="AF35" s="2" t="n"/>
      <c r="AG35" s="2" t="n"/>
      <c r="AH35" s="2" t="n"/>
      <c r="AI35" s="2" t="n"/>
      <c r="AJ35" s="2" t="n"/>
      <c r="AK35" s="2" t="inlineStr">
        <is>
          <t>UI wage records</t>
        </is>
      </c>
      <c r="AL35" s="2" t="n">
        <v>1</v>
      </c>
      <c r="AM35" s="2" t="n">
        <v>-0.1</v>
      </c>
      <c r="AN35" s="2" t="n"/>
      <c r="AO35" s="2" t="n"/>
      <c r="AP35" s="2" t="n">
        <v>60.1</v>
      </c>
      <c r="AQ35" s="2" t="n">
        <v>185</v>
      </c>
      <c r="AR35" s="2" t="n"/>
      <c r="AS35" s="2" t="n"/>
      <c r="AT35" s="2" t="n">
        <v>2914</v>
      </c>
      <c r="AU35" s="2" t="inlineStr">
        <is>
          <t>annual</t>
        </is>
      </c>
      <c r="AV35" s="2" t="n">
        <v>2</v>
      </c>
      <c r="AW35" s="2" t="n">
        <v>1.6</v>
      </c>
      <c r="AX35" s="2" t="n"/>
      <c r="AY35" s="2" t="n"/>
      <c r="AZ35" s="2" t="n">
        <v>62.9</v>
      </c>
      <c r="BA35" s="2" t="n">
        <v>490</v>
      </c>
      <c r="BB35" s="2" t="n"/>
      <c r="BC35" s="2" t="inlineStr">
        <is>
          <t>***</t>
        </is>
      </c>
      <c r="BD35" s="2" t="n">
        <v>3982</v>
      </c>
      <c r="BE35" s="2" t="inlineStr">
        <is>
          <t>annual</t>
        </is>
      </c>
      <c r="BF35" s="2" t="n">
        <v>5</v>
      </c>
      <c r="BG35" s="2" t="n">
        <v>0.5</v>
      </c>
      <c r="BH35" s="2" t="n"/>
      <c r="BI35" s="2" t="n"/>
      <c r="BJ35" t="n">
        <v>68.8</v>
      </c>
      <c r="BK35" t="n">
        <v>113</v>
      </c>
      <c r="BN35" t="n">
        <v>7276</v>
      </c>
      <c r="BO35" t="inlineStr">
        <is>
          <t>annual</t>
        </is>
      </c>
      <c r="BP35"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Columbus Traditional section. Cost: Table 13.4.</t>
        </is>
      </c>
      <c r="BQ35"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Columbus Traditional, Total row. 5-year net cost in 1999 dollars.</t>
        </is>
      </c>
      <c r="BR35" t="n">
        <v>3772</v>
      </c>
      <c r="BU35" t="inlineStr">
        <is>
          <t>OH</t>
        </is>
      </c>
      <c r="BV35" t="inlineStr">
        <is>
          <t>urban</t>
        </is>
      </c>
      <c r="BW35" t="n">
        <v>0</v>
      </c>
      <c r="BX35" t="n">
        <v>0</v>
      </c>
      <c r="BY35" t="n">
        <v>0</v>
      </c>
      <c r="BZ35" t="n">
        <v>0</v>
      </c>
      <c r="CA35" t="n">
        <v>0</v>
      </c>
      <c r="CB35" t="n">
        <v>0</v>
      </c>
      <c r="CC35" t="n">
        <v>0</v>
      </c>
      <c r="CD35" t="n">
        <v>0</v>
      </c>
    </row>
    <row r="36" ht="44.1" customHeight="1">
      <c r="A36" s="2" t="inlineStr">
        <is>
          <t>NEWWS</t>
        </is>
      </c>
      <c r="B36" s="2" t="inlineStr">
        <is>
          <t>Detroit MOST</t>
        </is>
      </c>
      <c r="C36" s="2" t="inlineStr">
        <is>
          <t>NEWWS-Detroit</t>
        </is>
      </c>
      <c r="D36" s="2" t="inlineStr">
        <is>
          <t>Michigan Opportunity and Skills Training (MOST): combined education and training with job search assistance. Emphasized basic education, vocational training, and work experience. Due to data limitations, education and training components could not be separated.</t>
        </is>
      </c>
      <c r="E36" s="2" t="inlineStr">
        <is>
          <t>primary</t>
        </is>
      </c>
      <c r="F36" s="2" t="n">
        <v>1</v>
      </c>
      <c r="G36" s="2" t="n">
        <v>1</v>
      </c>
      <c r="H36" s="2" t="n">
        <v>1</v>
      </c>
      <c r="I36" s="2" t="n">
        <v>1</v>
      </c>
      <c r="J36" s="2" t="inlineStr">
        <is>
          <t>case management, mandatory participation requirement</t>
        </is>
      </c>
      <c r="K36" s="2" t="inlineStr">
        <is>
          <t>mandatory</t>
        </is>
      </c>
      <c r="L36" s="2" t="inlineStr">
        <is>
          <t>public</t>
        </is>
      </c>
      <c r="M36" s="2" t="inlineStr">
        <is>
          <t>mixed</t>
        </is>
      </c>
      <c r="N36" s="2" t="inlineStr">
        <is>
          <t>September 1992 – March 1994</t>
        </is>
      </c>
      <c r="O36" t="n">
        <v>1993.458</v>
      </c>
      <c r="P36" s="2" t="inlineStr">
        <is>
          <t>welfare recipients (single-parent AFDC/TANF)</t>
        </is>
      </c>
      <c r="Q36" s="2" t="n">
        <v>30</v>
      </c>
      <c r="R36" s="2" t="n">
        <v>3.3</v>
      </c>
      <c r="S36" s="2" t="n">
        <v>11</v>
      </c>
      <c r="T36" s="2" t="n">
        <v>87.3</v>
      </c>
      <c r="U36" s="2">
        <f>0.8+0</f>
        <v/>
      </c>
      <c r="V36" s="2" t="n">
        <v>43.2</v>
      </c>
      <c r="W36" s="2" t="n">
        <v>11.2</v>
      </c>
      <c r="X36" s="2" t="n"/>
      <c r="Y36" s="2" t="n"/>
      <c r="Z36" s="2" t="n">
        <v>2226</v>
      </c>
      <c r="AA36" s="2" t="n">
        <v>2233</v>
      </c>
      <c r="AB36" s="2" t="n"/>
      <c r="AC36" s="2" t="n"/>
      <c r="AD36" s="2" t="n"/>
      <c r="AE36" s="2" t="n"/>
      <c r="AF36" s="2" t="n"/>
      <c r="AG36" s="2" t="n"/>
      <c r="AH36" s="2" t="n"/>
      <c r="AI36" s="2" t="n"/>
      <c r="AJ36" s="2" t="n"/>
      <c r="AK36" s="2" t="inlineStr">
        <is>
          <t>UI wage records</t>
        </is>
      </c>
      <c r="AL36" s="2" t="n">
        <v>1</v>
      </c>
      <c r="AM36" s="2" t="n">
        <v>0.6</v>
      </c>
      <c r="AN36" s="2" t="n"/>
      <c r="AO36" s="2" t="n"/>
      <c r="AP36" s="2" t="n">
        <v>40.6</v>
      </c>
      <c r="AQ36" s="2" t="n">
        <v>57</v>
      </c>
      <c r="AR36" s="2" t="n"/>
      <c r="AS36" s="2" t="n"/>
      <c r="AT36" s="2" t="n">
        <v>1341</v>
      </c>
      <c r="AU36" s="2" t="inlineStr">
        <is>
          <t>annual</t>
        </is>
      </c>
      <c r="AV36" s="2" t="n">
        <v>2</v>
      </c>
      <c r="AW36" s="2" t="n">
        <v>2.6</v>
      </c>
      <c r="AX36" s="2" t="n"/>
      <c r="AY36" s="2" t="inlineStr">
        <is>
          <t>*</t>
        </is>
      </c>
      <c r="AZ36" s="2" t="n">
        <v>51.5</v>
      </c>
      <c r="BA36" s="2" t="n">
        <v>313</v>
      </c>
      <c r="BB36" s="2" t="n"/>
      <c r="BC36" s="2" t="inlineStr">
        <is>
          <t>**</t>
        </is>
      </c>
      <c r="BD36" s="2" t="n">
        <v>2663</v>
      </c>
      <c r="BE36" s="2" t="inlineStr">
        <is>
          <t>annual</t>
        </is>
      </c>
      <c r="BF36" s="2" t="n">
        <v>5</v>
      </c>
      <c r="BG36" s="2" t="n">
        <v>0</v>
      </c>
      <c r="BH36" s="2" t="n"/>
      <c r="BI36" s="2" t="n"/>
      <c r="BJ36" t="n">
        <v>68.8</v>
      </c>
      <c r="BK36" t="n">
        <v>258</v>
      </c>
      <c r="BN36" t="n">
        <v>6823</v>
      </c>
      <c r="BO36" t="inlineStr">
        <is>
          <t>annual</t>
        </is>
      </c>
      <c r="BP36"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Detroit MOST section. Cost: Table 13.4.</t>
        </is>
      </c>
      <c r="BQ36"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Detroit, Total row. 5-year net cost in 1999 dollars.</t>
        </is>
      </c>
      <c r="BR36" t="n">
        <v>2053</v>
      </c>
      <c r="BU36" t="inlineStr">
        <is>
          <t>MI</t>
        </is>
      </c>
      <c r="BV36" t="inlineStr">
        <is>
          <t>urban</t>
        </is>
      </c>
      <c r="BW36" t="n">
        <v>0</v>
      </c>
      <c r="BX36" t="n">
        <v>0</v>
      </c>
      <c r="BY36" t="n">
        <v>0</v>
      </c>
      <c r="BZ36" t="n">
        <v>0</v>
      </c>
      <c r="CA36" t="n">
        <v>0</v>
      </c>
      <c r="CB36" t="n">
        <v>0</v>
      </c>
      <c r="CC36" t="n">
        <v>0</v>
      </c>
      <c r="CD36" t="n">
        <v>0</v>
      </c>
    </row>
    <row r="37" ht="44.1" customHeight="1">
      <c r="A37" s="2" t="inlineStr">
        <is>
          <t>NEWWS</t>
        </is>
      </c>
      <c r="B37" s="2" t="inlineStr">
        <is>
          <t>Oklahoma City ET&amp;E</t>
        </is>
      </c>
      <c r="C37" s="2" t="inlineStr">
        <is>
          <t>NEWWS-Oklahoma City</t>
        </is>
      </c>
      <c r="D37" s="2" t="inlineStr">
        <is>
          <t>Education, Training, and Employment (ET&amp;E) program: welfare-to-work program emphasizing education and training alongside employment activities. Included basic education, vocational training, and job search components.</t>
        </is>
      </c>
      <c r="E37" s="2" t="inlineStr">
        <is>
          <t>secondary</t>
        </is>
      </c>
      <c r="F37" s="2" t="n">
        <v>1</v>
      </c>
      <c r="G37" s="2" t="n">
        <v>0</v>
      </c>
      <c r="H37" s="2" t="n">
        <v>1</v>
      </c>
      <c r="I37" s="2" t="n">
        <v>1</v>
      </c>
      <c r="J37" s="2" t="inlineStr">
        <is>
          <t>case management, mandatory participation requirement</t>
        </is>
      </c>
      <c r="K37" s="2" t="inlineStr">
        <is>
          <t>mandatory</t>
        </is>
      </c>
      <c r="L37" s="2" t="inlineStr">
        <is>
          <t>public</t>
        </is>
      </c>
      <c r="M37" s="2" t="inlineStr">
        <is>
          <t>mixed</t>
        </is>
      </c>
      <c r="N37" s="2" t="inlineStr">
        <is>
          <t>April 1991 – February 1994</t>
        </is>
      </c>
      <c r="O37" t="n">
        <v>1992.708</v>
      </c>
      <c r="P37" s="2" t="inlineStr">
        <is>
          <t>welfare recipients (single-parent AFDC/TANF)</t>
        </is>
      </c>
      <c r="Q37" s="2" t="n">
        <v>28.1</v>
      </c>
      <c r="R37" s="2" t="n">
        <v>6.9</v>
      </c>
      <c r="S37" s="2" t="n">
        <v>59.4</v>
      </c>
      <c r="T37" s="2" t="n">
        <v>28.9</v>
      </c>
      <c r="U37" s="2">
        <f>4.3+0.3</f>
        <v/>
      </c>
      <c r="V37" s="2" t="n">
        <v>44.6</v>
      </c>
      <c r="W37" s="2" t="n">
        <v>11.1</v>
      </c>
      <c r="X37" s="2" t="n"/>
      <c r="Y37" s="2" t="n"/>
      <c r="Z37" s="2" t="n">
        <v>4309</v>
      </c>
      <c r="AA37" s="2" t="n">
        <v>4368</v>
      </c>
      <c r="AB37" s="2" t="n"/>
      <c r="AC37" s="2" t="n"/>
      <c r="AD37" s="2" t="n"/>
      <c r="AE37" s="2" t="n"/>
      <c r="AF37" s="2" t="n"/>
      <c r="AG37" s="2" t="n"/>
      <c r="AH37" s="2" t="n"/>
      <c r="AI37" s="2" t="n"/>
      <c r="AJ37" s="2" t="n"/>
      <c r="AK37" s="2" t="inlineStr">
        <is>
          <t>UI wage records</t>
        </is>
      </c>
      <c r="AL37" s="2" t="n">
        <v>1</v>
      </c>
      <c r="AM37" s="2" t="n">
        <v>-0.7</v>
      </c>
      <c r="AN37" s="2" t="n"/>
      <c r="AO37" s="2" t="n"/>
      <c r="AP37" s="2" t="n">
        <v>51.6</v>
      </c>
      <c r="AQ37" s="2" t="n">
        <v>16</v>
      </c>
      <c r="AR37" s="2" t="n"/>
      <c r="AS37" s="2" t="n"/>
      <c r="AT37" s="2" t="n">
        <v>1387</v>
      </c>
      <c r="AU37" s="2" t="inlineStr">
        <is>
          <t>annual</t>
        </is>
      </c>
      <c r="AV37" s="2" t="n">
        <v>2</v>
      </c>
      <c r="AW37" s="2" t="n">
        <v>-0.6</v>
      </c>
      <c r="AX37" s="2" t="n"/>
      <c r="AY37" s="2" t="n"/>
      <c r="AZ37" s="2" t="n">
        <v>51.6</v>
      </c>
      <c r="BA37" s="2" t="n">
        <v>-5</v>
      </c>
      <c r="BB37" s="2" t="n"/>
      <c r="BC37" s="2" t="n"/>
      <c r="BD37" s="2" t="n">
        <v>2127</v>
      </c>
      <c r="BE37" s="2" t="inlineStr">
        <is>
          <t>annual</t>
        </is>
      </c>
      <c r="BF37" s="2" t="n">
        <v>5</v>
      </c>
      <c r="BG37" s="2" t="n">
        <v>-1</v>
      </c>
      <c r="BH37" s="2" t="n"/>
      <c r="BI37" s="2" t="n"/>
      <c r="BJ37" t="n">
        <v>54.2</v>
      </c>
      <c r="BK37" t="n">
        <v>100</v>
      </c>
      <c r="BN37" t="n">
        <v>3498</v>
      </c>
      <c r="BO37" t="inlineStr">
        <is>
          <t>annual</t>
        </is>
      </c>
      <c r="BP37"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Oklahoma City ET&amp;E section. Cost: Table 13.4.</t>
        </is>
      </c>
      <c r="BQ37"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Oklahoma City not included in Table 13.4; cost data not reported for this site.</t>
        </is>
      </c>
      <c r="BU37" t="inlineStr">
        <is>
          <t>OK</t>
        </is>
      </c>
      <c r="BV37" t="inlineStr">
        <is>
          <t>urban</t>
        </is>
      </c>
      <c r="BW37" t="n">
        <v>0</v>
      </c>
      <c r="BX37" t="n">
        <v>0</v>
      </c>
      <c r="BY37" t="n">
        <v>0</v>
      </c>
      <c r="BZ37" t="n">
        <v>0</v>
      </c>
      <c r="CA37" t="n">
        <v>0</v>
      </c>
      <c r="CB37" t="n">
        <v>0</v>
      </c>
      <c r="CC37" t="n">
        <v>0</v>
      </c>
      <c r="CD37" t="n">
        <v>0</v>
      </c>
    </row>
    <row r="38" ht="44.1" customHeight="1">
      <c r="A38" s="2" t="inlineStr">
        <is>
          <t>NEWWS</t>
        </is>
      </c>
      <c r="B38" s="2" t="inlineStr">
        <is>
          <t>Portland JOBS</t>
        </is>
      </c>
      <c r="C38" s="2" t="inlineStr">
        <is>
          <t>NEWWS-Portland</t>
        </is>
      </c>
      <c r="D38" s="2" t="inlineStr">
        <is>
          <t>Portland JOBS program: a mixed approach combining elements of both employment-focused and education-focused strategies. Emphasized rapid employment for job-ready individuals and education/training for those who needed it. Known as the most effective NEWWS program. Included job search, basic education, post-secondary education, and vocational training.</t>
        </is>
      </c>
      <c r="E38" s="2" t="inlineStr">
        <is>
          <t>secondary</t>
        </is>
      </c>
      <c r="F38" s="2" t="n">
        <v>1</v>
      </c>
      <c r="G38" s="2" t="n">
        <v>0</v>
      </c>
      <c r="H38" s="2" t="n">
        <v>1</v>
      </c>
      <c r="I38" s="2" t="n">
        <v>1</v>
      </c>
      <c r="J38" s="2" t="inlineStr">
        <is>
          <t>case management, mandatory participation requirement, mixed LFA/HCD approach</t>
        </is>
      </c>
      <c r="K38" s="2" t="inlineStr">
        <is>
          <t>mandatory</t>
        </is>
      </c>
      <c r="L38" s="2" t="inlineStr">
        <is>
          <t>public</t>
        </is>
      </c>
      <c r="M38" s="2" t="inlineStr">
        <is>
          <t>mixed</t>
        </is>
      </c>
      <c r="N38" s="2" t="inlineStr">
        <is>
          <t>February 1993 – December 1994</t>
        </is>
      </c>
      <c r="O38" t="n">
        <v>1994.042</v>
      </c>
      <c r="P38" s="2" t="inlineStr">
        <is>
          <t>welfare recipients (single-parent AFDC/TANF)</t>
        </is>
      </c>
      <c r="Q38" s="2" t="n">
        <v>30.4</v>
      </c>
      <c r="R38" s="2" t="n">
        <v>6.7</v>
      </c>
      <c r="S38" s="2" t="n">
        <v>69.5</v>
      </c>
      <c r="T38" s="2" t="n">
        <v>20.1</v>
      </c>
      <c r="U38" s="2">
        <f>3.9+0.3</f>
        <v/>
      </c>
      <c r="V38" s="2" t="n">
        <v>32.3</v>
      </c>
      <c r="W38" s="2" t="n">
        <v>11.3</v>
      </c>
      <c r="X38" s="2" t="n"/>
      <c r="Y38" s="2" t="n"/>
      <c r="Z38" s="2" t="n">
        <v>3529</v>
      </c>
      <c r="AA38" s="2" t="n">
        <v>499</v>
      </c>
      <c r="AB38" s="2" t="n"/>
      <c r="AC38" s="2" t="n"/>
      <c r="AD38" s="2" t="n"/>
      <c r="AE38" s="2" t="n"/>
      <c r="AF38" s="2" t="n"/>
      <c r="AG38" s="2" t="n"/>
      <c r="AH38" s="2" t="n"/>
      <c r="AI38" s="2" t="n"/>
      <c r="AJ38" s="2" t="n"/>
      <c r="AK38" s="2" t="inlineStr">
        <is>
          <t>UI wage records</t>
        </is>
      </c>
      <c r="AL38" s="2" t="n">
        <v>1</v>
      </c>
      <c r="AM38" s="2" t="n">
        <v>8.6</v>
      </c>
      <c r="AN38" s="2" t="n"/>
      <c r="AO38" s="2" t="inlineStr">
        <is>
          <t>***</t>
        </is>
      </c>
      <c r="AP38" s="2" t="n">
        <v>49.8</v>
      </c>
      <c r="AQ38" s="2" t="n">
        <v>343</v>
      </c>
      <c r="AR38" s="2" t="n"/>
      <c r="AS38" s="2" t="inlineStr">
        <is>
          <t>*</t>
        </is>
      </c>
      <c r="AT38" s="2" t="n">
        <v>2484</v>
      </c>
      <c r="AU38" s="2" t="inlineStr">
        <is>
          <t>annual</t>
        </is>
      </c>
      <c r="AV38" s="2" t="n">
        <v>2</v>
      </c>
      <c r="AW38" s="2" t="n">
        <v>10.9</v>
      </c>
      <c r="AX38" s="2" t="n"/>
      <c r="AY38" s="2" t="inlineStr">
        <is>
          <t>***</t>
        </is>
      </c>
      <c r="AZ38" s="2" t="n">
        <v>51.4</v>
      </c>
      <c r="BA38" s="2" t="n">
        <v>1271</v>
      </c>
      <c r="BB38" s="2" t="n"/>
      <c r="BC38" s="2" t="inlineStr">
        <is>
          <t>***</t>
        </is>
      </c>
      <c r="BD38" s="2" t="n">
        <v>3150</v>
      </c>
      <c r="BE38" s="2" t="inlineStr">
        <is>
          <t>annual</t>
        </is>
      </c>
      <c r="BF38" s="2" t="n">
        <v>5</v>
      </c>
      <c r="BG38" s="2" t="n">
        <v>3.8</v>
      </c>
      <c r="BH38" s="2" t="n"/>
      <c r="BI38" s="2" t="inlineStr">
        <is>
          <t>*</t>
        </is>
      </c>
      <c r="BJ38" t="n">
        <v>58.6</v>
      </c>
      <c r="BK38" t="n">
        <v>887</v>
      </c>
      <c r="BM38" t="inlineStr">
        <is>
          <t>**</t>
        </is>
      </c>
      <c r="BN38" t="n">
        <v>6095</v>
      </c>
      <c r="BO38" t="inlineStr">
        <is>
          <t>annual</t>
        </is>
      </c>
      <c r="BP38"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Portland JOBS section. Cost: Table 13.4.</t>
        </is>
      </c>
      <c r="BQ38"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Portland, Total row. 5-year net cost in 1999 dollars.</t>
        </is>
      </c>
      <c r="BR38" t="n">
        <v>2865</v>
      </c>
      <c r="BU38" t="inlineStr">
        <is>
          <t>OR</t>
        </is>
      </c>
      <c r="BV38" t="inlineStr">
        <is>
          <t>urban</t>
        </is>
      </c>
      <c r="BW38" t="n">
        <v>0</v>
      </c>
      <c r="BX38" t="n">
        <v>0</v>
      </c>
      <c r="BY38" t="n">
        <v>0</v>
      </c>
      <c r="BZ38" t="n">
        <v>0</v>
      </c>
      <c r="CA38" t="n">
        <v>0</v>
      </c>
      <c r="CB38" t="n">
        <v>0</v>
      </c>
      <c r="CC38" t="n">
        <v>0</v>
      </c>
      <c r="CD38" t="n">
        <v>0</v>
      </c>
      <c r="CE38" t="n">
        <v>8.800000000000001</v>
      </c>
      <c r="CF38" t="n">
        <v>75</v>
      </c>
      <c r="CG38" t="n">
        <v>12.5</v>
      </c>
      <c r="CH38" t="n">
        <v>55</v>
      </c>
    </row>
    <row r="39" ht="44.1" customHeight="1">
      <c r="A39" s="2" t="inlineStr">
        <is>
          <t>PACE</t>
        </is>
      </c>
      <c r="B39" s="2" t="inlineStr">
        <is>
          <t>Bridge to Employment (San Diego)</t>
        </is>
      </c>
      <c r="C39" s="2" t="inlineStr">
        <is>
          <t>Bridge to Employment</t>
        </is>
      </c>
      <c r="D39" s="2" t="inlineStr">
        <is>
          <t>Consumer choice model: participants received Individual Training Account voucher to fund healthcare training at any accredited community college or private for-profit school. Community-based 'navigators' helped guide career path selection, training program choice, and provider selection. Navigators also helped access supports to address challenges to enrollment and persistence. (Juras et al. 2022, p.8)</t>
        </is>
      </c>
      <c r="E39" s="2" t="inlineStr">
        <is>
          <t>primary</t>
        </is>
      </c>
      <c r="F39" s="2" t="n">
        <v>1</v>
      </c>
      <c r="G39" s="2" t="n">
        <v>0</v>
      </c>
      <c r="H39" s="2" t="n">
        <v>1</v>
      </c>
      <c r="I39" s="2" t="n">
        <v>1</v>
      </c>
      <c r="J39" s="2" t="inlineStr">
        <is>
          <t>Individual Training Account voucher; navigator support; financial assistance</t>
        </is>
      </c>
      <c r="K39" s="2" t="inlineStr">
        <is>
          <t>voluntary</t>
        </is>
      </c>
      <c r="L39" s="2" t="inlineStr">
        <is>
          <t>public</t>
        </is>
      </c>
      <c r="M39" s="2" t="inlineStr">
        <is>
          <t>public</t>
        </is>
      </c>
      <c r="N39" s="2" t="inlineStr">
        <is>
          <t>November 2011 – December 2014</t>
        </is>
      </c>
      <c r="O39" t="n">
        <v>2013.417</v>
      </c>
      <c r="P39" s="2" t="inlineStr">
        <is>
          <t>low-income adults seeking healthcare training</t>
        </is>
      </c>
      <c r="Q39" s="2" t="n"/>
      <c r="R39" s="2" t="n">
        <v>16.3</v>
      </c>
      <c r="S39" s="2" t="n">
        <v>19.5</v>
      </c>
      <c r="T39" s="2" t="n">
        <v>21.6</v>
      </c>
      <c r="U39" s="2" t="n">
        <v>46.5</v>
      </c>
      <c r="V39" s="2" t="n">
        <v>3.6</v>
      </c>
      <c r="W39" s="2" t="n"/>
      <c r="X39" s="2" t="n"/>
      <c r="Y39" s="2" t="n"/>
      <c r="Z39" s="2" t="n">
        <v>493</v>
      </c>
      <c r="AA39" s="2" t="n">
        <v>481</v>
      </c>
      <c r="AB39" s="2" t="n"/>
      <c r="AC39" s="2" t="n"/>
      <c r="AD39" s="2" t="n"/>
      <c r="AE39" s="2" t="n"/>
      <c r="AF39" s="2" t="n"/>
      <c r="AG39" s="2" t="n"/>
      <c r="AH39" s="2" t="n"/>
      <c r="AI39" s="2" t="n"/>
      <c r="AJ39" s="2" t="n"/>
      <c r="AK39" s="2" t="inlineStr">
        <is>
          <t>NDNH wage records</t>
        </is>
      </c>
      <c r="AL39" s="2" t="n">
        <v>1</v>
      </c>
      <c r="AM39" s="2" t="n"/>
      <c r="AN39" s="2" t="n"/>
      <c r="AO39" s="2" t="n"/>
      <c r="AP39" s="2" t="n"/>
      <c r="AQ39" s="2" t="n">
        <v>-763</v>
      </c>
      <c r="AR39" s="2" t="n">
        <v>454</v>
      </c>
      <c r="AS39" s="2" t="inlineStr">
        <is>
          <t>*</t>
        </is>
      </c>
      <c r="AT39" s="2" t="n">
        <v>8739</v>
      </c>
      <c r="AU39" s="2" t="inlineStr">
        <is>
          <t>annual (total over Q0-3)</t>
        </is>
      </c>
      <c r="AV39" s="2" t="n">
        <v>2</v>
      </c>
      <c r="AW39" s="2" t="n"/>
      <c r="AX39" s="2" t="n"/>
      <c r="AY39" s="2" t="n"/>
      <c r="AZ39" s="2" t="n"/>
      <c r="BA39" s="2" t="n">
        <v>230</v>
      </c>
      <c r="BB39" s="2" t="n">
        <v>752</v>
      </c>
      <c r="BC39" s="2" t="n"/>
      <c r="BD39" s="2" t="n">
        <v>13607</v>
      </c>
      <c r="BE39" s="2" t="inlineStr">
        <is>
          <t>annual (total over Q4-7)</t>
        </is>
      </c>
      <c r="BF39" s="2" t="n">
        <v>6</v>
      </c>
      <c r="BG39" s="2" t="n">
        <v>-2.5</v>
      </c>
      <c r="BH39" s="2" t="n">
        <v>2.8</v>
      </c>
      <c r="BI39" s="2" t="n"/>
      <c r="BJ39" t="n">
        <v>75.3</v>
      </c>
      <c r="BK39" t="n">
        <v>-73</v>
      </c>
      <c r="BL39" t="n">
        <v>363</v>
      </c>
      <c r="BN39" t="n">
        <v>6372</v>
      </c>
      <c r="BO39" t="inlineStr">
        <is>
          <t>quarterly (average of Q23 and Q24)</t>
        </is>
      </c>
      <c r="BP39"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39" t="inlineStr">
        <is>
          <t>Bridge to Employment used a consumer choice model with Individual Training Account vouchers. Most participants used vouchers for short-term training at private for-profit schools. No detectable earnings impacts at any horizon. Year 1 (Q0-3) shows lock-in: participants in training, earnings temporarily depressed. Significance: one-sided test for confirmatory outcome, two-sided for exploratory. *** p&lt;0.01, ** p&lt;0.05, * p&lt;0.10. Employment: Q24 employed 72.8% T vs 75.3% C, impact -2.5 (SE 2.8), not significant. Demographics not extracted from this cross-site report; available in individual program reports. V13 UPDATE: cost_per_treated = $3018, net cost to society (treatment - control). Farrell, Juras, Judkins, and Dastrup (2020), Three-Year Impact Report, Exhibit 6-2. Net cost to society = treatment ($12,941) - control ($9,923) = $3,018. Demographics (sex, race/ethnicity, less-than-high-school) from PACE Cross-Program Implementation and Impact Study Findings (Abt 2017), Appendix B, p. B-2. Mean age not reported by source; only age bins (Under 21 / 21-24 / 25-34 / 35+) given.</t>
        </is>
      </c>
      <c r="BR39" t="n">
        <v>3018</v>
      </c>
      <c r="BT39" t="inlineStr">
        <is>
          <t>No B-C analysis. Juras et al. 2022 (PACE cross-site report) contains cost data but no benefit-cost analysis. Individual site reports are impact-only.</t>
        </is>
      </c>
      <c r="BU39" t="inlineStr">
        <is>
          <t>CA</t>
        </is>
      </c>
      <c r="BV39" t="inlineStr">
        <is>
          <t>urban</t>
        </is>
      </c>
      <c r="BW39" t="n">
        <v>0</v>
      </c>
      <c r="BX39" t="n">
        <v>0</v>
      </c>
      <c r="BY39" t="n">
        <v>0</v>
      </c>
      <c r="BZ39" t="n">
        <v>0</v>
      </c>
      <c r="CA39" t="n">
        <v>0</v>
      </c>
      <c r="CB39" t="n">
        <v>1</v>
      </c>
      <c r="CC39" t="n">
        <v>0</v>
      </c>
      <c r="CD39" t="n">
        <v>0</v>
      </c>
      <c r="CE39" t="n">
        <v>82</v>
      </c>
      <c r="CF39" t="n">
        <v>0</v>
      </c>
      <c r="CG39" t="n">
        <v>17</v>
      </c>
      <c r="CH39" t="n">
        <v>58</v>
      </c>
      <c r="CI39" t="n">
        <v>4.9</v>
      </c>
    </row>
    <row r="40" ht="44.1" customHeight="1">
      <c r="A40" s="2" t="inlineStr">
        <is>
          <t>PACE</t>
        </is>
      </c>
      <c r="B40" s="2" t="inlineStr">
        <is>
          <t>Carreras en Salud (Chicago)</t>
        </is>
      </c>
      <c r="C40" s="2" t="inlineStr">
        <is>
          <t>Carreras en Salud</t>
        </is>
      </c>
      <c r="D40" s="2" t="inlineStr">
        <is>
          <t>Seven-step nursing pathway for bilingual Latino adults: CNA and LPN credentials with contextualized basic skills classes for healthcare, academic and non-academic advising, and employment services. Pathway designed for bilingual healthcare workers in Chicago area. (Juras et al. 2022, p.9)</t>
        </is>
      </c>
      <c r="E40" s="2" t="inlineStr">
        <is>
          <t>primary</t>
        </is>
      </c>
      <c r="F40" s="2" t="n">
        <v>1</v>
      </c>
      <c r="G40" s="2" t="n">
        <v>0</v>
      </c>
      <c r="H40" s="2" t="n">
        <v>1</v>
      </c>
      <c r="I40" s="2" t="n">
        <v>1</v>
      </c>
      <c r="J40" s="2" t="inlineStr">
        <is>
          <t>academic advising; non-academic advising; contextualized basic skills; financial support</t>
        </is>
      </c>
      <c r="K40" s="2" t="inlineStr">
        <is>
          <t>voluntary</t>
        </is>
      </c>
      <c r="L40" s="2" t="inlineStr">
        <is>
          <t>public</t>
        </is>
      </c>
      <c r="M40" s="2" t="inlineStr">
        <is>
          <t>private</t>
        </is>
      </c>
      <c r="N40" s="2" t="inlineStr">
        <is>
          <t>November 2011 – December 2014</t>
        </is>
      </c>
      <c r="O40" t="n">
        <v>2013.417</v>
      </c>
      <c r="P40" s="2" t="inlineStr">
        <is>
          <t>low-income Latino adults seeking healthcare credentials</t>
        </is>
      </c>
      <c r="Q40" s="2" t="n"/>
      <c r="R40" s="2" t="n">
        <v>7.1</v>
      </c>
      <c r="S40" s="2" t="n">
        <v>0.6</v>
      </c>
      <c r="T40" s="2" t="n">
        <v>0</v>
      </c>
      <c r="U40" s="2" t="n">
        <v>99.40000000000001</v>
      </c>
      <c r="V40" s="2" t="n">
        <v>9.699999999999999</v>
      </c>
      <c r="W40" s="2" t="n"/>
      <c r="X40" s="2" t="n"/>
      <c r="Y40" s="2" t="n"/>
      <c r="Z40" s="2" t="n">
        <v>391</v>
      </c>
      <c r="AA40" s="2" t="n">
        <v>384</v>
      </c>
      <c r="AB40" s="2" t="n"/>
      <c r="AC40" s="2" t="n"/>
      <c r="AD40" s="2" t="n"/>
      <c r="AE40" s="2" t="n"/>
      <c r="AF40" s="2" t="n"/>
      <c r="AG40" s="2" t="n"/>
      <c r="AH40" s="2" t="n"/>
      <c r="AI40" s="2" t="n"/>
      <c r="AJ40" s="2" t="n"/>
      <c r="AK40" s="2" t="inlineStr">
        <is>
          <t>NDNH wage records</t>
        </is>
      </c>
      <c r="AL40" s="2" t="n">
        <v>1</v>
      </c>
      <c r="AM40" s="2" t="n"/>
      <c r="AN40" s="2" t="n"/>
      <c r="AO40" s="2" t="n"/>
      <c r="AP40" s="2" t="n"/>
      <c r="AQ40" s="2" t="n">
        <v>-1050</v>
      </c>
      <c r="AR40" s="2" t="n">
        <v>507</v>
      </c>
      <c r="AS40" s="2" t="inlineStr">
        <is>
          <t>**</t>
        </is>
      </c>
      <c r="AT40" s="2" t="n">
        <v>11515</v>
      </c>
      <c r="AU40" s="2" t="inlineStr">
        <is>
          <t>annual (total over Q0-3)</t>
        </is>
      </c>
      <c r="AV40" s="2" t="n">
        <v>2</v>
      </c>
      <c r="AW40" s="2" t="n"/>
      <c r="AX40" s="2" t="n"/>
      <c r="AY40" s="2" t="n"/>
      <c r="AZ40" s="2" t="n"/>
      <c r="BA40" s="2" t="n">
        <v>-914</v>
      </c>
      <c r="BB40" s="2" t="n">
        <v>762</v>
      </c>
      <c r="BC40" s="2" t="n"/>
      <c r="BD40" s="2" t="n">
        <v>14964</v>
      </c>
      <c r="BE40" s="2" t="inlineStr">
        <is>
          <t>annual (total over Q4-7)</t>
        </is>
      </c>
      <c r="BF40" s="2" t="n">
        <v>6</v>
      </c>
      <c r="BG40" s="2" t="n">
        <v>2.3</v>
      </c>
      <c r="BH40" s="2" t="n">
        <v>3.1</v>
      </c>
      <c r="BI40" s="2" t="n"/>
      <c r="BJ40" t="n">
        <v>73.2</v>
      </c>
      <c r="BK40" t="n">
        <v>290</v>
      </c>
      <c r="BL40" t="n">
        <v>365</v>
      </c>
      <c r="BN40" t="n">
        <v>6053</v>
      </c>
      <c r="BO40" t="inlineStr">
        <is>
          <t>quarterly (average of Q23 and Q24)</t>
        </is>
      </c>
      <c r="BP40"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0" t="inlineStr">
        <is>
          <t>Carreras en Salud is a seven-step nursing pathway (CNA → LPN). Significant credential impacts (+3.8* on college credential by Q24) but no earnings impacts. CNA credential predominated over higher-paying LPN. Year 1 shows significant lock-in (-$1,050**). Year 2 also negative but not significant. Long-term confirmatory earnings slightly positive but not significant. Demographics not extracted; available in individual PACE report. V13 UPDATE: cost_per_treated = $3095, net cost to society (treatment - control). Gardiner, Martinson, and Dastrup (2021), Three-Year Impact Report, Exhibit 6-4. Net cost to society = $10,137 - $7,042 = $3,095. Demographics (sex, race/ethnicity, less-than-high-school) from PACE Cross-Program Implementation and Impact Study Findings (Abt 2017), Appendix B, p. B-2. Mean age not reported by source; only age bins (Under 21 / 21-24 / 25-34 / 35+) given.</t>
        </is>
      </c>
      <c r="BR40" t="n">
        <v>3095</v>
      </c>
      <c r="BT40" t="inlineStr">
        <is>
          <t>No B-C analysis. Juras et al. 2022 (PACE cross-site report) contains cost data but no benefit-cost analysis. Individual site reports are impact-only.</t>
        </is>
      </c>
      <c r="BU40" t="inlineStr">
        <is>
          <t>IL</t>
        </is>
      </c>
      <c r="BV40" t="inlineStr">
        <is>
          <t>urban</t>
        </is>
      </c>
      <c r="BW40" t="n">
        <v>0</v>
      </c>
      <c r="BX40" t="n">
        <v>0</v>
      </c>
      <c r="BY40" t="n">
        <v>1</v>
      </c>
      <c r="BZ40" t="n">
        <v>0</v>
      </c>
      <c r="CA40" t="n">
        <v>1</v>
      </c>
      <c r="CB40" t="n">
        <v>1</v>
      </c>
      <c r="CC40" t="n">
        <v>1</v>
      </c>
      <c r="CD40" t="n">
        <v>0</v>
      </c>
      <c r="CE40" t="n">
        <v>93</v>
      </c>
      <c r="CF40" t="n">
        <v>0</v>
      </c>
    </row>
    <row r="41" ht="44.1" customHeight="1">
      <c r="A41" s="2" t="inlineStr">
        <is>
          <t>PACE</t>
        </is>
      </c>
      <c r="B41" s="2" t="inlineStr">
        <is>
          <t>Health Careers for All (Seattle)</t>
        </is>
      </c>
      <c r="C41" s="2" t="inlineStr">
        <is>
          <t>Health Careers for All</t>
        </is>
      </c>
      <c r="D41" s="2" t="inlineStr">
        <is>
          <t>Healthcare occupational training for TANF recipients and other low-income adults. Key components: career/course navigation and case management, access to healthcare education and training, job search assistance, and financial assistance for training. (Juras et al. 2022, p.10)</t>
        </is>
      </c>
      <c r="E41" s="2" t="inlineStr">
        <is>
          <t>primary</t>
        </is>
      </c>
      <c r="F41" s="2" t="n">
        <v>1</v>
      </c>
      <c r="G41" s="2" t="n">
        <v>0</v>
      </c>
      <c r="H41" s="2" t="n">
        <v>1</v>
      </c>
      <c r="I41" s="2" t="n">
        <v>1</v>
      </c>
      <c r="J41" s="2" t="inlineStr">
        <is>
          <t>career navigation; case management; financial assistance for training</t>
        </is>
      </c>
      <c r="K41" s="2" t="inlineStr">
        <is>
          <t>voluntary</t>
        </is>
      </c>
      <c r="L41" s="2" t="inlineStr">
        <is>
          <t>public</t>
        </is>
      </c>
      <c r="M41" s="2" t="inlineStr">
        <is>
          <t>public</t>
        </is>
      </c>
      <c r="N41" s="2" t="inlineStr">
        <is>
          <t>November 2011 – December 2014</t>
        </is>
      </c>
      <c r="O41" t="n">
        <v>2013.417</v>
      </c>
      <c r="P41" s="2" t="inlineStr">
        <is>
          <t>TANF recipients and low-income adults seeking healthcare training</t>
        </is>
      </c>
      <c r="Q41" s="2" t="n"/>
      <c r="R41" s="2" t="n">
        <v>14.8</v>
      </c>
      <c r="S41" s="2" t="n">
        <v>28.9</v>
      </c>
      <c r="T41" s="2" t="n">
        <v>51.4</v>
      </c>
      <c r="U41" s="2" t="n">
        <v>12.8</v>
      </c>
      <c r="V41" s="2" t="n">
        <v>13.4</v>
      </c>
      <c r="W41" s="2" t="n"/>
      <c r="X41" s="2" t="n"/>
      <c r="Y41" s="2" t="n"/>
      <c r="Z41" s="2" t="n">
        <v>327</v>
      </c>
      <c r="AA41" s="2" t="n">
        <v>321</v>
      </c>
      <c r="AB41" s="2" t="n"/>
      <c r="AC41" s="2" t="n"/>
      <c r="AD41" s="2" t="n"/>
      <c r="AE41" s="2" t="n"/>
      <c r="AF41" s="2" t="n"/>
      <c r="AG41" s="2" t="n"/>
      <c r="AH41" s="2" t="n"/>
      <c r="AI41" s="2" t="n"/>
      <c r="AJ41" s="2" t="n"/>
      <c r="AK41" s="2" t="inlineStr">
        <is>
          <t>NDNH wage records</t>
        </is>
      </c>
      <c r="AL41" s="2" t="n">
        <v>1</v>
      </c>
      <c r="AM41" s="2" t="n"/>
      <c r="AN41" s="2" t="n"/>
      <c r="AO41" s="2" t="n"/>
      <c r="AP41" s="2" t="n"/>
      <c r="AQ41" s="2" t="n">
        <v>-440</v>
      </c>
      <c r="AR41" s="2" t="n">
        <v>806</v>
      </c>
      <c r="AS41" s="2" t="n"/>
      <c r="AT41" s="2" t="n">
        <v>9215</v>
      </c>
      <c r="AU41" s="2" t="inlineStr">
        <is>
          <t>annual (total over Q0-3)</t>
        </is>
      </c>
      <c r="AV41" s="2" t="n">
        <v>2</v>
      </c>
      <c r="AW41" s="2" t="n"/>
      <c r="AX41" s="2" t="n"/>
      <c r="AY41" s="2" t="n"/>
      <c r="AZ41" s="2" t="n"/>
      <c r="BA41" s="2" t="n">
        <v>-347</v>
      </c>
      <c r="BB41" s="2" t="n">
        <v>1192</v>
      </c>
      <c r="BC41" s="2" t="n"/>
      <c r="BD41" s="2" t="n">
        <v>15404</v>
      </c>
      <c r="BE41" s="2" t="inlineStr">
        <is>
          <t>annual (total over Q4-7)</t>
        </is>
      </c>
      <c r="BF41" s="2" t="n">
        <v>6</v>
      </c>
      <c r="BG41" s="2" t="n">
        <v>-1</v>
      </c>
      <c r="BH41" s="2" t="n">
        <v>3.5</v>
      </c>
      <c r="BI41" s="2" t="n"/>
      <c r="BJ41" t="n">
        <v>72</v>
      </c>
      <c r="BK41" t="n">
        <v>232</v>
      </c>
      <c r="BL41" t="n">
        <v>604</v>
      </c>
      <c r="BN41" t="n">
        <v>6733</v>
      </c>
      <c r="BO41" t="inlineStr">
        <is>
          <t>quarterly (average of Q23 and Q24)</t>
        </is>
      </c>
      <c r="BP41"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1" t="inlineStr">
        <is>
          <t>Health Careers for All emphasized short-term CNA credentials. Similar training options available to control group at no cost. No detectable impacts at any horizon. Small sample (327 T, 321 C). Demographics not extracted. Demographics (sex, race/ethnicity, less-than-high-school) from PACE Cross-Program Implementation and Impact Study Findings (Abt 2017), Appendix B, p. B-2. Mean age not reported by source; only age bins (Under 21 / 21-24 / 25-34 / 35+) given.</t>
        </is>
      </c>
      <c r="BT41" t="inlineStr">
        <is>
          <t>No B-C analysis. Juras et al. 2022 (PACE cross-site report) contains cost data but no benefit-cost analysis. Individual site reports are impact-only.</t>
        </is>
      </c>
      <c r="BU41" t="inlineStr">
        <is>
          <t>WA</t>
        </is>
      </c>
      <c r="BV41" t="inlineStr">
        <is>
          <t>urban</t>
        </is>
      </c>
      <c r="BW41" t="n">
        <v>0</v>
      </c>
      <c r="BX41" t="n">
        <v>0</v>
      </c>
      <c r="BY41" t="n">
        <v>0</v>
      </c>
      <c r="BZ41" t="n">
        <v>0</v>
      </c>
      <c r="CA41" t="n">
        <v>0</v>
      </c>
      <c r="CB41" t="n">
        <v>1</v>
      </c>
      <c r="CC41" t="n">
        <v>0</v>
      </c>
      <c r="CD41" t="n">
        <v>0</v>
      </c>
      <c r="CE41" t="n">
        <v>82</v>
      </c>
      <c r="CF41" t="n">
        <v>0</v>
      </c>
      <c r="CG41" t="n">
        <v>8</v>
      </c>
      <c r="CH41" t="n">
        <v>65</v>
      </c>
    </row>
    <row r="42" ht="44.1" customHeight="1">
      <c r="A42" s="2" t="inlineStr">
        <is>
          <t>PACE</t>
        </is>
      </c>
      <c r="B42" s="2" t="inlineStr">
        <is>
          <t>I-BEST (Washington State)</t>
        </is>
      </c>
      <c r="C42" s="2" t="inlineStr">
        <is>
          <t>I-BEST</t>
        </is>
      </c>
      <c r="D42" s="2" t="inlineStr">
        <is>
          <t>Integrated Basic Education and Skills Training: team-teaching model pairing basic skills instructors with occupational training instructors. Students learn academic and occupational skills concurrently. Workforce credits focused on specific technical skills, not transferable to four-year colleges. Courses are part of career pathways leading to longer-term credentials. PACE added dedicated advising and fill-the-gap financial support. (Juras et al. 2022, p.11)</t>
        </is>
      </c>
      <c r="E42" s="2" t="inlineStr">
        <is>
          <t>primary</t>
        </is>
      </c>
      <c r="F42" s="2" t="n">
        <v>1</v>
      </c>
      <c r="G42" s="2" t="n">
        <v>0</v>
      </c>
      <c r="H42" s="2" t="n">
        <v>0</v>
      </c>
      <c r="I42" s="2" t="n">
        <v>1</v>
      </c>
      <c r="J42" s="2" t="inlineStr">
        <is>
          <t>team-teaching model; dedicated advising; fill-the-gap financial support</t>
        </is>
      </c>
      <c r="K42" s="2" t="inlineStr">
        <is>
          <t>voluntary</t>
        </is>
      </c>
      <c r="L42" s="2" t="inlineStr">
        <is>
          <t>public</t>
        </is>
      </c>
      <c r="M42" s="2" t="inlineStr">
        <is>
          <t>public</t>
        </is>
      </c>
      <c r="N42" s="2" t="inlineStr">
        <is>
          <t>November 2011 – December 2014</t>
        </is>
      </c>
      <c r="O42" t="n">
        <v>2013.417</v>
      </c>
      <c r="P42" s="2" t="inlineStr">
        <is>
          <t>adults with lower academic skills seeking college-level occupational training</t>
        </is>
      </c>
      <c r="Q42" s="2" t="n"/>
      <c r="R42" s="2" t="n">
        <v>42.5</v>
      </c>
      <c r="S42" s="2" t="n">
        <v>54.9</v>
      </c>
      <c r="T42" s="2" t="n">
        <v>7.6</v>
      </c>
      <c r="U42" s="2" t="n">
        <v>26</v>
      </c>
      <c r="V42" s="2" t="n">
        <v>30.7</v>
      </c>
      <c r="W42" s="2" t="n"/>
      <c r="X42" s="2" t="n"/>
      <c r="Y42" s="2" t="n"/>
      <c r="Z42" s="2" t="n">
        <v>310</v>
      </c>
      <c r="AA42" s="2" t="n">
        <v>300</v>
      </c>
      <c r="AB42" s="2" t="n"/>
      <c r="AC42" s="2" t="n"/>
      <c r="AD42" s="2" t="n"/>
      <c r="AE42" s="2" t="n"/>
      <c r="AF42" s="2" t="n"/>
      <c r="AG42" s="2" t="n"/>
      <c r="AH42" s="2" t="n"/>
      <c r="AI42" s="2" t="n"/>
      <c r="AJ42" s="2" t="n"/>
      <c r="AK42" s="2" t="inlineStr">
        <is>
          <t>NDNH wage records</t>
        </is>
      </c>
      <c r="AL42" s="2" t="n">
        <v>1</v>
      </c>
      <c r="AM42" s="2" t="n"/>
      <c r="AN42" s="2" t="n"/>
      <c r="AO42" s="2" t="n"/>
      <c r="AP42" s="2" t="n"/>
      <c r="AQ42" s="2" t="n">
        <v>-844</v>
      </c>
      <c r="AR42" s="2" t="n">
        <v>610</v>
      </c>
      <c r="AS42" s="2" t="n"/>
      <c r="AT42" s="2" t="n">
        <v>7951</v>
      </c>
      <c r="AU42" s="2" t="inlineStr">
        <is>
          <t>annual (total over Q0-3)</t>
        </is>
      </c>
      <c r="AV42" s="2" t="n">
        <v>2</v>
      </c>
      <c r="AW42" s="2" t="n"/>
      <c r="AX42" s="2" t="n"/>
      <c r="AY42" s="2" t="n"/>
      <c r="AZ42" s="2" t="n"/>
      <c r="BA42" s="2" t="n">
        <v>1154</v>
      </c>
      <c r="BB42" s="2" t="n">
        <v>1001</v>
      </c>
      <c r="BC42" s="2" t="n"/>
      <c r="BD42" s="2" t="n">
        <v>10671</v>
      </c>
      <c r="BE42" s="2" t="inlineStr">
        <is>
          <t>annual (total over Q4-7)</t>
        </is>
      </c>
      <c r="BF42" s="2" t="n">
        <v>6</v>
      </c>
      <c r="BG42" s="2" t="n">
        <v>6</v>
      </c>
      <c r="BH42" s="2" t="n">
        <v>3.8</v>
      </c>
      <c r="BI42" s="2" t="n"/>
      <c r="BJ42" t="n">
        <v>60.7</v>
      </c>
      <c r="BK42" t="n">
        <v>152</v>
      </c>
      <c r="BL42" t="n">
        <v>446</v>
      </c>
      <c r="BN42" t="n">
        <v>5134</v>
      </c>
      <c r="BO42" t="inlineStr">
        <is>
          <t>quarterly (average of Q23 and Q24)</t>
        </is>
      </c>
      <c r="BP42"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2" t="inlineStr">
        <is>
          <t>I-BEST is a team-teaching model at 3 Washington State community colleges. No significant earnings impacts at any horizon. Small sample (310 T, 300 C). Control group could obtain similar credentials over time, limiting detectable impacts. V13 UPDATE: cost_per_treated = $4278, net cost to society (treatment - control). Martinson, Cho, Glosser, Loya, and Dastrup (2021), Three-Year Impact Report, Exhibit 6-2. Net cost to society = treatment ($9,718) - control ($5,440) = $4,278. Demographics (sex, race/ethnicity, less-than-high-school) from PACE Cross-Program Implementation and Impact Study Findings (Abt 2017), Appendix B, p. B-2. Mean age not reported by source; only age bins (Under 21 / 21-24 / 25-34 / 35+) given.</t>
        </is>
      </c>
      <c r="BR42" t="n">
        <v>4278</v>
      </c>
      <c r="BT42" t="inlineStr">
        <is>
          <t>No B-C analysis. Juras et al. 2022 (PACE cross-site report) contains cost data but no benefit-cost analysis. Individual site reports are impact-only.</t>
        </is>
      </c>
      <c r="BU42" t="inlineStr">
        <is>
          <t>WA</t>
        </is>
      </c>
      <c r="BV42" t="inlineStr">
        <is>
          <t>urban</t>
        </is>
      </c>
      <c r="BW42" t="n">
        <v>0</v>
      </c>
      <c r="BX42" t="n">
        <v>0</v>
      </c>
      <c r="BY42" t="n">
        <v>0</v>
      </c>
      <c r="BZ42" t="n">
        <v>0</v>
      </c>
      <c r="CA42" t="n">
        <v>0</v>
      </c>
      <c r="CB42" t="n">
        <v>0</v>
      </c>
      <c r="CC42" t="n">
        <v>1</v>
      </c>
      <c r="CD42" t="n">
        <v>0</v>
      </c>
      <c r="CE42" t="n">
        <v>73</v>
      </c>
      <c r="CF42" t="n">
        <v>0</v>
      </c>
    </row>
    <row r="43" ht="44.1" customHeight="1">
      <c r="A43" s="2" t="inlineStr">
        <is>
          <t>PACE</t>
        </is>
      </c>
      <c r="B43" s="2" t="inlineStr">
        <is>
          <t>Pathways to Healthcare (Tucson)</t>
        </is>
      </c>
      <c r="C43" s="2" t="inlineStr">
        <is>
          <t>Pathways to Healthcare</t>
        </is>
      </c>
      <c r="D43" s="2" t="inlineStr">
        <is>
          <t>Pima Community College mapped 16 healthcare occupational training programs into five pathways with two or three stackable credential levels. Program included proactive advising, scholarships, compressed basic skills programs, and job search assistance. 44% of treatment group did not engage in any occupational training. (Juras et al. 2022, p.12)</t>
        </is>
      </c>
      <c r="E43" s="2" t="inlineStr">
        <is>
          <t>primary</t>
        </is>
      </c>
      <c r="F43" s="2" t="n">
        <v>1</v>
      </c>
      <c r="G43" s="2" t="n">
        <v>0</v>
      </c>
      <c r="H43" s="2" t="n">
        <v>1</v>
      </c>
      <c r="I43" s="2" t="n">
        <v>1</v>
      </c>
      <c r="J43" s="2" t="inlineStr">
        <is>
          <t>proactive advising; scholarships; compressed basic skills remediation</t>
        </is>
      </c>
      <c r="K43" s="2" t="inlineStr">
        <is>
          <t>voluntary</t>
        </is>
      </c>
      <c r="L43" s="2" t="inlineStr">
        <is>
          <t>public</t>
        </is>
      </c>
      <c r="M43" s="2" t="inlineStr">
        <is>
          <t>public</t>
        </is>
      </c>
      <c r="N43" s="2" t="inlineStr">
        <is>
          <t>November 2011 – December 2014</t>
        </is>
      </c>
      <c r="O43" t="n">
        <v>2013.417</v>
      </c>
      <c r="P43" s="2" t="inlineStr">
        <is>
          <t>low-income adults with low academic skills seeking healthcare training</t>
        </is>
      </c>
      <c r="Q43" s="2" t="n"/>
      <c r="R43" s="2" t="n">
        <v>17.3</v>
      </c>
      <c r="S43" s="2" t="n">
        <v>26.6</v>
      </c>
      <c r="T43" s="2" t="n">
        <v>11.5</v>
      </c>
      <c r="U43" s="2" t="n">
        <v>55.8</v>
      </c>
      <c r="V43" s="2" t="n">
        <v>8.4</v>
      </c>
      <c r="W43" s="2" t="n"/>
      <c r="X43" s="2" t="n"/>
      <c r="Y43" s="2" t="n"/>
      <c r="Z43" s="2" t="n">
        <v>603</v>
      </c>
      <c r="AA43" s="2" t="n">
        <v>605</v>
      </c>
      <c r="AB43" s="2" t="n"/>
      <c r="AC43" s="2" t="n"/>
      <c r="AD43" s="2" t="n"/>
      <c r="AE43" s="2" t="n"/>
      <c r="AF43" s="2" t="n"/>
      <c r="AG43" s="2" t="n"/>
      <c r="AH43" s="2" t="n"/>
      <c r="AI43" s="2" t="n"/>
      <c r="AJ43" s="2" t="n"/>
      <c r="AK43" s="2" t="inlineStr">
        <is>
          <t>NDNH wage records</t>
        </is>
      </c>
      <c r="AL43" s="2" t="n">
        <v>1</v>
      </c>
      <c r="AM43" s="2" t="n"/>
      <c r="AN43" s="2" t="n"/>
      <c r="AO43" s="2" t="n"/>
      <c r="AP43" s="2" t="n"/>
      <c r="AQ43" s="2" t="n">
        <v>-420</v>
      </c>
      <c r="AR43" s="2" t="n">
        <v>420</v>
      </c>
      <c r="AS43" s="2" t="n"/>
      <c r="AT43" s="2" t="n">
        <v>8560</v>
      </c>
      <c r="AU43" s="2" t="inlineStr">
        <is>
          <t>annual (total over Q0-3)</t>
        </is>
      </c>
      <c r="AV43" s="2" t="n">
        <v>2</v>
      </c>
      <c r="AW43" s="2" t="n"/>
      <c r="AX43" s="2" t="n"/>
      <c r="AY43" s="2" t="n"/>
      <c r="AZ43" s="2" t="n"/>
      <c r="BA43" s="2" t="n">
        <v>-988</v>
      </c>
      <c r="BB43" s="2" t="n">
        <v>585</v>
      </c>
      <c r="BC43" s="2" t="inlineStr">
        <is>
          <t>*</t>
        </is>
      </c>
      <c r="BD43" s="2" t="n">
        <v>12330</v>
      </c>
      <c r="BE43" s="2" t="inlineStr">
        <is>
          <t>annual (total over Q4-7)</t>
        </is>
      </c>
      <c r="BF43" s="2" t="n">
        <v>6</v>
      </c>
      <c r="BG43" s="2" t="n">
        <v>-0.9</v>
      </c>
      <c r="BH43" s="2" t="n">
        <v>2.7</v>
      </c>
      <c r="BI43" s="2" t="n"/>
      <c r="BJ43" t="n">
        <v>65</v>
      </c>
      <c r="BK43" t="n">
        <v>-330</v>
      </c>
      <c r="BL43" t="n">
        <v>285</v>
      </c>
      <c r="BN43" t="n">
        <v>5087</v>
      </c>
      <c r="BO43" t="inlineStr">
        <is>
          <t>quarterly (average of Q23 and Q24)</t>
        </is>
      </c>
      <c r="BP43"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3" t="inlineStr">
        <is>
          <t>Pathways to Healthcare had very high no-show rate: 44% of treatment group never engaged in any occupational training. No detectable earnings impacts. Medium-term Year 2 earnings impact is negative and marginally significant (-$988*). Year 3 (Q8-11) also negative and significant (-$1,390**, p=.035). Data for Q27 limited to samples observed by June 2021. V13 UPDATE: cost_per_treated = $1,952, net cost to society (treatment - control). Dastrup and Burnett (2021), Supplementary Appendix on Program Costs, Exhibit I-4. Treatment $8,688 - Control $6,736 = $1,952. Demographics (sex, race/ethnicity, less-than-high-school) from PACE Cross-Program Implementation and Impact Study Findings (Abt 2017), Appendix B, p. B-2. Mean age not reported by source; only age bins (Under 21 / 21-24 / 25-34 / 35+) given.</t>
        </is>
      </c>
      <c r="BR43" t="n">
        <v>1952</v>
      </c>
      <c r="BT43" t="inlineStr">
        <is>
          <t>No B-C analysis. Juras et al. 2022 (PACE cross-site report) contains cost data but no benefit-cost analysis. Individual site reports are impact-only.</t>
        </is>
      </c>
      <c r="BU43" t="inlineStr">
        <is>
          <t>AZ</t>
        </is>
      </c>
      <c r="BV43" t="inlineStr">
        <is>
          <t>urban</t>
        </is>
      </c>
      <c r="BW43" t="n">
        <v>0</v>
      </c>
      <c r="BX43" t="n">
        <v>0</v>
      </c>
      <c r="BY43" t="n">
        <v>0</v>
      </c>
      <c r="BZ43" t="n">
        <v>0</v>
      </c>
      <c r="CA43" t="n">
        <v>0</v>
      </c>
      <c r="CB43" t="n">
        <v>1</v>
      </c>
      <c r="CC43" t="n">
        <v>0</v>
      </c>
      <c r="CD43" t="n">
        <v>0</v>
      </c>
      <c r="CE43" t="n">
        <v>56</v>
      </c>
      <c r="CF43" t="n">
        <v>0</v>
      </c>
    </row>
    <row r="44" ht="44.1" customHeight="1">
      <c r="A44" s="2" t="inlineStr">
        <is>
          <t>PACE</t>
        </is>
      </c>
      <c r="B44" s="2" t="inlineStr">
        <is>
          <t>Patient Care Pathway Program (Madison)</t>
        </is>
      </c>
      <c r="C44" s="2" t="inlineStr">
        <is>
          <t>Patient Care Pathway Program</t>
        </is>
      </c>
      <c r="D44" s="2" t="inlineStr">
        <is>
          <t>Semester-long 'academies' preparing students for quick enrollment in one-year healthcare diploma or two-year degree programs. Academies combined basic skills courses with credit-bearing courses for healthcare programs. Students had access to a dedicated advisor for academic and non-academic support. 75% enrolled in academy associated with two-year degree. (Juras et al. 2022, p.13)</t>
        </is>
      </c>
      <c r="E44" s="2" t="inlineStr">
        <is>
          <t>primary</t>
        </is>
      </c>
      <c r="F44" s="2" t="n">
        <v>1</v>
      </c>
      <c r="G44" s="2" t="n">
        <v>0</v>
      </c>
      <c r="H44" s="2" t="n">
        <v>0</v>
      </c>
      <c r="I44" s="2" t="n">
        <v>1</v>
      </c>
      <c r="J44" s="2" t="inlineStr">
        <is>
          <t>dedicated academic advisor; non-academic support coordination</t>
        </is>
      </c>
      <c r="K44" s="2" t="inlineStr">
        <is>
          <t>voluntary</t>
        </is>
      </c>
      <c r="L44" s="2" t="inlineStr">
        <is>
          <t>public</t>
        </is>
      </c>
      <c r="M44" s="2" t="inlineStr">
        <is>
          <t>public</t>
        </is>
      </c>
      <c r="N44" s="2" t="inlineStr">
        <is>
          <t>November 2011 – December 2014</t>
        </is>
      </c>
      <c r="O44" t="n">
        <v>2013.417</v>
      </c>
      <c r="P44" s="2" t="inlineStr">
        <is>
          <t>adults with low academic skills seeking healthcare credentials</t>
        </is>
      </c>
      <c r="Q44" s="2" t="n"/>
      <c r="R44" s="2" t="n">
        <v>15.7</v>
      </c>
      <c r="S44" s="2" t="n">
        <v>67.3</v>
      </c>
      <c r="T44" s="2" t="n">
        <v>20.8</v>
      </c>
      <c r="U44" s="2" t="n">
        <v>8.800000000000001</v>
      </c>
      <c r="V44" s="2" t="n">
        <v>3</v>
      </c>
      <c r="W44" s="2" t="n"/>
      <c r="X44" s="2" t="n"/>
      <c r="Y44" s="2" t="n"/>
      <c r="Z44" s="2" t="n">
        <v>244</v>
      </c>
      <c r="AA44" s="2" t="n">
        <v>242</v>
      </c>
      <c r="AB44" s="2" t="n"/>
      <c r="AC44" s="2" t="n"/>
      <c r="AD44" s="2" t="n"/>
      <c r="AE44" s="2" t="n"/>
      <c r="AF44" s="2" t="n"/>
      <c r="AG44" s="2" t="n"/>
      <c r="AH44" s="2" t="n"/>
      <c r="AI44" s="2" t="n"/>
      <c r="AJ44" s="2" t="n"/>
      <c r="AK44" s="2" t="inlineStr">
        <is>
          <t>NDNH wage records</t>
        </is>
      </c>
      <c r="AL44" s="2" t="n">
        <v>1</v>
      </c>
      <c r="AM44" s="2" t="n"/>
      <c r="AN44" s="2" t="n"/>
      <c r="AO44" s="2" t="n"/>
      <c r="AP44" s="2" t="n"/>
      <c r="AQ44" s="2" t="n">
        <v>-451</v>
      </c>
      <c r="AR44" s="2" t="n">
        <v>621</v>
      </c>
      <c r="AS44" s="2" t="n"/>
      <c r="AT44" s="2" t="n">
        <v>12045</v>
      </c>
      <c r="AU44" s="2" t="inlineStr">
        <is>
          <t>annual (total over Q0-3)</t>
        </is>
      </c>
      <c r="AV44" s="2" t="n">
        <v>2</v>
      </c>
      <c r="AW44" s="2" t="n"/>
      <c r="AX44" s="2" t="n"/>
      <c r="AY44" s="2" t="n"/>
      <c r="AZ44" s="2" t="n"/>
      <c r="BA44" s="2" t="n">
        <v>-1242</v>
      </c>
      <c r="BB44" s="2" t="n">
        <v>884</v>
      </c>
      <c r="BC44" s="2" t="n"/>
      <c r="BD44" s="2" t="n">
        <v>14729</v>
      </c>
      <c r="BE44" s="2" t="inlineStr">
        <is>
          <t>annual (total over Q4-7)</t>
        </is>
      </c>
      <c r="BF44" s="2" t="n">
        <v>6</v>
      </c>
      <c r="BG44" s="2" t="n">
        <v>-1.1</v>
      </c>
      <c r="BH44" s="2" t="n">
        <v>3.5</v>
      </c>
      <c r="BI44" s="2" t="n"/>
      <c r="BJ44" t="n">
        <v>81.40000000000001</v>
      </c>
      <c r="BK44" t="n">
        <v>-242</v>
      </c>
      <c r="BL44" t="n">
        <v>448</v>
      </c>
      <c r="BN44" t="n">
        <v>6578</v>
      </c>
      <c r="BO44" t="inlineStr">
        <is>
          <t>quarterly (average of Q23 and Q24)</t>
        </is>
      </c>
      <c r="BP44"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4" t="inlineStr">
        <is>
          <t>Patient Care Pathway Program: semester-long academies at Madison Area Technical College. Significant impact on associate degree receipt (+6.8**, p=.021) but no earnings impacts. Very small sample (244 T, 242 C). Data for Q27 limited to samples observed by June 2021. Demographics (sex, race/ethnicity, less-than-high-school) from PACE Cross-Program Implementation and Impact Study Findings (Abt 2017), Appendix B, p. B-2. Mean age not reported by source; only age bins (Under 21 / 21-24 / 25-34 / 35+) given.</t>
        </is>
      </c>
      <c r="BT44" t="inlineStr">
        <is>
          <t>No B-C analysis. Juras et al. 2022 (PACE cross-site report) contains cost data but no benefit-cost analysis. Individual site reports are impact-only.</t>
        </is>
      </c>
      <c r="BU44" t="inlineStr">
        <is>
          <t>WI</t>
        </is>
      </c>
      <c r="BV44" t="inlineStr">
        <is>
          <t>urban</t>
        </is>
      </c>
      <c r="BW44" t="n">
        <v>0</v>
      </c>
      <c r="BX44" t="n">
        <v>0</v>
      </c>
      <c r="BY44" t="n">
        <v>0</v>
      </c>
      <c r="BZ44" t="n">
        <v>0</v>
      </c>
      <c r="CA44" t="n">
        <v>0</v>
      </c>
      <c r="CB44" t="n">
        <v>0</v>
      </c>
      <c r="CC44" t="n">
        <v>0</v>
      </c>
      <c r="CD44" t="n">
        <v>0</v>
      </c>
      <c r="CE44" t="n">
        <v>94</v>
      </c>
      <c r="CF44" t="n">
        <v>0</v>
      </c>
    </row>
    <row r="45" ht="44.1" customHeight="1">
      <c r="A45" s="2" t="inlineStr">
        <is>
          <t>PACE</t>
        </is>
      </c>
      <c r="B45" s="2" t="inlineStr">
        <is>
          <t>VIDA (Rio Grande Valley)</t>
        </is>
      </c>
      <c r="C45" s="2" t="inlineStr">
        <is>
          <t>VIDA</t>
        </is>
      </c>
      <c r="D45" s="2" t="inlineStr">
        <is>
          <t>Community-based organization supporting training for adults with low incomes. VIDA requires full-time college attendance and mandates participation in weekly counseling sessions. Provides financial support (tuition, books, other needs after Pell grants), study skills workshops, and employment assistance (resume writing, job search). For non-college-ready participants, offers 16-week College Prep Academy. (Juras et al. 2022, p.14)</t>
        </is>
      </c>
      <c r="E45" s="2" t="inlineStr">
        <is>
          <t>primary</t>
        </is>
      </c>
      <c r="F45" s="2" t="n">
        <v>1</v>
      </c>
      <c r="G45" s="2" t="n">
        <v>0</v>
      </c>
      <c r="H45" s="2" t="n">
        <v>1</v>
      </c>
      <c r="I45" s="2" t="n">
        <v>1</v>
      </c>
      <c r="J45" s="2" t="inlineStr">
        <is>
          <t>mandatory weekly counseling; financial support; College Prep Academy</t>
        </is>
      </c>
      <c r="K45" s="2" t="inlineStr">
        <is>
          <t>voluntary</t>
        </is>
      </c>
      <c r="L45" s="2" t="inlineStr">
        <is>
          <t>public</t>
        </is>
      </c>
      <c r="M45" s="2" t="inlineStr">
        <is>
          <t>private</t>
        </is>
      </c>
      <c r="N45" s="2" t="inlineStr">
        <is>
          <t>November 2011 – December 2014</t>
        </is>
      </c>
      <c r="O45" t="n">
        <v>2013.417</v>
      </c>
      <c r="P45" s="2" t="inlineStr">
        <is>
          <t>low-income adults in Lower Rio Grande Valley seeking credentials and degrees</t>
        </is>
      </c>
      <c r="Q45" s="2" t="n"/>
      <c r="R45" s="2" t="n">
        <v>29.1</v>
      </c>
      <c r="S45" s="2" t="n">
        <v>3</v>
      </c>
      <c r="T45" s="2" t="n">
        <v>0.9</v>
      </c>
      <c r="U45" s="2" t="n">
        <v>95.8</v>
      </c>
      <c r="V45" s="2" t="n">
        <v>0.7</v>
      </c>
      <c r="W45" s="2" t="n"/>
      <c r="X45" s="2" t="n"/>
      <c r="Y45" s="2" t="n"/>
      <c r="Z45" s="2" t="n">
        <v>476</v>
      </c>
      <c r="AA45" s="2" t="n">
        <v>479</v>
      </c>
      <c r="AB45" s="2" t="n"/>
      <c r="AC45" s="2" t="n"/>
      <c r="AD45" s="2" t="n"/>
      <c r="AE45" s="2" t="n"/>
      <c r="AF45" s="2" t="n"/>
      <c r="AG45" s="2" t="n"/>
      <c r="AH45" s="2" t="n"/>
      <c r="AI45" s="2" t="n"/>
      <c r="AJ45" s="2" t="n"/>
      <c r="AK45" s="2" t="inlineStr">
        <is>
          <t>NDNH wage records</t>
        </is>
      </c>
      <c r="AL45" s="2" t="n">
        <v>1</v>
      </c>
      <c r="AM45" s="2" t="n"/>
      <c r="AN45" s="2" t="n"/>
      <c r="AO45" s="2" t="n"/>
      <c r="AP45" s="2" t="n"/>
      <c r="AQ45" s="2" t="n">
        <v>-861</v>
      </c>
      <c r="AR45" s="2" t="n">
        <v>519</v>
      </c>
      <c r="AS45" s="2" t="inlineStr">
        <is>
          <t>*</t>
        </is>
      </c>
      <c r="AT45" s="2" t="n">
        <v>5944</v>
      </c>
      <c r="AU45" s="2" t="inlineStr">
        <is>
          <t>annual (total over Q0-3)</t>
        </is>
      </c>
      <c r="AV45" s="2" t="n">
        <v>2</v>
      </c>
      <c r="AW45" s="2" t="n"/>
      <c r="AX45" s="2" t="n"/>
      <c r="AY45" s="2" t="n"/>
      <c r="AZ45" s="2" t="n"/>
      <c r="BA45" s="2" t="n">
        <v>-1627</v>
      </c>
      <c r="BB45" s="2" t="n">
        <v>834</v>
      </c>
      <c r="BC45" s="2" t="inlineStr">
        <is>
          <t>*</t>
        </is>
      </c>
      <c r="BD45" s="2" t="n">
        <v>12256</v>
      </c>
      <c r="BE45" s="2" t="inlineStr">
        <is>
          <t>annual (total over Q4-7)</t>
        </is>
      </c>
      <c r="BF45" s="2" t="n">
        <v>6</v>
      </c>
      <c r="BG45" s="2" t="n">
        <v>0.7</v>
      </c>
      <c r="BH45" s="2" t="n">
        <v>2.5</v>
      </c>
      <c r="BI45" s="2" t="n"/>
      <c r="BJ45" t="n">
        <v>80</v>
      </c>
      <c r="BK45" t="n">
        <v>72</v>
      </c>
      <c r="BL45" t="n">
        <v>416</v>
      </c>
      <c r="BN45" t="n">
        <v>8337</v>
      </c>
      <c r="BO45" t="inlineStr">
        <is>
          <t>quarterly (average of Q23 and Q24)</t>
        </is>
      </c>
      <c r="BP45"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5" t="inlineStr">
        <is>
          <t>VIDA had large credential impacts (+12.0*** on college credential by Q24) but no detectable earnings impacts at 6 years. 70% of sample already enrolled in college at study entry. Year 1 and Year 2 both show significant negative lock-in effects. Data for Q27 not yet complete at time of report. V13 UPDATE: cost_per_treated = $6713, net cost to society (treatment - control). Rolston, Copson, Buron, and Dastrup (2021), Three-Year Impact Report, Exhibit 7-3. Net cost to society = $6,713. Demographics (sex, race/ethnicity, less-than-high-school) from PACE Cross-Program Implementation and Impact Study Findings (Abt 2017), Appendix B, p. B-2. Mean age not reported by source; only age bins (Under 21 / 21-24 / 25-34 / 35+) given.</t>
        </is>
      </c>
      <c r="BR45" t="n">
        <v>6713</v>
      </c>
      <c r="BT45" t="inlineStr">
        <is>
          <t>No B-C analysis. Juras et al. 2022 (PACE cross-site report) contains cost data but no benefit-cost analysis. Individual site reports are impact-only.</t>
        </is>
      </c>
      <c r="BU45" t="inlineStr">
        <is>
          <t>TX</t>
        </is>
      </c>
      <c r="BV45" t="inlineStr">
        <is>
          <t>urban</t>
        </is>
      </c>
      <c r="BW45" t="n">
        <v>0</v>
      </c>
      <c r="BX45" t="n">
        <v>0</v>
      </c>
      <c r="BY45" t="n">
        <v>1</v>
      </c>
      <c r="BZ45" t="n">
        <v>0</v>
      </c>
      <c r="CA45" t="n">
        <v>1</v>
      </c>
      <c r="CB45" t="n">
        <v>0</v>
      </c>
      <c r="CC45" t="n">
        <v>0</v>
      </c>
      <c r="CD45" t="n">
        <v>0</v>
      </c>
      <c r="CE45" t="n">
        <v>98</v>
      </c>
      <c r="CF45" t="n">
        <v>0</v>
      </c>
    </row>
    <row r="46" ht="44.1" customHeight="1">
      <c r="A46" s="2" t="inlineStr">
        <is>
          <t>PACE</t>
        </is>
      </c>
      <c r="B46" s="2" t="inlineStr">
        <is>
          <t>WTA Connect (Des Moines)</t>
        </is>
      </c>
      <c r="C46" s="2" t="inlineStr">
        <is>
          <t>Workforce Training Academy</t>
        </is>
      </c>
      <c r="D46" s="2" t="inlineStr">
        <is>
          <t>Workforce Training Academy Connect: reading/math skills remediation pathway for students ineligible for occupational certificate courses. Provided reading and math skills remediation, high school equivalency classes, self-efficacy and goal-setting skills, and proactive advising. After remediation, students could enroll in occupational certificate courses in healthcare, advanced manufacturing, and administrative support. (Juras et al. 2022, p.16)</t>
        </is>
      </c>
      <c r="E46" s="2" t="inlineStr">
        <is>
          <t>primary</t>
        </is>
      </c>
      <c r="F46" s="2" t="n">
        <v>1</v>
      </c>
      <c r="G46" s="2" t="n">
        <v>0</v>
      </c>
      <c r="H46" s="2" t="n">
        <v>1</v>
      </c>
      <c r="I46" s="2" t="n">
        <v>1</v>
      </c>
      <c r="J46" s="2" t="inlineStr">
        <is>
          <t>skills remediation; HSE classes; self-efficacy development; proactive advising</t>
        </is>
      </c>
      <c r="K46" s="2" t="inlineStr">
        <is>
          <t>voluntary</t>
        </is>
      </c>
      <c r="L46" s="2" t="inlineStr">
        <is>
          <t>public</t>
        </is>
      </c>
      <c r="M46" s="2" t="inlineStr">
        <is>
          <t>public</t>
        </is>
      </c>
      <c r="N46" s="2" t="inlineStr">
        <is>
          <t>April 2012 – December 2014</t>
        </is>
      </c>
      <c r="O46" t="n">
        <v>2013.625</v>
      </c>
      <c r="P46" s="2" t="inlineStr">
        <is>
          <t>adults with low reading/math skills seeking occupational certificates</t>
        </is>
      </c>
      <c r="Q46" s="2" t="n"/>
      <c r="R46" s="2" t="n">
        <v>37.4</v>
      </c>
      <c r="S46" s="2" t="n">
        <v>33.8</v>
      </c>
      <c r="T46" s="2" t="n">
        <v>47.4</v>
      </c>
      <c r="U46" s="2" t="n">
        <v>15.3</v>
      </c>
      <c r="V46" s="2" t="n">
        <v>40.1</v>
      </c>
      <c r="W46" s="2" t="n"/>
      <c r="X46" s="2" t="n"/>
      <c r="Y46" s="2" t="n"/>
      <c r="Z46" s="2" t="n">
        <v>470</v>
      </c>
      <c r="AA46" s="2" t="n">
        <v>473</v>
      </c>
      <c r="AB46" s="2" t="n"/>
      <c r="AC46" s="2" t="n"/>
      <c r="AD46" s="2" t="n"/>
      <c r="AE46" s="2" t="n"/>
      <c r="AF46" s="2" t="n"/>
      <c r="AG46" s="2" t="n"/>
      <c r="AH46" s="2" t="n"/>
      <c r="AI46" s="2" t="n"/>
      <c r="AJ46" s="2" t="n"/>
      <c r="AK46" s="2" t="inlineStr">
        <is>
          <t>NDNH wage records</t>
        </is>
      </c>
      <c r="AL46" s="2" t="n">
        <v>1</v>
      </c>
      <c r="AM46" s="2" t="n"/>
      <c r="AN46" s="2" t="n"/>
      <c r="AO46" s="2" t="n"/>
      <c r="AP46" s="2" t="n"/>
      <c r="AQ46" s="2" t="n">
        <v>-671</v>
      </c>
      <c r="AR46" s="2" t="n">
        <v>449</v>
      </c>
      <c r="AS46" s="2" t="n"/>
      <c r="AT46" s="2" t="n">
        <v>8774</v>
      </c>
      <c r="AU46" s="2" t="inlineStr">
        <is>
          <t>annual (total over Q0-3)</t>
        </is>
      </c>
      <c r="AV46" s="2" t="n">
        <v>2</v>
      </c>
      <c r="AW46" s="2" t="n"/>
      <c r="AX46" s="2" t="n"/>
      <c r="AY46" s="2" t="n"/>
      <c r="AZ46" s="2" t="n"/>
      <c r="BA46" s="2" t="n">
        <v>-351</v>
      </c>
      <c r="BB46" s="2" t="n">
        <v>620</v>
      </c>
      <c r="BC46" s="2" t="n"/>
      <c r="BD46" s="2" t="n">
        <v>11706</v>
      </c>
      <c r="BE46" s="2" t="inlineStr">
        <is>
          <t>annual (total over Q4-7)</t>
        </is>
      </c>
      <c r="BF46" s="2" t="n">
        <v>6</v>
      </c>
      <c r="BG46" s="2" t="n">
        <v>2</v>
      </c>
      <c r="BH46" s="2" t="n">
        <v>3.1</v>
      </c>
      <c r="BI46" s="2" t="n"/>
      <c r="BJ46" t="n">
        <v>63.8</v>
      </c>
      <c r="BK46" t="n">
        <v>-135</v>
      </c>
      <c r="BL46" t="n">
        <v>288</v>
      </c>
      <c r="BN46" t="n">
        <v>4223</v>
      </c>
      <c r="BO46" t="inlineStr">
        <is>
          <t>quarterly (average of Q23 and Q24)</t>
        </is>
      </c>
      <c r="BP46" t="inlineStr">
        <is>
          <t>Juras et al. (2022), PACE/HPOG 1.0 Six-Year Cross-Site Report, OPRE 2022-239. Hamadyk and Juras (2021), WTA Connect Three-Year Impact Report, OPRE 2021-98. Exhibit 1-1 (demographics, N), Chapter 4 (earnings impacts). Abt Associates (2017), PACE Cross-Program Implementation and Impact Study Findings, Appendix B (Study Participant Characteristics), pp. B-2 to B-3.</t>
        </is>
      </c>
      <c r="BQ46" t="inlineStr">
        <is>
          <t>WTA Connect: basic skills remediation pathway at DMACC. Significant credential impact (+2.2**, +2.9*** on college credential by Q24) but small absolute levels. 50% of treatment group did not engage in any education/training; only 37% completed occupational training. No detectable earnings impacts at any horizon. 3-year confirmatory Q12-Q13 earnings impact = +$93 (ns, 90% CI -$275 to +$461). N updated: 470 treatment, 473 control (Hamadyk &amp; Juras 2021, Exhibit 1-1). Demographics: 37.4% male, 33.8% white, 47.4% black, 15.3% Hispanic, 40.1% no HS diploma. Demographics (sex, race/ethnicity, less-than-high-school) from PACE Cross-Program Implementation and Impact Study Findings (Abt 2017), Appendix B, p. B-2. Mean age not reported by source; only age bins (Under 21 / 21-24 / 25-34 / 35+) given.</t>
        </is>
      </c>
      <c r="BT46" t="inlineStr">
        <is>
          <t>No B-C analysis. Juras et al. 2022 (PACE cross-site report) contains cost data but no benefit-cost analysis. Individual site reports are impact-only.</t>
        </is>
      </c>
      <c r="BU46" t="inlineStr">
        <is>
          <t>IA</t>
        </is>
      </c>
      <c r="BV46" t="inlineStr">
        <is>
          <t>urban</t>
        </is>
      </c>
      <c r="BW46" t="n">
        <v>0</v>
      </c>
      <c r="BX46" t="n">
        <v>0</v>
      </c>
      <c r="BY46" t="n">
        <v>0</v>
      </c>
      <c r="BZ46" t="n">
        <v>0</v>
      </c>
      <c r="CA46" t="n">
        <v>1</v>
      </c>
      <c r="CB46" t="n">
        <v>0</v>
      </c>
      <c r="CC46" t="n">
        <v>1</v>
      </c>
      <c r="CD46" t="n">
        <v>0</v>
      </c>
      <c r="CE46" t="n">
        <v>50</v>
      </c>
      <c r="CF46" t="n">
        <v>0</v>
      </c>
      <c r="CG46" t="n">
        <v>13.9</v>
      </c>
      <c r="CH46" t="n">
        <v>36.1</v>
      </c>
      <c r="CI46" t="n">
        <v>2.7</v>
      </c>
    </row>
    <row r="47" ht="44.1" customHeight="1">
      <c r="A47" s="2" t="inlineStr">
        <is>
          <t>National Job Corps Study</t>
        </is>
      </c>
      <c r="B47" s="2" t="inlineStr">
        <is>
          <t>Full sample</t>
        </is>
      </c>
      <c r="C47" s="2" t="inlineStr">
        <is>
          <t>Job Corps</t>
        </is>
      </c>
      <c r="D47" s="2" t="inlineStr">
        <is>
          <t>Job Corps: primarily residential education and vocational training program for disadvantaged youth ages 16-24. Participants received academic education (including GED preparation), vocational training, and other support services (health care, meals, counseling). Average stay ~8 months; 73% of treatment group enrolled. Cost: ~$16,500 per participant. (Schochet et al. 2008, pp. 1864-1866)</t>
        </is>
      </c>
      <c r="E47" s="2" t="inlineStr">
        <is>
          <t>primary</t>
        </is>
      </c>
      <c r="F47" s="2" t="n">
        <v>1</v>
      </c>
      <c r="G47" s="2" t="n">
        <v>1</v>
      </c>
      <c r="H47" s="2" t="n">
        <v>0</v>
      </c>
      <c r="I47" s="2" t="n">
        <v>1</v>
      </c>
      <c r="J47" s="2" t="inlineStr">
        <is>
          <t>residential services, health care, meals, counseling, living allowance</t>
        </is>
      </c>
      <c r="K47" s="2" t="inlineStr">
        <is>
          <t>voluntary</t>
        </is>
      </c>
      <c r="L47" s="2" t="inlineStr">
        <is>
          <t>public</t>
        </is>
      </c>
      <c r="M47" s="2" t="inlineStr">
        <is>
          <t>mixed</t>
        </is>
      </c>
      <c r="N47" s="2" t="inlineStr">
        <is>
          <t>November 1994 – February 1996</t>
        </is>
      </c>
      <c r="O47" t="n">
        <v>1995.5</v>
      </c>
      <c r="P47" s="2" t="inlineStr">
        <is>
          <t>disadvantaged youth ages 16-24</t>
        </is>
      </c>
      <c r="Q47" s="2" t="n"/>
      <c r="R47" s="2" t="n">
        <v>59</v>
      </c>
      <c r="S47" s="2" t="n">
        <v>27</v>
      </c>
      <c r="T47" s="2" t="n">
        <v>48</v>
      </c>
      <c r="U47" s="2" t="n">
        <v>18</v>
      </c>
      <c r="V47" s="2" t="n">
        <v>77</v>
      </c>
      <c r="W47" s="2" t="n"/>
      <c r="X47" s="2" t="inlineStr">
        <is>
          <t>Applicants to Job Corps who met eligibility criteria (low-income, ages 16-24, needed additional education/training). Control group embargoed from Job Corps for 3 years. 73% of treatment group enrolled; average 8-month stay. (pp. 1865-1866)</t>
        </is>
      </c>
      <c r="Y47" s="2" t="n"/>
      <c r="Z47" s="2" t="n">
        <v>9264</v>
      </c>
      <c r="AA47" s="2" t="n">
        <v>5874</v>
      </c>
      <c r="AB47" s="2" t="n"/>
      <c r="AC47" s="2" t="n"/>
      <c r="AD47" s="2" t="n"/>
      <c r="AE47" s="2" t="n"/>
      <c r="AF47" s="2" t="n"/>
      <c r="AG47" s="2" t="n"/>
      <c r="AH47" s="2" t="n"/>
      <c r="AI47" s="2" t="n"/>
      <c r="AJ47" s="2" t="n"/>
      <c r="AK47" s="2" t="inlineStr">
        <is>
          <t>W-2/IRS tax records (SER 1993-2000, IRS 2001-2015)</t>
        </is>
      </c>
      <c r="AL47" s="2" t="n">
        <v>2</v>
      </c>
      <c r="AM47" s="2" t="n">
        <v>2.1</v>
      </c>
      <c r="AN47" s="2" t="n">
        <v>0.6</v>
      </c>
      <c r="AO47" s="2" t="inlineStr">
        <is>
          <t>***</t>
        </is>
      </c>
      <c r="AP47" s="2" t="n">
        <v>81.5</v>
      </c>
      <c r="AQ47" s="2" t="n">
        <v>255</v>
      </c>
      <c r="AR47" s="2" t="n">
        <v>124</v>
      </c>
      <c r="AS47" s="2" t="inlineStr">
        <is>
          <t>**</t>
        </is>
      </c>
      <c r="AT47" s="2" t="n">
        <v>6406</v>
      </c>
      <c r="AU47" s="2" t="inlineStr">
        <is>
          <t>annual (calendar year 1997, W-2, 2015 dollars)</t>
        </is>
      </c>
      <c r="AV47" s="2" t="n">
        <v>3</v>
      </c>
      <c r="AW47" s="2" t="n">
        <v>1.3</v>
      </c>
      <c r="AX47" s="2" t="n">
        <v>0.6</v>
      </c>
      <c r="AY47" s="2" t="inlineStr">
        <is>
          <t>**</t>
        </is>
      </c>
      <c r="AZ47" s="2" t="n">
        <v>83.3</v>
      </c>
      <c r="BA47" s="2" t="n">
        <v>324</v>
      </c>
      <c r="BB47" s="2" t="n">
        <v>151</v>
      </c>
      <c r="BC47" s="2" t="inlineStr">
        <is>
          <t>**</t>
        </is>
      </c>
      <c r="BD47" s="2" t="n">
        <v>8196</v>
      </c>
      <c r="BE47" s="2" t="inlineStr">
        <is>
          <t>annual (calendar year 1998, W-2, 2015 dollars)</t>
        </is>
      </c>
      <c r="BF47" s="2" t="n">
        <v>8</v>
      </c>
      <c r="BG47" s="2" t="n">
        <v>0.3</v>
      </c>
      <c r="BH47" s="2" t="n">
        <v>0.8</v>
      </c>
      <c r="BI47" s="2" t="n"/>
      <c r="BJ47" t="n">
        <v>72.7</v>
      </c>
      <c r="BK47" t="n">
        <v>78</v>
      </c>
      <c r="BL47" t="n">
        <v>269</v>
      </c>
      <c r="BN47" t="n">
        <v>12002</v>
      </c>
      <c r="BO47" t="inlineStr">
        <is>
          <t>annual (calendar year 2003, W-2/IRS, 2015 dollars)</t>
        </is>
      </c>
      <c r="BP47" t="inlineStr">
        <is>
          <t>Schochet, P.Z. (2020). Long-Run Labor Market Effects of the Job Corps Program: Evidence from a Nationally Representative Experiment. Journal of Policy Analysis and Management. Tables A1 (employment), A2 (earnings). Baseline info from Schochet, Burghardt, and McConnell (2008), Table 1.</t>
        </is>
      </c>
      <c r="BQ47" t="inlineStr">
        <is>
          <t>SER (Social Security Administration Summary Earnings Records) cover all workers with a Social Security number. Preferred administrative data source because it has full national coverage (unlike UI which covers only 22 states). Calendar year earnings and employment from Table 4 (p.1875). Time horizons: randomization midpoint ~mid-1995; CY1997 ≈ Year 2 → short-term (Year 1 has lock-in effect from program participation), CY1998 ≈ Year 3 → medium-term, CY2003 ≈ Year 8 → long-term. Employment measure: fraction with nonzero SER earnings in calendar year (ppt). Earnings impacts were positive and significant in 1997-1998 but faded completely by 1999. Authors emphasize this as their key finding: gains not sustained (p.1876). 77% lacked HS diploma/GED at baseline (Table 1). Cost: $16,500 per participant (p.1883), in 1995 dollars. Stars: * p&lt;0.10 (two-tailed), but the paper's Table 4 marks significance at the 0.05 level with * — need to verify. Table 4 note says '* = Statistically significant at the .05 level, two-tailed test'. Mean age not reported as a single number; 75% were ages 16-19 (Table 1). UI data available for only 22 states (subset); not used as separate row because of limited coverage. V13 UPDATE: All impact estimates updated to Schochet (2020) W-2/IRS tax data. Earnings in 2015 dollars. Employment: fraction with W-2 form in calendar year (pp).</t>
        </is>
      </c>
      <c r="BR47" t="n">
        <v>16500</v>
      </c>
      <c r="BS47" t="n">
        <v>27956</v>
      </c>
      <c r="BT47" t="inlineStr">
        <is>
          <t>McConnell and Glazerman 2001, Table VII.1 (p.151). Social perspective: earnings + fringe benefits = $27,956 (1995$, year 1: -$1,883, years 2-4: $2,558, post-observation extrapolation: $27,281; 4-year survey data + projected). Also: reduced other programs $2,186, reduced crime $1,240. Total gross social benefit = $30,957. Net social benefit = $16,829 ($2.02 per dollar). Note: Schochet 2020, using 20-year tax records, found Job Corps was NOT cost-effective for the full sample; only the 20-24 age subgroup showed positive net benefits ($3,234 in 2015$).</t>
        </is>
      </c>
      <c r="BU47" t="inlineStr">
        <is>
          <t>multiple</t>
        </is>
      </c>
      <c r="BV47" t="inlineStr">
        <is>
          <t>urban</t>
        </is>
      </c>
      <c r="BW47" t="n">
        <v>1</v>
      </c>
      <c r="BX47" t="n">
        <v>0</v>
      </c>
      <c r="BY47" t="n">
        <v>0</v>
      </c>
      <c r="BZ47" t="n">
        <v>0</v>
      </c>
      <c r="CA47" t="n">
        <v>0</v>
      </c>
      <c r="CB47" t="n">
        <v>0</v>
      </c>
      <c r="CC47" t="n">
        <v>0</v>
      </c>
      <c r="CD47" t="n">
        <v>0</v>
      </c>
      <c r="CE47" t="n">
        <v>68.40000000000001</v>
      </c>
      <c r="CF47" t="n">
        <v>4.6</v>
      </c>
      <c r="CG47" t="n">
        <v>20.8</v>
      </c>
      <c r="CH47" t="n">
        <v>71.7</v>
      </c>
      <c r="CI47" t="n">
        <v>8</v>
      </c>
    </row>
    <row r="48" ht="44.1" customHeight="1">
      <c r="A48" s="2" t="inlineStr">
        <is>
          <t>ETJD</t>
        </is>
      </c>
      <c r="B48" s="2" t="inlineStr">
        <is>
          <t>Atlanta</t>
        </is>
      </c>
      <c r="C48" s="2" t="inlineStr">
        <is>
          <t>ETJD-Atlanta</t>
        </is>
      </c>
      <c r="D48" s="2" t="inlineStr">
        <is>
          <t>ETJD transitional employment program operated by the Atlanta Center for Self-Sufficiency (ACSS). Provided subsidized transitional jobs, case management, and job placement services for noncustodial parents.</t>
        </is>
      </c>
      <c r="E48" s="2" t="inlineStr">
        <is>
          <t>secondary</t>
        </is>
      </c>
      <c r="F48" s="2" t="n">
        <v>0</v>
      </c>
      <c r="G48" s="2" t="n">
        <v>1</v>
      </c>
      <c r="H48" s="2" t="n">
        <v>1</v>
      </c>
      <c r="I48" s="2" t="n">
        <v>1</v>
      </c>
      <c r="J48" s="2" t="inlineStr">
        <is>
          <t>subsidized transitional employment, case management, life skills workshops</t>
        </is>
      </c>
      <c r="K48" s="2" t="inlineStr">
        <is>
          <t>voluntary</t>
        </is>
      </c>
      <c r="L48" s="2" t="inlineStr">
        <is>
          <t>public</t>
        </is>
      </c>
      <c r="M48" s="2" t="inlineStr">
        <is>
          <t>private</t>
        </is>
      </c>
      <c r="N48" s="2" t="inlineStr">
        <is>
          <t>2011 – 2012</t>
        </is>
      </c>
      <c r="O48" t="n">
        <v>2012</v>
      </c>
      <c r="P48" s="2" t="inlineStr">
        <is>
          <t>noncustodial parents</t>
        </is>
      </c>
      <c r="Q48" s="2" t="n"/>
      <c r="R48" s="2" t="n">
        <v>93</v>
      </c>
      <c r="S48" s="2" t="n"/>
      <c r="T48" s="2" t="n"/>
      <c r="U48" s="2" t="n"/>
      <c r="V48" s="2" t="n"/>
      <c r="W48" s="2" t="n"/>
      <c r="X48" s="2" t="inlineStr">
        <is>
          <t>Referred by child support agencies; voluntary enrollment.</t>
        </is>
      </c>
      <c r="Y48" s="2" t="n"/>
      <c r="Z48" s="2" t="n">
        <v>501</v>
      </c>
      <c r="AA48" s="2" t="n">
        <v>495</v>
      </c>
      <c r="AB48" s="2" t="n"/>
      <c r="AC48" s="2" t="n"/>
      <c r="AD48" s="2" t="n"/>
      <c r="AE48" s="2" t="n"/>
      <c r="AF48" s="2" t="n"/>
      <c r="AG48" s="2" t="n"/>
      <c r="AH48" s="2" t="n"/>
      <c r="AI48" s="2" t="n"/>
      <c r="AJ48" s="2" t="n"/>
      <c r="AK48" s="2" t="inlineStr">
        <is>
          <t>NDNH</t>
        </is>
      </c>
      <c r="AL48" s="2" t="n">
        <v>1.5</v>
      </c>
      <c r="AM48" s="2" t="n"/>
      <c r="AN48" s="2" t="n"/>
      <c r="AO48" s="2" t="n"/>
      <c r="AP48" s="2" t="n"/>
      <c r="AQ48" s="2" t="n">
        <v>3811</v>
      </c>
      <c r="AR48" s="2" t="n"/>
      <c r="AS48" s="2" t="n"/>
      <c r="AT48" s="2" t="n">
        <v>12420</v>
      </c>
      <c r="AU48" s="2" t="inlineStr">
        <is>
          <t>cumulative over months 1-18 (derived: 30mo total minus last year, NDNH). Includes subsidized employment earnings.</t>
        </is>
      </c>
      <c r="AV48" s="2" t="n">
        <v>2.5</v>
      </c>
      <c r="AW48" s="2" t="n">
        <v>5</v>
      </c>
      <c r="AX48" s="2" t="n">
        <v>2.58</v>
      </c>
      <c r="AY48" s="2" t="inlineStr">
        <is>
          <t>*</t>
        </is>
      </c>
      <c r="AZ48" s="2" t="n">
        <v>74.09999999999999</v>
      </c>
      <c r="BA48" s="2" t="n">
        <v>930</v>
      </c>
      <c r="BB48" s="2" t="n">
        <v>927.36</v>
      </c>
      <c r="BC48" s="2" t="n"/>
      <c r="BD48" s="2" t="n">
        <v>13168</v>
      </c>
      <c r="BE48" s="2" t="inlineStr">
        <is>
          <t>annual (last year of 30-month follow-up, months 18-30)</t>
        </is>
      </c>
      <c r="BF48" s="2" t="n"/>
      <c r="BG48" s="2" t="n"/>
      <c r="BH48" s="2" t="n"/>
      <c r="BI48" s="2" t="n"/>
      <c r="BP48" t="inlineStr">
        <is>
          <t>Barden, B., Juras, R., Redcross, C., Farrell, M., and Bloom, D. (2018). New Perspectives on Creating Jobs: Final Impacts of the Next Generation of Subsidized Employment Programs. New York: MDRC. Appendix Table B.1, p.125; Table 5.2, p.89.</t>
        </is>
      </c>
      <c r="BQ48" t="inlineStr">
        <is>
          <t>NCP site. Net cost from Table 5.2 (2016 dollars). Earnings last year not significant despite positive 30-month cumulative (Table B.1: $4,741***). Employment impact significant at 10% level. V13 UPDATE: ST earnings = 30mo total ($4741) - last year ($930) = $3811. Control: $25588-$13168=$12420. Source: Appendix Table B.1. WARNING: 18-month period; includes subsidized earnings. No SE derivable.</t>
        </is>
      </c>
      <c r="BR48" t="n">
        <v>6219</v>
      </c>
      <c r="BU48" t="inlineStr">
        <is>
          <t>GA</t>
        </is>
      </c>
      <c r="BV48" t="inlineStr">
        <is>
          <t>urban</t>
        </is>
      </c>
      <c r="BW48" t="n">
        <v>0</v>
      </c>
      <c r="BX48" t="n">
        <v>0</v>
      </c>
      <c r="BY48" t="n">
        <v>1</v>
      </c>
      <c r="BZ48" t="n">
        <v>0</v>
      </c>
      <c r="CA48" t="n">
        <v>0</v>
      </c>
      <c r="CB48" t="n">
        <v>0</v>
      </c>
      <c r="CC48" t="n">
        <v>0</v>
      </c>
      <c r="CD48" t="n">
        <v>0</v>
      </c>
      <c r="CE48" t="n">
        <v>97</v>
      </c>
      <c r="CF48" t="n">
        <v>0</v>
      </c>
      <c r="CI48" t="n">
        <v>4</v>
      </c>
    </row>
    <row r="49" ht="44.1" customHeight="1">
      <c r="A49" s="2" t="inlineStr">
        <is>
          <t>ETJD</t>
        </is>
      </c>
      <c r="B49" s="2" t="inlineStr">
        <is>
          <t>Milwaukee</t>
        </is>
      </c>
      <c r="C49" s="2" t="inlineStr">
        <is>
          <t>ETJD-Milwaukee</t>
        </is>
      </c>
      <c r="D49" s="2" t="inlineStr">
        <is>
          <t>ETJD transitional employment program operated by MAXIMUS. Provided subsidized transitional jobs, case management, and employment services for noncustodial parents.</t>
        </is>
      </c>
      <c r="E49" s="2" t="inlineStr">
        <is>
          <t>secondary</t>
        </is>
      </c>
      <c r="F49" s="2" t="n">
        <v>0</v>
      </c>
      <c r="G49" s="2" t="n">
        <v>1</v>
      </c>
      <c r="H49" s="2" t="n">
        <v>1</v>
      </c>
      <c r="I49" s="2" t="n">
        <v>1</v>
      </c>
      <c r="J49" s="2" t="inlineStr">
        <is>
          <t>subsidized transitional employment, case management, life skills workshops</t>
        </is>
      </c>
      <c r="K49" s="2" t="inlineStr">
        <is>
          <t>voluntary</t>
        </is>
      </c>
      <c r="L49" s="2" t="inlineStr">
        <is>
          <t>public</t>
        </is>
      </c>
      <c r="M49" s="2" t="inlineStr">
        <is>
          <t>private</t>
        </is>
      </c>
      <c r="N49" s="2" t="inlineStr">
        <is>
          <t>2011 – 2012</t>
        </is>
      </c>
      <c r="O49" t="n">
        <v>2012</v>
      </c>
      <c r="P49" s="2" t="inlineStr">
        <is>
          <t>noncustodial parents</t>
        </is>
      </c>
      <c r="Q49" s="2" t="n"/>
      <c r="R49" s="2" t="n">
        <v>93</v>
      </c>
      <c r="S49" s="2" t="n"/>
      <c r="T49" s="2" t="n"/>
      <c r="U49" s="2" t="n"/>
      <c r="V49" s="2" t="n"/>
      <c r="W49" s="2" t="n"/>
      <c r="X49" s="2" t="inlineStr">
        <is>
          <t>Referred by child support agencies; voluntary enrollment.</t>
        </is>
      </c>
      <c r="Y49" s="2" t="n"/>
      <c r="Z49" s="2" t="n">
        <v>502</v>
      </c>
      <c r="AA49" s="2" t="n">
        <v>501</v>
      </c>
      <c r="AB49" s="2" t="n"/>
      <c r="AC49" s="2" t="n"/>
      <c r="AD49" s="2" t="n"/>
      <c r="AE49" s="2" t="n"/>
      <c r="AF49" s="2" t="n"/>
      <c r="AG49" s="2" t="n"/>
      <c r="AH49" s="2" t="n"/>
      <c r="AI49" s="2" t="n"/>
      <c r="AJ49" s="2" t="n"/>
      <c r="AK49" s="2" t="inlineStr">
        <is>
          <t>NDNH</t>
        </is>
      </c>
      <c r="AL49" s="2" t="n">
        <v>1.5</v>
      </c>
      <c r="AM49" s="2" t="n"/>
      <c r="AN49" s="2" t="n"/>
      <c r="AO49" s="2" t="n"/>
      <c r="AP49" s="2" t="n"/>
      <c r="AQ49" s="2" t="n">
        <v>2308</v>
      </c>
      <c r="AR49" s="2" t="n"/>
      <c r="AS49" s="2" t="n"/>
      <c r="AT49" s="2" t="n">
        <v>5692</v>
      </c>
      <c r="AU49" s="2" t="inlineStr">
        <is>
          <t>cumulative over months 1-18 (derived: 30mo total minus last year, NDNH). Includes subsidized employment earnings.</t>
        </is>
      </c>
      <c r="AV49" s="2" t="n">
        <v>2.5</v>
      </c>
      <c r="AW49" s="2" t="n">
        <v>2.5</v>
      </c>
      <c r="AX49" s="2" t="n">
        <v>2.8</v>
      </c>
      <c r="AY49" s="2" t="n"/>
      <c r="AZ49" s="2" t="n">
        <v>69.2</v>
      </c>
      <c r="BA49" s="2" t="n">
        <v>567</v>
      </c>
      <c r="BB49" s="2" t="n">
        <v>566.26</v>
      </c>
      <c r="BC49" s="2" t="n"/>
      <c r="BD49" s="2" t="n">
        <v>6592</v>
      </c>
      <c r="BE49" s="2" t="inlineStr">
        <is>
          <t>annual (last year of 30-month follow-up, months 18-30)</t>
        </is>
      </c>
      <c r="BF49" s="2" t="n"/>
      <c r="BG49" s="2" t="n"/>
      <c r="BH49" s="2" t="n"/>
      <c r="BI49" s="2" t="n"/>
      <c r="BP49" t="inlineStr">
        <is>
          <t>Barden, B., Juras, R., Redcross, C., Farrell, M., and Bloom, D. (2018). New Perspectives on Creating Jobs: Final Impacts of the Next Generation of Subsidized Employment Programs. New York: MDRC. Appendix Table C.1, p.127; Table 5.2, p.89.</t>
        </is>
      </c>
      <c r="BQ49" t="inlineStr">
        <is>
          <t>NCP site. Net cost from Table 5.2 (2016 dollars). Neither last-year earnings nor employment impacts significant, though cumulative 30-month earnings strongly positive ($2,875***). V13 UPDATE: ST earnings = 30mo total ($2875) - last year ($567) = $2308. Control: $12284-$6592=$5692. Source: Appendix Table C.1. WARNING: 18-month period; includes subsidized earnings. No SE derivable.</t>
        </is>
      </c>
      <c r="BR49" t="n">
        <v>6670</v>
      </c>
      <c r="BU49" t="inlineStr">
        <is>
          <t>WI</t>
        </is>
      </c>
      <c r="BV49" t="inlineStr">
        <is>
          <t>urban</t>
        </is>
      </c>
      <c r="BW49" t="n">
        <v>0</v>
      </c>
      <c r="BX49" t="n">
        <v>0</v>
      </c>
      <c r="BY49" t="n">
        <v>0</v>
      </c>
      <c r="BZ49" t="n">
        <v>0</v>
      </c>
      <c r="CA49" t="n">
        <v>0</v>
      </c>
      <c r="CB49" t="n">
        <v>0</v>
      </c>
      <c r="CC49" t="n">
        <v>0</v>
      </c>
      <c r="CD49" t="n">
        <v>0</v>
      </c>
      <c r="CE49" t="n">
        <v>63</v>
      </c>
      <c r="CF49" t="n">
        <v>0</v>
      </c>
      <c r="CI49" t="n">
        <v>6</v>
      </c>
    </row>
    <row r="50" ht="44.1" customHeight="1">
      <c r="A50" s="2" t="inlineStr">
        <is>
          <t>ETJD</t>
        </is>
      </c>
      <c r="B50" s="2" t="inlineStr">
        <is>
          <t>San Francisco</t>
        </is>
      </c>
      <c r="C50" s="2" t="inlineStr">
        <is>
          <t>ETJD-San Francisco</t>
        </is>
      </c>
      <c r="D50" s="2" t="inlineStr">
        <is>
          <t>ETJD transitional employment program operated by the San Francisco Department of Child Support Services and Arriba Juntos. Provided subsidized transitional jobs, case management, and employment services for noncustodial parents.</t>
        </is>
      </c>
      <c r="E50" s="2" t="inlineStr">
        <is>
          <t>secondary</t>
        </is>
      </c>
      <c r="F50" s="2" t="n">
        <v>0</v>
      </c>
      <c r="G50" s="2" t="n">
        <v>1</v>
      </c>
      <c r="H50" s="2" t="n">
        <v>1</v>
      </c>
      <c r="I50" s="2" t="n">
        <v>1</v>
      </c>
      <c r="J50" s="2" t="inlineStr">
        <is>
          <t>subsidized transitional employment, case management, life skills workshops</t>
        </is>
      </c>
      <c r="K50" s="2" t="inlineStr">
        <is>
          <t>voluntary</t>
        </is>
      </c>
      <c r="L50" s="2" t="inlineStr">
        <is>
          <t>public</t>
        </is>
      </c>
      <c r="M50" s="2" t="inlineStr">
        <is>
          <t>private</t>
        </is>
      </c>
      <c r="N50" s="2" t="inlineStr">
        <is>
          <t>2011 – 2012</t>
        </is>
      </c>
      <c r="O50" t="n">
        <v>2012</v>
      </c>
      <c r="P50" s="2" t="inlineStr">
        <is>
          <t>noncustodial parents</t>
        </is>
      </c>
      <c r="Q50" s="2" t="n"/>
      <c r="R50" s="2" t="n">
        <v>93</v>
      </c>
      <c r="S50" s="2" t="n"/>
      <c r="T50" s="2" t="n"/>
      <c r="U50" s="2" t="n"/>
      <c r="V50" s="2" t="n"/>
      <c r="W50" s="2" t="n"/>
      <c r="X50" s="2" t="inlineStr">
        <is>
          <t>Referred by child support agencies; voluntary enrollment.</t>
        </is>
      </c>
      <c r="Y50" s="2" t="n"/>
      <c r="Z50" s="2" t="n">
        <v>502</v>
      </c>
      <c r="AA50" s="2" t="n">
        <v>492</v>
      </c>
      <c r="AB50" s="2" t="n"/>
      <c r="AC50" s="2" t="n"/>
      <c r="AD50" s="2" t="n"/>
      <c r="AE50" s="2" t="n"/>
      <c r="AF50" s="2" t="n"/>
      <c r="AG50" s="2" t="n"/>
      <c r="AH50" s="2" t="n"/>
      <c r="AI50" s="2" t="n"/>
      <c r="AJ50" s="2" t="n"/>
      <c r="AK50" s="2" t="inlineStr">
        <is>
          <t>NDNH</t>
        </is>
      </c>
      <c r="AL50" s="2" t="n">
        <v>1.5</v>
      </c>
      <c r="AM50" s="2" t="n"/>
      <c r="AN50" s="2" t="n"/>
      <c r="AO50" s="2" t="n"/>
      <c r="AP50" s="2" t="n"/>
      <c r="AQ50" s="2" t="n">
        <v>4414</v>
      </c>
      <c r="AR50" s="2" t="n"/>
      <c r="AS50" s="2" t="n"/>
      <c r="AT50" s="2" t="n">
        <v>8433</v>
      </c>
      <c r="AU50" s="2" t="inlineStr">
        <is>
          <t>cumulative over months 1-18 (derived: 30mo total minus last year, NDNH). Includes subsidized employment earnings.</t>
        </is>
      </c>
      <c r="AV50" s="2" t="n">
        <v>2.5</v>
      </c>
      <c r="AW50" s="2" t="n">
        <v>7.6</v>
      </c>
      <c r="AX50" s="2" t="n">
        <v>3.01</v>
      </c>
      <c r="AY50" s="2" t="inlineStr">
        <is>
          <t>**</t>
        </is>
      </c>
      <c r="AZ50" s="2" t="n">
        <v>53.9</v>
      </c>
      <c r="BA50" s="2" t="n">
        <v>1660</v>
      </c>
      <c r="BB50" s="2" t="n">
        <v>871.4299999999999</v>
      </c>
      <c r="BC50" s="2" t="inlineStr">
        <is>
          <t>*</t>
        </is>
      </c>
      <c r="BD50" s="2" t="n">
        <v>8551</v>
      </c>
      <c r="BE50" s="2" t="inlineStr">
        <is>
          <t>annual (last year of 30-month follow-up, months 18-30)</t>
        </is>
      </c>
      <c r="BF50" s="2" t="n"/>
      <c r="BG50" s="2" t="n"/>
      <c r="BH50" s="2" t="n"/>
      <c r="BI50" s="2" t="n"/>
      <c r="BP50" t="inlineStr">
        <is>
          <t>Barden, B., Juras, R., Redcross, C., Farrell, M., and Bloom, D. (2018). New Perspectives on Creating Jobs: Final Impacts of the Next Generation of Subsidized Employment Programs. New York: MDRC. Appendix Table D.1, p.133; Table 5.2, p.89.</t>
        </is>
      </c>
      <c r="BQ50" t="inlineStr">
        <is>
          <t>NCP site. Net cost from Table 5.2 (2016 dollars). Both last-year earnings (*) and employment (**) significant. Cumulative 30-month earnings: $6,074***. Strongest NCP site. V13 UPDATE: ST earnings = 30mo total ($6074) - last year ($1660) = $4414. Control: $16984-$8551=$8433. Source: Appendix Table D.1. WARNING: 18-month period; includes subsidized earnings. No SE derivable.</t>
        </is>
      </c>
      <c r="BR50" t="n">
        <v>8662</v>
      </c>
      <c r="BU50" t="inlineStr">
        <is>
          <t>CA</t>
        </is>
      </c>
      <c r="BV50" t="inlineStr">
        <is>
          <t>urban</t>
        </is>
      </c>
      <c r="BW50" t="n">
        <v>0</v>
      </c>
      <c r="BX50" t="n">
        <v>0</v>
      </c>
      <c r="BY50" t="n">
        <v>0</v>
      </c>
      <c r="BZ50" t="n">
        <v>0</v>
      </c>
      <c r="CA50" t="n">
        <v>0</v>
      </c>
      <c r="CB50" t="n">
        <v>0</v>
      </c>
      <c r="CC50" t="n">
        <v>0</v>
      </c>
      <c r="CD50" t="n">
        <v>0</v>
      </c>
      <c r="CE50" t="n">
        <v>44</v>
      </c>
      <c r="CF50" t="n">
        <v>0</v>
      </c>
    </row>
    <row r="51" ht="44.1" customHeight="1">
      <c r="A51" s="2" t="inlineStr">
        <is>
          <t>ETJD</t>
        </is>
      </c>
      <c r="B51" s="2" t="inlineStr">
        <is>
          <t>Syracuse</t>
        </is>
      </c>
      <c r="C51" s="2" t="inlineStr">
        <is>
          <t>ETJD-Syracuse</t>
        </is>
      </c>
      <c r="D51" s="2" t="inlineStr">
        <is>
          <t>ETJD transitional employment program operated by the Center for Employment Opportunities (CEO). Provided subsidized transitional jobs, case management, and employment services for noncustodial parents.</t>
        </is>
      </c>
      <c r="E51" s="2" t="inlineStr">
        <is>
          <t>secondary</t>
        </is>
      </c>
      <c r="F51" s="2" t="n">
        <v>0</v>
      </c>
      <c r="G51" s="2" t="n">
        <v>1</v>
      </c>
      <c r="H51" s="2" t="n">
        <v>1</v>
      </c>
      <c r="I51" s="2" t="n">
        <v>1</v>
      </c>
      <c r="J51" s="2" t="inlineStr">
        <is>
          <t>subsidized transitional employment, case management, life skills workshops</t>
        </is>
      </c>
      <c r="K51" s="2" t="inlineStr">
        <is>
          <t>voluntary</t>
        </is>
      </c>
      <c r="L51" s="2" t="inlineStr">
        <is>
          <t>public</t>
        </is>
      </c>
      <c r="M51" s="2" t="inlineStr">
        <is>
          <t>private</t>
        </is>
      </c>
      <c r="N51" s="2" t="inlineStr">
        <is>
          <t>2011 – 2012</t>
        </is>
      </c>
      <c r="O51" t="n">
        <v>2012</v>
      </c>
      <c r="P51" s="2" t="inlineStr">
        <is>
          <t>noncustodial parents</t>
        </is>
      </c>
      <c r="Q51" s="2" t="n"/>
      <c r="R51" s="2" t="n">
        <v>93</v>
      </c>
      <c r="S51" s="2" t="n"/>
      <c r="T51" s="2" t="n"/>
      <c r="U51" s="2" t="n"/>
      <c r="V51" s="2" t="n"/>
      <c r="W51" s="2" t="n"/>
      <c r="X51" s="2" t="inlineStr">
        <is>
          <t>Referred by child support agencies; voluntary enrollment.</t>
        </is>
      </c>
      <c r="Y51" s="2" t="n"/>
      <c r="Z51" s="2" t="n">
        <v>506</v>
      </c>
      <c r="AA51" s="2" t="n">
        <v>498</v>
      </c>
      <c r="AB51" s="2" t="n"/>
      <c r="AC51" s="2" t="n"/>
      <c r="AD51" s="2" t="n"/>
      <c r="AE51" s="2" t="n"/>
      <c r="AF51" s="2" t="n"/>
      <c r="AG51" s="2" t="n"/>
      <c r="AH51" s="2" t="n"/>
      <c r="AI51" s="2" t="n"/>
      <c r="AJ51" s="2" t="n"/>
      <c r="AK51" s="2" t="inlineStr">
        <is>
          <t>NDNH</t>
        </is>
      </c>
      <c r="AL51" s="2" t="n">
        <v>1.5</v>
      </c>
      <c r="AM51" s="2" t="n"/>
      <c r="AN51" s="2" t="n"/>
      <c r="AO51" s="2" t="n"/>
      <c r="AP51" s="2" t="n"/>
      <c r="AQ51" s="2" t="n">
        <v>1067</v>
      </c>
      <c r="AR51" s="2" t="n"/>
      <c r="AS51" s="2" t="n"/>
      <c r="AT51" s="2" t="n">
        <v>5112</v>
      </c>
      <c r="AU51" s="2" t="inlineStr">
        <is>
          <t>cumulative over months 1-18 (derived: 30mo total minus last year, NDNH). Includes subsidized employment earnings.</t>
        </is>
      </c>
      <c r="AV51" s="2" t="n">
        <v>2.5</v>
      </c>
      <c r="AW51" s="2" t="n">
        <v>3.7</v>
      </c>
      <c r="AX51" s="2" t="n">
        <v>2.98</v>
      </c>
      <c r="AY51" s="2" t="n"/>
      <c r="AZ51" s="2" t="n">
        <v>55.7</v>
      </c>
      <c r="BA51" s="2" t="n">
        <v>931</v>
      </c>
      <c r="BB51" s="2" t="n">
        <v>496.35</v>
      </c>
      <c r="BC51" s="2" t="inlineStr">
        <is>
          <t>*</t>
        </is>
      </c>
      <c r="BD51" s="2" t="n">
        <v>4582</v>
      </c>
      <c r="BE51" s="2" t="inlineStr">
        <is>
          <t>annual (last year of 30-month follow-up, months 18-30)</t>
        </is>
      </c>
      <c r="BF51" s="2" t="n"/>
      <c r="BG51" s="2" t="n"/>
      <c r="BH51" s="2" t="n"/>
      <c r="BI51" s="2" t="n"/>
      <c r="BP51" t="inlineStr">
        <is>
          <t>Barden, B., Juras, R., Redcross, C., Farrell, M., and Bloom, D. (2018). New Perspectives on Creating Jobs: Final Impacts of the Next Generation of Subsidized Employment Programs. New York: MDRC. Appendix Table E.1, p.149; Table 5.2, p.89.</t>
        </is>
      </c>
      <c r="BQ51" t="inlineStr">
        <is>
          <t>NCP site. Net cost from Table 5.2 (2016 dollars). Last-year earnings significant at 10% ($931*), employment not significant. Cumulative 30-month earnings: $1,998**. V13 UPDATE: ST earnings = 30mo total ($1998) - last year ($931) = $1067. Control: $9694-$4582=$5112. Source: Appendix Table E.1. WARNING: 18-month period; includes subsidized earnings. No SE derivable.</t>
        </is>
      </c>
      <c r="BR51" t="n">
        <v>7206</v>
      </c>
      <c r="BU51" t="inlineStr">
        <is>
          <t>NY</t>
        </is>
      </c>
      <c r="BV51" t="inlineStr">
        <is>
          <t>urban</t>
        </is>
      </c>
      <c r="BW51" t="n">
        <v>0</v>
      </c>
      <c r="BX51" t="n">
        <v>0</v>
      </c>
      <c r="BY51" t="n">
        <v>1</v>
      </c>
      <c r="BZ51" t="n">
        <v>0</v>
      </c>
      <c r="CA51" t="n">
        <v>0</v>
      </c>
      <c r="CB51" t="n">
        <v>1</v>
      </c>
      <c r="CC51" t="n">
        <v>0</v>
      </c>
      <c r="CD51" t="n">
        <v>0</v>
      </c>
      <c r="CE51" t="n">
        <v>80</v>
      </c>
      <c r="CF51" t="n">
        <v>0</v>
      </c>
    </row>
    <row r="52" ht="44.1" customHeight="1">
      <c r="A52" s="2" t="inlineStr">
        <is>
          <t>ETJD</t>
        </is>
      </c>
      <c r="B52" s="2" t="inlineStr">
        <is>
          <t>Fort Worth</t>
        </is>
      </c>
      <c r="C52" s="2" t="inlineStr">
        <is>
          <t>ETJD-Fort Worth</t>
        </is>
      </c>
      <c r="D52" s="2" t="inlineStr">
        <is>
          <t>ETJD transitional employment program operated by Workforce Solutions for Tarrant County and the Tarrant County Community Supervision and Corrections Department. Provided subsidized transitional jobs, case management, and employment services for ex-offenders.</t>
        </is>
      </c>
      <c r="E52" s="2" t="inlineStr">
        <is>
          <t>secondary</t>
        </is>
      </c>
      <c r="F52" s="2" t="n">
        <v>0</v>
      </c>
      <c r="G52" s="2" t="n">
        <v>1</v>
      </c>
      <c r="H52" s="2" t="n">
        <v>1</v>
      </c>
      <c r="I52" s="2" t="n">
        <v>1</v>
      </c>
      <c r="J52" s="2" t="inlineStr">
        <is>
          <t>subsidized transitional employment, case management, life skills workshops</t>
        </is>
      </c>
      <c r="K52" s="2" t="inlineStr">
        <is>
          <t>voluntary</t>
        </is>
      </c>
      <c r="L52" s="2" t="inlineStr">
        <is>
          <t>public</t>
        </is>
      </c>
      <c r="M52" s="2" t="inlineStr">
        <is>
          <t>private</t>
        </is>
      </c>
      <c r="N52" s="2" t="inlineStr">
        <is>
          <t>2011 – 2012</t>
        </is>
      </c>
      <c r="O52" t="n">
        <v>2012</v>
      </c>
      <c r="P52" s="2" t="inlineStr">
        <is>
          <t>ex-offenders</t>
        </is>
      </c>
      <c r="Q52" s="2" t="n"/>
      <c r="R52" s="2" t="n">
        <v>94</v>
      </c>
      <c r="S52" s="2" t="n"/>
      <c r="T52" s="2" t="n"/>
      <c r="U52" s="2" t="n"/>
      <c r="V52" s="2" t="n"/>
      <c r="W52" s="2" t="n"/>
      <c r="X52" s="2" t="inlineStr">
        <is>
          <t>Referred by criminal justice agencies; voluntary enrollment.</t>
        </is>
      </c>
      <c r="Y52" s="2" t="n"/>
      <c r="Z52" s="2" t="n">
        <v>503</v>
      </c>
      <c r="AA52" s="2" t="n">
        <v>495</v>
      </c>
      <c r="AB52" s="2" t="n"/>
      <c r="AC52" s="2" t="n"/>
      <c r="AD52" s="2" t="n"/>
      <c r="AE52" s="2" t="n"/>
      <c r="AF52" s="2" t="n"/>
      <c r="AG52" s="2" t="n"/>
      <c r="AH52" s="2" t="n"/>
      <c r="AI52" s="2" t="n"/>
      <c r="AJ52" s="2" t="n"/>
      <c r="AK52" s="2" t="inlineStr">
        <is>
          <t>NDNH</t>
        </is>
      </c>
      <c r="AL52" s="2" t="n">
        <v>1.5</v>
      </c>
      <c r="AM52" s="2" t="n"/>
      <c r="AN52" s="2" t="n"/>
      <c r="AO52" s="2" t="n"/>
      <c r="AP52" s="2" t="n"/>
      <c r="AQ52" s="2" t="n">
        <v>-486</v>
      </c>
      <c r="AR52" s="2" t="n"/>
      <c r="AS52" s="2" t="n"/>
      <c r="AT52" s="2" t="n">
        <v>10176</v>
      </c>
      <c r="AU52" s="2" t="inlineStr">
        <is>
          <t>cumulative over months 1-18 (derived: 30mo total minus last year, NDNH). Includes subsidized employment earnings.</t>
        </is>
      </c>
      <c r="AV52" s="2" t="n">
        <v>2.5</v>
      </c>
      <c r="AW52" s="2" t="n">
        <v>-3.2</v>
      </c>
      <c r="AX52" s="2" t="n">
        <v>3.07</v>
      </c>
      <c r="AY52" s="2" t="n"/>
      <c r="AZ52" s="2" t="n">
        <v>60.7</v>
      </c>
      <c r="BA52" s="2" t="n">
        <v>-657</v>
      </c>
      <c r="BB52" s="2" t="n">
        <v>800.91</v>
      </c>
      <c r="BC52" s="2" t="n"/>
      <c r="BD52" s="2" t="n">
        <v>9122</v>
      </c>
      <c r="BE52" s="2" t="inlineStr">
        <is>
          <t>annual (last year of 30-month follow-up, months 18-30)</t>
        </is>
      </c>
      <c r="BF52" s="2" t="n"/>
      <c r="BG52" s="2" t="n"/>
      <c r="BH52" s="2" t="n"/>
      <c r="BI52" s="2" t="n"/>
      <c r="BP52" t="inlineStr">
        <is>
          <t>Barden, B., Juras, R., Redcross, C., Farrell, M., and Bloom, D. (2018). New Perspectives on Creating Jobs: Final Impacts of the Next Generation of Subsidized Employment Programs. New York: MDRC. Appendix Table F.1, p.165; Table 5.2, p.89.</t>
        </is>
      </c>
      <c r="BQ52" t="inlineStr">
        <is>
          <t>Ex-offender site. Net cost from Table 5.2 (2016 dollars). Negative impacts on both earnings and employment, none significant. Cumulative 30-month earnings also negative (-$1,143, not significant). Only ETJD site with consistently negative results. V13 UPDATE: ST earnings = 30mo total ($-1143) - last year ($-657) = $-486. Control: $19298-$9122=$10176. Source: Appendix Table F.1. WARNING: 18-month period; includes subsidized earnings. No SE derivable.</t>
        </is>
      </c>
      <c r="BR52" t="n">
        <v>8899</v>
      </c>
      <c r="BU52" t="inlineStr">
        <is>
          <t>TX</t>
        </is>
      </c>
      <c r="BV52" t="inlineStr">
        <is>
          <t>urban</t>
        </is>
      </c>
      <c r="BW52" t="n">
        <v>0</v>
      </c>
      <c r="BX52" t="n">
        <v>0</v>
      </c>
      <c r="BY52" t="n">
        <v>0</v>
      </c>
      <c r="BZ52" t="n">
        <v>0</v>
      </c>
      <c r="CA52" t="n">
        <v>0</v>
      </c>
      <c r="CB52" t="n">
        <v>1</v>
      </c>
      <c r="CC52" t="n">
        <v>0</v>
      </c>
      <c r="CD52" t="n">
        <v>0</v>
      </c>
      <c r="CE52" t="n">
        <v>39</v>
      </c>
      <c r="CF52" t="n">
        <v>0</v>
      </c>
      <c r="CI52" t="n">
        <v>4.5</v>
      </c>
    </row>
    <row r="53" ht="44.1" customHeight="1">
      <c r="A53" s="2" t="inlineStr">
        <is>
          <t>ETJD</t>
        </is>
      </c>
      <c r="B53" s="2" t="inlineStr">
        <is>
          <t>Indianapolis</t>
        </is>
      </c>
      <c r="C53" s="2" t="inlineStr">
        <is>
          <t>ETJD-Indianapolis</t>
        </is>
      </c>
      <c r="D53" s="2" t="inlineStr">
        <is>
          <t>ETJD transitional employment program operated by RecycleForce. Provided subsidized transitional jobs in electronics recycling, case management, and employment services for ex-offenders.</t>
        </is>
      </c>
      <c r="E53" s="2" t="inlineStr">
        <is>
          <t>secondary</t>
        </is>
      </c>
      <c r="F53" s="2" t="n">
        <v>0</v>
      </c>
      <c r="G53" s="2" t="n">
        <v>1</v>
      </c>
      <c r="H53" s="2" t="n">
        <v>1</v>
      </c>
      <c r="I53" s="2" t="n">
        <v>1</v>
      </c>
      <c r="J53" s="2" t="inlineStr">
        <is>
          <t>subsidized transitional employment, case management, life skills workshops</t>
        </is>
      </c>
      <c r="K53" s="2" t="inlineStr">
        <is>
          <t>voluntary</t>
        </is>
      </c>
      <c r="L53" s="2" t="inlineStr">
        <is>
          <t>public</t>
        </is>
      </c>
      <c r="M53" s="2" t="inlineStr">
        <is>
          <t>private</t>
        </is>
      </c>
      <c r="N53" s="2" t="inlineStr">
        <is>
          <t>2011 – 2012</t>
        </is>
      </c>
      <c r="O53" t="n">
        <v>2012</v>
      </c>
      <c r="P53" s="2" t="inlineStr">
        <is>
          <t>ex-offenders</t>
        </is>
      </c>
      <c r="Q53" s="2" t="n"/>
      <c r="R53" s="2" t="n">
        <v>94</v>
      </c>
      <c r="S53" s="2" t="n"/>
      <c r="T53" s="2" t="n"/>
      <c r="U53" s="2" t="n"/>
      <c r="V53" s="2" t="n"/>
      <c r="W53" s="2" t="n"/>
      <c r="X53" s="2" t="inlineStr">
        <is>
          <t>Referred by criminal justice agencies; voluntary enrollment.</t>
        </is>
      </c>
      <c r="Y53" s="2" t="n"/>
      <c r="Z53" s="2" t="n">
        <v>500</v>
      </c>
      <c r="AA53" s="2" t="n">
        <v>497</v>
      </c>
      <c r="AB53" s="2" t="n"/>
      <c r="AC53" s="2" t="n"/>
      <c r="AD53" s="2" t="n"/>
      <c r="AE53" s="2" t="n"/>
      <c r="AF53" s="2" t="n"/>
      <c r="AG53" s="2" t="n"/>
      <c r="AH53" s="2" t="n"/>
      <c r="AI53" s="2" t="n"/>
      <c r="AJ53" s="2" t="n"/>
      <c r="AK53" s="2" t="inlineStr">
        <is>
          <t>NDNH</t>
        </is>
      </c>
      <c r="AL53" s="2" t="n">
        <v>1.5</v>
      </c>
      <c r="AM53" s="2" t="n"/>
      <c r="AN53" s="2" t="n"/>
      <c r="AO53" s="2" t="n"/>
      <c r="AP53" s="2" t="n"/>
      <c r="AQ53" s="2" t="n">
        <v>3759</v>
      </c>
      <c r="AR53" s="2" t="n"/>
      <c r="AS53" s="2" t="n"/>
      <c r="AT53" s="2" t="n">
        <v>4719</v>
      </c>
      <c r="AU53" s="2" t="inlineStr">
        <is>
          <t>cumulative over months 1-18 (derived: 30mo total minus last year, NDNH). Includes subsidized employment earnings.</t>
        </is>
      </c>
      <c r="AV53" s="2" t="n">
        <v>2.5</v>
      </c>
      <c r="AW53" s="2" t="n">
        <v>9</v>
      </c>
      <c r="AX53" s="2" t="n">
        <v>3.1</v>
      </c>
      <c r="AY53" s="2" t="inlineStr">
        <is>
          <t>***</t>
        </is>
      </c>
      <c r="AZ53" s="2" t="n">
        <v>55.7</v>
      </c>
      <c r="BA53" s="2" t="n">
        <v>1016</v>
      </c>
      <c r="BB53" s="2" t="n">
        <v>458.97</v>
      </c>
      <c r="BC53" s="2" t="inlineStr">
        <is>
          <t>**</t>
        </is>
      </c>
      <c r="BD53" s="2" t="n">
        <v>4186</v>
      </c>
      <c r="BE53" s="2" t="inlineStr">
        <is>
          <t>annual (last year of 30-month follow-up, months 18-30)</t>
        </is>
      </c>
      <c r="BF53" s="2" t="n"/>
      <c r="BG53" s="2" t="n"/>
      <c r="BH53" s="2" t="n"/>
      <c r="BI53" s="2" t="n"/>
      <c r="BP53" t="inlineStr">
        <is>
          <t>Barden, B., Juras, R., Redcross, C., Farrell, M., and Bloom, D. (2018). New Perspectives on Creating Jobs: Final Impacts of the Next Generation of Subsidized Employment Programs. New York: MDRC. Appendix Table G.1, p.179; Table 5.2, p.89.</t>
        </is>
      </c>
      <c r="BQ53" t="inlineStr">
        <is>
          <t>Ex-offender site. Net cost from Table 5.2 (2016 dollars). Strongest impacts among ex-offender sites: earnings ** and employment ***. Cumulative 30-month earnings: $4,775***. Also large criminal justice impacts (-48*** days incarcerated). V13 UPDATE: ST earnings = 30mo total ($4775) - last year ($1016) = $3759. Control: $8905-$4186=$4719. Source: Appendix Table G.1. WARNING: 18-month period; includes subsidized earnings. No SE derivable.</t>
        </is>
      </c>
      <c r="BR53" t="n">
        <v>11075</v>
      </c>
      <c r="BU53" t="inlineStr">
        <is>
          <t>IN</t>
        </is>
      </c>
      <c r="BV53" t="inlineStr">
        <is>
          <t>urban</t>
        </is>
      </c>
      <c r="BW53" t="n">
        <v>0</v>
      </c>
      <c r="BX53" t="n">
        <v>0</v>
      </c>
      <c r="BY53" t="n">
        <v>1</v>
      </c>
      <c r="BZ53" t="n">
        <v>0</v>
      </c>
      <c r="CA53" t="n">
        <v>0</v>
      </c>
      <c r="CB53" t="n">
        <v>1</v>
      </c>
      <c r="CC53" t="n">
        <v>0</v>
      </c>
      <c r="CD53" t="n">
        <v>0</v>
      </c>
      <c r="CE53" t="n">
        <v>100</v>
      </c>
      <c r="CF53" t="n">
        <v>0</v>
      </c>
    </row>
    <row r="54" ht="44.1" customHeight="1">
      <c r="A54" s="2" t="inlineStr">
        <is>
          <t>ETJD</t>
        </is>
      </c>
      <c r="B54" s="2" t="inlineStr">
        <is>
          <t>New York City</t>
        </is>
      </c>
      <c r="C54" s="2" t="inlineStr">
        <is>
          <t>ETJD-York City</t>
        </is>
      </c>
      <c r="D54" s="2" t="inlineStr">
        <is>
          <t>ETJD transitional employment program operated by the Center for Employment Opportunities (CEO). Provided subsidized transitional jobs (day labor crews), life skills education, job coaching, and job placement and retention services for ex-offenders.</t>
        </is>
      </c>
      <c r="E54" s="2" t="inlineStr">
        <is>
          <t>secondary</t>
        </is>
      </c>
      <c r="F54" s="2" t="n">
        <v>0</v>
      </c>
      <c r="G54" s="2" t="n">
        <v>1</v>
      </c>
      <c r="H54" s="2" t="n">
        <v>1</v>
      </c>
      <c r="I54" s="2" t="n">
        <v>1</v>
      </c>
      <c r="J54" s="2" t="inlineStr">
        <is>
          <t>subsidized transitional employment, case management, life skills workshops</t>
        </is>
      </c>
      <c r="K54" s="2" t="inlineStr">
        <is>
          <t>voluntary</t>
        </is>
      </c>
      <c r="L54" s="2" t="inlineStr">
        <is>
          <t>public</t>
        </is>
      </c>
      <c r="M54" s="2" t="inlineStr">
        <is>
          <t>private</t>
        </is>
      </c>
      <c r="N54" s="2" t="inlineStr">
        <is>
          <t>2011 – 2012</t>
        </is>
      </c>
      <c r="O54" t="n">
        <v>2012</v>
      </c>
      <c r="P54" s="2" t="inlineStr">
        <is>
          <t>ex-offenders</t>
        </is>
      </c>
      <c r="Q54" s="2" t="n"/>
      <c r="R54" s="2" t="n">
        <v>94</v>
      </c>
      <c r="S54" s="2" t="n"/>
      <c r="T54" s="2" t="n"/>
      <c r="U54" s="2" t="n"/>
      <c r="V54" s="2" t="n"/>
      <c r="W54" s="2" t="n"/>
      <c r="X54" s="2" t="inlineStr">
        <is>
          <t>Referred by criminal justice agencies; voluntary enrollment.</t>
        </is>
      </c>
      <c r="Y54" s="2" t="n"/>
      <c r="Z54" s="2" t="n">
        <v>504</v>
      </c>
      <c r="AA54" s="2" t="n">
        <v>501</v>
      </c>
      <c r="AB54" s="2" t="n"/>
      <c r="AC54" s="2" t="n"/>
      <c r="AD54" s="2" t="n"/>
      <c r="AE54" s="2" t="n"/>
      <c r="AF54" s="2" t="n"/>
      <c r="AG54" s="2" t="n"/>
      <c r="AH54" s="2" t="n"/>
      <c r="AI54" s="2" t="n"/>
      <c r="AJ54" s="2" t="n"/>
      <c r="AK54" s="2" t="inlineStr">
        <is>
          <t>NDNH</t>
        </is>
      </c>
      <c r="AL54" s="2" t="n">
        <v>1.5</v>
      </c>
      <c r="AM54" s="2" t="n"/>
      <c r="AN54" s="2" t="n"/>
      <c r="AO54" s="2" t="n"/>
      <c r="AP54" s="2" t="n"/>
      <c r="AQ54" s="2" t="n">
        <v>1784</v>
      </c>
      <c r="AR54" s="2" t="n"/>
      <c r="AS54" s="2" t="n"/>
      <c r="AT54" s="2" t="n">
        <v>7287</v>
      </c>
      <c r="AU54" s="2" t="inlineStr">
        <is>
          <t>cumulative over months 1-18 (derived: 30mo total minus last year, NDNH). Includes subsidized employment earnings.</t>
        </is>
      </c>
      <c r="AV54" s="2" t="n">
        <v>2.5</v>
      </c>
      <c r="AW54" s="2" t="n">
        <v>3.5</v>
      </c>
      <c r="AX54" s="2" t="n">
        <v>3.07</v>
      </c>
      <c r="AY54" s="2" t="n"/>
      <c r="AZ54" s="2" t="n">
        <v>53.4</v>
      </c>
      <c r="BA54" s="2" t="n">
        <v>247</v>
      </c>
      <c r="BB54" s="2" t="n">
        <v>651.0599999999999</v>
      </c>
      <c r="BC54" s="2" t="n"/>
      <c r="BD54" s="2" t="n">
        <v>7124</v>
      </c>
      <c r="BE54" s="2" t="inlineStr">
        <is>
          <t>annual (last year of 30-month follow-up, months 18-30)</t>
        </is>
      </c>
      <c r="BF54" s="2" t="n"/>
      <c r="BG54" s="2" t="n"/>
      <c r="BH54" s="2" t="n"/>
      <c r="BI54" s="2" t="n"/>
      <c r="BP54" t="inlineStr">
        <is>
          <t>Barden, B., Juras, R., Redcross, C., Farrell, M., and Bloom, D. (2018). New Perspectives on Creating Jobs: Final Impacts of the Next Generation of Subsidized Employment Programs. New York: MDRC. Appendix Table H.1, p.193; Table 5.2, p.89.</t>
        </is>
      </c>
      <c r="BQ54" t="inlineStr">
        <is>
          <t>Ex-offender site. Net cost from Table 5.2 (2016 dollars). Last-year earnings and employment both positive but not significant. Cumulative 30-month earnings: $2,031*. Note: CEO also operates the Syracuse NCP site. V13 UPDATE: ST earnings = 30mo total ($2031) - last year ($247) = $1784. Control: $14411-$7124=$7287. Source: Appendix Table H.1. WARNING: 18-month period; includes subsidized earnings. No SE derivable.</t>
        </is>
      </c>
      <c r="BR54" t="n">
        <v>6459</v>
      </c>
      <c r="BU54" t="inlineStr">
        <is>
          <t>NY</t>
        </is>
      </c>
      <c r="BV54" t="inlineStr">
        <is>
          <t>urban</t>
        </is>
      </c>
      <c r="BW54" t="n">
        <v>0</v>
      </c>
      <c r="BX54" t="n">
        <v>0</v>
      </c>
      <c r="BY54" t="n">
        <v>1</v>
      </c>
      <c r="BZ54" t="n">
        <v>0</v>
      </c>
      <c r="CA54" t="n">
        <v>0</v>
      </c>
      <c r="CB54" t="n">
        <v>1</v>
      </c>
      <c r="CC54" t="n">
        <v>0</v>
      </c>
      <c r="CD54" t="n">
        <v>0</v>
      </c>
      <c r="CE54" t="n">
        <v>79</v>
      </c>
      <c r="CF54" t="n">
        <v>0</v>
      </c>
      <c r="CI54" t="n">
        <v>6</v>
      </c>
    </row>
    <row r="55" ht="44.1" customHeight="1">
      <c r="A55" s="2" t="inlineStr">
        <is>
          <t>STED</t>
        </is>
      </c>
      <c r="B55" s="2" t="inlineStr">
        <is>
          <t>NYC (YAIP)</t>
        </is>
      </c>
      <c r="C55" s="2" t="inlineStr">
        <is>
          <t>Young Adult Internship Program</t>
        </is>
      </c>
      <c r="D55" s="2" t="inlineStr">
        <is>
          <t>Young Adult Internship Program (YAIP): 14-week paid internship at private/nonprofit worksites, with concurrent workshops on job readiness, career exploration, financial literacy, and college preparation. Followed by 9 months of post-internship follow-up support including mentoring and job placement assistance. Operated by 18 community-based organizations across NYC.</t>
        </is>
      </c>
      <c r="E55" s="2" t="inlineStr">
        <is>
          <t>secondary</t>
        </is>
      </c>
      <c r="F55" s="2" t="n">
        <v>1</v>
      </c>
      <c r="G55" s="2" t="n">
        <v>1</v>
      </c>
      <c r="H55" s="2" t="n">
        <v>1</v>
      </c>
      <c r="I55" s="2" t="n">
        <v>1</v>
      </c>
      <c r="J55" s="2" t="inlineStr">
        <is>
          <t>subsidized internship (14 weeks paid), mentoring, follow-up support (9 months post-internship)</t>
        </is>
      </c>
      <c r="K55" s="2" t="inlineStr">
        <is>
          <t>voluntary</t>
        </is>
      </c>
      <c r="L55" s="2" t="inlineStr">
        <is>
          <t>public</t>
        </is>
      </c>
      <c r="M55" s="2" t="inlineStr">
        <is>
          <t>private</t>
        </is>
      </c>
      <c r="N55" s="2" t="inlineStr">
        <is>
          <t>July 2013 – March 2014</t>
        </is>
      </c>
      <c r="O55" t="n">
        <v>2013.875</v>
      </c>
      <c r="P55" s="2" t="inlineStr">
        <is>
          <t>Disconnected youth aged 16-24: out of school, out of work, not in post-secondary education</t>
        </is>
      </c>
      <c r="Q55" s="2" t="n">
        <v>20.7</v>
      </c>
      <c r="R55" s="2" t="n">
        <v>49.1</v>
      </c>
      <c r="S55" s="2" t="n"/>
      <c r="T55" s="2" t="n">
        <v>58.1</v>
      </c>
      <c r="U55" s="2" t="n">
        <v>36.2</v>
      </c>
      <c r="V55" s="2" t="n">
        <v>38.3</v>
      </c>
      <c r="W55" s="2" t="n"/>
      <c r="X55" s="2" t="inlineStr">
        <is>
          <t>Youth who applied and were deemed eligible by community-based organizations. Must be 16-24, out of school, out of work.</t>
        </is>
      </c>
      <c r="Y55" s="2" t="n"/>
      <c r="Z55" s="2" t="n">
        <v>1638</v>
      </c>
      <c r="AA55" s="2" t="n">
        <v>1040</v>
      </c>
      <c r="AB55" s="2" t="n"/>
      <c r="AC55" s="2" t="n"/>
      <c r="AD55" s="2" t="n"/>
      <c r="AE55" s="2" t="n"/>
      <c r="AF55" s="2" t="n"/>
      <c r="AG55" s="2" t="n"/>
      <c r="AH55" s="2" t="n"/>
      <c r="AI55" s="2" t="n"/>
      <c r="AJ55" s="2" t="n"/>
      <c r="AK55" s="2" t="inlineStr">
        <is>
          <t>NDNH</t>
        </is>
      </c>
      <c r="AL55" s="2" t="n">
        <v>1</v>
      </c>
      <c r="AM55" s="2" t="n">
        <v>28.8</v>
      </c>
      <c r="AN55" s="2" t="n">
        <v>1.34</v>
      </c>
      <c r="AO55" s="2" t="inlineStr">
        <is>
          <t>***</t>
        </is>
      </c>
      <c r="AP55" s="2" t="n">
        <v>66.40000000000001</v>
      </c>
      <c r="AQ55" s="2" t="n">
        <v>3428</v>
      </c>
      <c r="AR55" s="2" t="n">
        <v>193.62</v>
      </c>
      <c r="AS55" s="2" t="inlineStr">
        <is>
          <t>***</t>
        </is>
      </c>
      <c r="AT55" s="2" t="n">
        <v>3247</v>
      </c>
      <c r="AU55" s="2" t="inlineStr">
        <is>
          <t>annual (cumulative over 4 quarters)</t>
        </is>
      </c>
      <c r="AV55" s="2" t="n">
        <v>2.5</v>
      </c>
      <c r="AW55" s="2" t="n">
        <v>-0.4</v>
      </c>
      <c r="AX55" s="2" t="n">
        <v>1.61</v>
      </c>
      <c r="AY55" s="2" t="n"/>
      <c r="AZ55" s="2" t="n">
        <v>78.7</v>
      </c>
      <c r="BA55" s="2" t="n">
        <v>494</v>
      </c>
      <c r="BB55" s="2" t="n">
        <v>351.06</v>
      </c>
      <c r="BC55" s="2" t="n"/>
      <c r="BD55" s="2" t="n">
        <v>7637</v>
      </c>
      <c r="BE55" s="2" t="inlineStr">
        <is>
          <t>annual</t>
        </is>
      </c>
      <c r="BF55" s="2" t="n"/>
      <c r="BG55" s="2" t="n"/>
      <c r="BH55" s="2" t="n"/>
      <c r="BI55" s="2" t="n"/>
      <c r="BP55" t="inlineStr">
        <is>
          <t>Cummings, Farrell, and Skemer (2018), 'Forging a Path: Final Impacts and Costs of New York City's Young Adult Internship Program,' MDRC. Table 2.1 (confirmatory, p. 20), Table 2.2 (employment/earnings by period, p. 22). Cost from p. xv.</t>
        </is>
      </c>
      <c r="BQ55" t="inlineStr">
        <is>
          <t>CAUTION: 80.7% of program group had YAIP subsidized employment during follow-up. ST earnings include ~$1,704 in subsidized earnings. ST impacts largely reflect subsidized job placement, not unsubsidized labor market gains. By Year 2 (months 19-30), all impacts fade to near zero: employment -0.4 pp (n.s.), earnings +$494 (n.s.). Cost of $5,431/participant (p. xv) reflects program operating costs net of control services.</t>
        </is>
      </c>
      <c r="BR55" t="n">
        <v>5431</v>
      </c>
      <c r="BU55" t="inlineStr">
        <is>
          <t>NY</t>
        </is>
      </c>
      <c r="BV55" t="inlineStr">
        <is>
          <t>urban</t>
        </is>
      </c>
      <c r="BW55" t="n">
        <v>0</v>
      </c>
      <c r="BX55" t="n">
        <v>0</v>
      </c>
      <c r="BY55" t="n">
        <v>1</v>
      </c>
      <c r="BZ55" t="n">
        <v>0</v>
      </c>
      <c r="CA55" t="n">
        <v>0</v>
      </c>
      <c r="CB55" t="n">
        <v>1</v>
      </c>
      <c r="CC55" t="n">
        <v>0</v>
      </c>
      <c r="CD55" t="n">
        <v>0</v>
      </c>
      <c r="CE55" t="n">
        <v>77</v>
      </c>
      <c r="CF55" t="n">
        <v>0</v>
      </c>
      <c r="CI55" t="n">
        <v>2.5</v>
      </c>
    </row>
    <row r="56" ht="44.1" customHeight="1">
      <c r="A56" s="2" t="inlineStr">
        <is>
          <t>STED</t>
        </is>
      </c>
      <c r="B56" s="2" t="inlineStr">
        <is>
          <t>San Francisco (STEP Forward)</t>
        </is>
      </c>
      <c r="C56" s="2" t="inlineStr">
        <is>
          <t>STEP Forward</t>
        </is>
      </c>
      <c r="D56" s="2" t="inlineStr">
        <is>
          <t>STEP Forward: weekly job fairs with private-sector employers who had agreed to hire program participants; 5-month wage subsidy (reimbursement) to employers; job-readiness services; case management. Employers hired subsidized employees on their regular payroll and received subsidy as reimbursement.</t>
        </is>
      </c>
      <c r="E56" s="2" t="inlineStr">
        <is>
          <t>secondary</t>
        </is>
      </c>
      <c r="F56" s="2" t="n">
        <v>0</v>
      </c>
      <c r="G56" s="2" t="n">
        <v>0</v>
      </c>
      <c r="H56" s="2" t="n">
        <v>1</v>
      </c>
      <c r="I56" s="2" t="n">
        <v>1</v>
      </c>
      <c r="J56" s="2" t="inlineStr">
        <is>
          <t>subsidized employment (5-month wage reimbursement to private employers), case management</t>
        </is>
      </c>
      <c r="K56" s="2" t="inlineStr">
        <is>
          <t>voluntary</t>
        </is>
      </c>
      <c r="L56" s="2" t="inlineStr">
        <is>
          <t>public</t>
        </is>
      </c>
      <c r="M56" s="2" t="inlineStr">
        <is>
          <t>public</t>
        </is>
      </c>
      <c r="N56" s="2" t="inlineStr">
        <is>
          <t>Fall 2012 – Spring 2015</t>
        </is>
      </c>
      <c r="O56" t="n">
        <v>2014.042</v>
      </c>
      <c r="P56" s="2" t="inlineStr">
        <is>
          <t>Low-income adults with employment barriers: CalFresh recipients, timed-out CalWORKs clients, UI exhaustees, needy families, former JOBsNOW! participants. Must have been unemployed in previous 3 months or had no more than 6 months of earned income in past 24 months.</t>
        </is>
      </c>
      <c r="Q56" s="2" t="n">
        <v>40.7</v>
      </c>
      <c r="R56" s="2" t="n">
        <v>27.7</v>
      </c>
      <c r="S56" s="2" t="n">
        <v>9.4</v>
      </c>
      <c r="T56" s="2" t="n">
        <v>41.9</v>
      </c>
      <c r="U56" s="2" t="n">
        <v>18.5</v>
      </c>
      <c r="V56" s="2" t="n">
        <v>28</v>
      </c>
      <c r="W56" s="2" t="n"/>
      <c r="X56" s="2" t="inlineStr">
        <is>
          <t>Voluntary participants recruited through mass mailings, information sessions at HSA and community organizations, and outreach at Medi-Cal offices. Eligibility screened for recent unemployment/low earnings.</t>
        </is>
      </c>
      <c r="Y56" s="2" t="n"/>
      <c r="Z56" s="2" t="n">
        <v>414</v>
      </c>
      <c r="AA56" s="2" t="n">
        <v>397</v>
      </c>
      <c r="AB56" s="2" t="n"/>
      <c r="AC56" s="2" t="n"/>
      <c r="AD56" s="2" t="n">
        <v>1</v>
      </c>
      <c r="AE56" s="2" t="n"/>
      <c r="AF56" s="2" t="n"/>
      <c r="AG56" s="2" t="n"/>
      <c r="AH56" s="2" t="n"/>
      <c r="AI56" s="2" t="n"/>
      <c r="AJ56" s="2" t="n"/>
      <c r="AK56" s="2" t="inlineStr">
        <is>
          <t>NDNH</t>
        </is>
      </c>
      <c r="AL56" s="2" t="n">
        <v>1</v>
      </c>
      <c r="AM56" s="2" t="n">
        <v>6</v>
      </c>
      <c r="AN56" s="2" t="n">
        <v>2.86</v>
      </c>
      <c r="AO56" s="2" t="inlineStr">
        <is>
          <t>**</t>
        </is>
      </c>
      <c r="AP56" s="2" t="n">
        <v>69.7</v>
      </c>
      <c r="AQ56" s="2" t="n">
        <v>1608</v>
      </c>
      <c r="AR56" s="2" t="n">
        <v>619.76</v>
      </c>
      <c r="AS56" s="2" t="inlineStr">
        <is>
          <t>***</t>
        </is>
      </c>
      <c r="AT56" s="2" t="n">
        <v>6912</v>
      </c>
      <c r="AU56" s="2" t="inlineStr">
        <is>
          <t>annual (cumulative over 4 quarters)</t>
        </is>
      </c>
      <c r="AV56" s="2" t="n"/>
      <c r="AW56" s="2" t="n"/>
      <c r="AX56" s="2" t="n"/>
      <c r="AY56" s="2" t="n"/>
      <c r="AZ56" s="2" t="n"/>
      <c r="BA56" s="2" t="n"/>
      <c r="BB56" s="2" t="n"/>
      <c r="BC56" s="2" t="n"/>
      <c r="BD56" s="2" t="n"/>
      <c r="BE56" s="2" t="n"/>
      <c r="BF56" s="2" t="n"/>
      <c r="BG56" s="2" t="n"/>
      <c r="BH56" s="2" t="n"/>
      <c r="BI56" s="2" t="n"/>
      <c r="BP56" t="inlineStr">
        <is>
          <t>Walter, Seboni, and Tso (2017), 'STEP Forward: Implementation and Early Impacts of a Subsidized Employment Program in San Francisco,' MDRC. Table 5.2 (pp. 58-59 of report), Table 3.1 (pp. 28-29 of report).</t>
        </is>
      </c>
      <c r="BQ56" t="inlineStr">
        <is>
          <t>Only 25.4% of program group ever worked in a subsidized STEP Forward job (low take-up). Of those hired, median subsidized employment lasted ~5 months. Early impacts include subsidized job period. Program did not emphasize education or training (p.56). Employment impact began narrowing by Q3; earnings impact sustained through Q4 but converging. pct_no_hs_diploma=28.0 computed as No degree (19.1%) + Certificate of attendance (8.9%).</t>
        </is>
      </c>
      <c r="BU56" t="inlineStr">
        <is>
          <t>CA</t>
        </is>
      </c>
      <c r="BV56" t="inlineStr">
        <is>
          <t>urban</t>
        </is>
      </c>
      <c r="BW56" t="n">
        <v>0</v>
      </c>
      <c r="BX56" t="n">
        <v>0</v>
      </c>
      <c r="BY56" t="n">
        <v>0</v>
      </c>
      <c r="BZ56" t="n">
        <v>0</v>
      </c>
      <c r="CA56" t="n">
        <v>0</v>
      </c>
      <c r="CB56" t="n">
        <v>1</v>
      </c>
      <c r="CC56" t="n">
        <v>0</v>
      </c>
      <c r="CD56" t="n">
        <v>1</v>
      </c>
      <c r="CE56" t="n">
        <v>25.4</v>
      </c>
      <c r="CF56" t="n">
        <v>0</v>
      </c>
    </row>
    <row r="57" ht="44.1" customHeight="1">
      <c r="A57" s="2" t="inlineStr">
        <is>
          <t>STED</t>
        </is>
      </c>
      <c r="B57" s="2" t="inlineStr">
        <is>
          <t>Minnesota</t>
        </is>
      </c>
      <c r="C57" s="2" t="inlineStr">
        <is>
          <t>Minnesota Subsidized and Transitional Employment</t>
        </is>
      </c>
      <c r="D57" s="2" t="inlineStr">
        <is>
          <t>Minnesota Subsidized and Transitional Employment: two tracks of subsidized employment — (1) subsidized private-sector jobs (preferred track) where employers received wage reimbursement, and (2) paid work experience at nonprofit/public worksites. Both tracks included job-readiness workshops (2-week at HIRED, 6-week at Goodwill, optional at Avivo) covering job search skills, workplace behavior, and career planning. Operated by three nonprofits: HIRED, Goodwill-Easter Seals, and Avivo (formerly Resource Inc.).</t>
        </is>
      </c>
      <c r="E57" s="2" t="inlineStr">
        <is>
          <t>secondary</t>
        </is>
      </c>
      <c r="F57" s="2" t="n">
        <v>1</v>
      </c>
      <c r="G57" s="2" t="n">
        <v>0</v>
      </c>
      <c r="H57" s="2" t="n">
        <v>1</v>
      </c>
      <c r="I57" s="2" t="n">
        <v>1</v>
      </c>
      <c r="J57" s="2" t="inlineStr">
        <is>
          <t>subsidized private-sector employment, paid work experience (public/nonprofit), case management</t>
        </is>
      </c>
      <c r="K57" s="2" t="inlineStr">
        <is>
          <t>mandatory</t>
        </is>
      </c>
      <c r="L57" s="2" t="inlineStr">
        <is>
          <t>public</t>
        </is>
      </c>
      <c r="M57" s="2" t="inlineStr">
        <is>
          <t>private</t>
        </is>
      </c>
      <c r="N57" s="2" t="inlineStr">
        <is>
          <t>November 2014 – June 2016</t>
        </is>
      </c>
      <c r="O57" t="n">
        <v>2015.667</v>
      </c>
      <c r="P57" s="2" t="inlineStr">
        <is>
          <t>MFIP (Minnesota Family Investment Program) recipients required to participate in employment services</t>
        </is>
      </c>
      <c r="Q57" s="2" t="n">
        <v>30.6</v>
      </c>
      <c r="R57" s="2" t="n">
        <v>20.6</v>
      </c>
      <c r="S57" s="2" t="n">
        <v>6.8</v>
      </c>
      <c r="T57" s="2" t="n">
        <v>80.5</v>
      </c>
      <c r="U57" s="2" t="n">
        <v>4.7</v>
      </c>
      <c r="V57" s="2" t="n">
        <v>26.9</v>
      </c>
      <c r="W57" s="2" t="n"/>
      <c r="X57" s="2" t="inlineStr">
        <is>
          <t>MFIP recipients at three workforce centers in Minneapolis–Saint Paul area who were required to participate in employment services. Mandatory participation as condition of welfare benefits.</t>
        </is>
      </c>
      <c r="Y57" s="2" t="n"/>
      <c r="Z57" s="2" t="n">
        <v>403</v>
      </c>
      <c r="AA57" s="2" t="n">
        <v>396</v>
      </c>
      <c r="AB57" s="2" t="n"/>
      <c r="AC57" s="2" t="n"/>
      <c r="AD57" s="2" t="n">
        <v>1</v>
      </c>
      <c r="AE57" s="2" t="n"/>
      <c r="AF57" s="2" t="n"/>
      <c r="AG57" s="2" t="n"/>
      <c r="AH57" s="2" t="n"/>
      <c r="AI57" s="2" t="n"/>
      <c r="AJ57" s="2" t="n"/>
      <c r="AK57" s="2" t="inlineStr">
        <is>
          <t>NDNH</t>
        </is>
      </c>
      <c r="AL57" s="2" t="n">
        <v>1</v>
      </c>
      <c r="AM57" s="2" t="n">
        <v>6.8</v>
      </c>
      <c r="AN57" s="2" t="n">
        <v>2.49</v>
      </c>
      <c r="AO57" s="2" t="inlineStr">
        <is>
          <t>***</t>
        </is>
      </c>
      <c r="AP57" s="2" t="n">
        <v>80.2</v>
      </c>
      <c r="AQ57" s="2" t="n">
        <v>560</v>
      </c>
      <c r="AR57" s="2" t="n">
        <v>454.71</v>
      </c>
      <c r="AS57" s="2" t="n"/>
      <c r="AT57" s="2" t="n">
        <v>6572</v>
      </c>
      <c r="AU57" s="2" t="inlineStr">
        <is>
          <t>annual (cumulative over 4 quarters)</t>
        </is>
      </c>
      <c r="AV57" s="2" t="n"/>
      <c r="AW57" s="2" t="n"/>
      <c r="AX57" s="2" t="n"/>
      <c r="AY57" s="2" t="n"/>
      <c r="AZ57" s="2" t="n"/>
      <c r="BA57" s="2" t="n"/>
      <c r="BB57" s="2" t="n"/>
      <c r="BC57" s="2" t="n"/>
      <c r="BD57" s="2" t="n"/>
      <c r="BE57" s="2" t="n"/>
      <c r="BF57" s="2" t="n"/>
      <c r="BG57" s="2" t="n"/>
      <c r="BH57" s="2" t="n"/>
      <c r="BI57" s="2" t="n"/>
      <c r="BP57" t="inlineStr">
        <is>
          <t>Farrell and Webster (2019), 'Subsidized and Transitional Employment in Minnesota: Findings from the Minnesota Subsidized and Transitional Employment Demonstration,' MDRC. Table 4.2 (pp.31-32 of report), Table 2.1 (pp.15-16 of report).</t>
        </is>
      </c>
      <c r="BQ57" t="inlineStr">
        <is>
          <t>Only 33% of program group participated in subsidized employment (low take-up). Employment impact (6.8 pp) sustained into Q5 (6.2*, p&lt;0.10) after subsidies ended, suggesting some lasting effect. Earnings impact ($560) not statistically significant. pct_no_hs_diploma=26.9 computed as 100 - 73.1 (percent with HS diploma/GED). pct_male=20.6 computed as 100 - 79.4 (percent female). Two-thirds of the program group were in the subsidized private jobs track; one-third in paid work experience.</t>
        </is>
      </c>
      <c r="BU57" t="inlineStr">
        <is>
          <t>MN</t>
        </is>
      </c>
      <c r="BV57" t="inlineStr">
        <is>
          <t>rural</t>
        </is>
      </c>
      <c r="BW57" t="n">
        <v>0</v>
      </c>
      <c r="BX57" t="n">
        <v>0</v>
      </c>
      <c r="BY57" t="n">
        <v>0</v>
      </c>
      <c r="BZ57" t="n">
        <v>0</v>
      </c>
      <c r="CA57" t="n">
        <v>0</v>
      </c>
      <c r="CB57" t="n">
        <v>1</v>
      </c>
      <c r="CC57" t="n">
        <v>0</v>
      </c>
      <c r="CD57" t="n">
        <v>0</v>
      </c>
      <c r="CE57" t="n">
        <v>33.7</v>
      </c>
      <c r="CF57" t="n">
        <v>0</v>
      </c>
      <c r="CG57" t="n">
        <v>1.6</v>
      </c>
      <c r="CH57" t="n">
        <v>33.8</v>
      </c>
    </row>
    <row r="58" ht="44.1" customHeight="1">
      <c r="A58" s="2" t="inlineStr">
        <is>
          <t>STED</t>
        </is>
      </c>
      <c r="B58" s="2" t="inlineStr">
        <is>
          <t>LA County (PWE)</t>
        </is>
      </c>
      <c r="C58" s="2" t="inlineStr">
        <is>
          <t>LA Transitional Subsidized Employment--Paid work</t>
        </is>
      </c>
      <c r="D58" s="2" t="inlineStr">
        <is>
          <t>LA County Transitional Subsidized Employment — Paid Work Experience (PWE) track: subsidized employment at nonprofit and public-sector worksites for up to 6 months. Participants also received GAIN (Greater Avenues for Independence) welfare-to-work services including case management, job club, counseling (domestic violence, substance use, mental health), and supportive services (child care, transportation).</t>
        </is>
      </c>
      <c r="E58" s="2" t="inlineStr">
        <is>
          <t>secondary</t>
        </is>
      </c>
      <c r="F58" s="2" t="n">
        <v>0</v>
      </c>
      <c r="G58" s="2" t="n">
        <v>0</v>
      </c>
      <c r="H58" s="2" t="n">
        <v>1</v>
      </c>
      <c r="I58" s="2" t="n">
        <v>1</v>
      </c>
      <c r="J58" s="2" t="inlineStr">
        <is>
          <t>subsidized transitional employment (public/nonprofit sector, up to 6 months), GAIN case management, counseling, supportive services (child care, transportation)</t>
        </is>
      </c>
      <c r="K58" s="2" t="inlineStr">
        <is>
          <t>mandatory</t>
        </is>
      </c>
      <c r="L58" s="2" t="inlineStr">
        <is>
          <t>public</t>
        </is>
      </c>
      <c r="M58" s="2" t="inlineStr">
        <is>
          <t>mixed</t>
        </is>
      </c>
      <c r="N58" s="2" t="inlineStr">
        <is>
          <t>November 2012 – November 2013</t>
        </is>
      </c>
      <c r="O58" t="n">
        <v>2013.375</v>
      </c>
      <c r="P58" s="2" t="inlineStr">
        <is>
          <t>TANF recipients participating in GAIN (Greater Avenues for Independence) welfare-to-work program in Los Angeles County</t>
        </is>
      </c>
      <c r="Q58" s="2" t="n">
        <v>31.7</v>
      </c>
      <c r="R58" s="2" t="n">
        <v>14.5</v>
      </c>
      <c r="S58" s="2" t="n">
        <v>6.5</v>
      </c>
      <c r="T58" s="2" t="n">
        <v>31.6</v>
      </c>
      <c r="U58" s="2" t="n">
        <v>54.7</v>
      </c>
      <c r="V58" s="2" t="n">
        <v>39</v>
      </c>
      <c r="W58" s="2" t="n"/>
      <c r="X58" s="2" t="inlineStr">
        <is>
          <t>TANF recipients in GAIN who were assigned to Worksource Centers participating in the TSE program. Mandatory participation as condition of welfare benefits.</t>
        </is>
      </c>
      <c r="Y58" s="2" t="n"/>
      <c r="Z58" s="2" t="n">
        <v>874</v>
      </c>
      <c r="AA58" s="2" t="n">
        <v>871</v>
      </c>
      <c r="AB58" s="2" t="n"/>
      <c r="AC58" s="2" t="n"/>
      <c r="AD58" s="2" t="n"/>
      <c r="AE58" s="2" t="n"/>
      <c r="AF58" s="2" t="n"/>
      <c r="AG58" s="2" t="n">
        <v>1</v>
      </c>
      <c r="AH58" s="2" t="n"/>
      <c r="AI58" s="2" t="n"/>
      <c r="AJ58" s="2" t="n"/>
      <c r="AK58" s="2" t="inlineStr">
        <is>
          <t>NDNH</t>
        </is>
      </c>
      <c r="AL58" s="2" t="n">
        <v>1</v>
      </c>
      <c r="AM58" s="2" t="n">
        <v>34.1</v>
      </c>
      <c r="AN58" s="2" t="n"/>
      <c r="AO58" s="2" t="inlineStr">
        <is>
          <t>***</t>
        </is>
      </c>
      <c r="AP58" s="2" t="n">
        <v>57.8</v>
      </c>
      <c r="AQ58" s="2" t="n">
        <v>2716</v>
      </c>
      <c r="AR58" s="2" t="n"/>
      <c r="AS58" s="2" t="inlineStr">
        <is>
          <t>***</t>
        </is>
      </c>
      <c r="AT58" s="2" t="n">
        <v>4476</v>
      </c>
      <c r="AU58" s="2" t="inlineStr">
        <is>
          <t>annual (cumulative over first year)</t>
        </is>
      </c>
      <c r="AV58" s="2" t="n">
        <v>2.5</v>
      </c>
      <c r="AW58" s="2" t="n">
        <v>4.1</v>
      </c>
      <c r="AX58" s="2" t="n">
        <v>2.15</v>
      </c>
      <c r="AY58" s="2" t="inlineStr">
        <is>
          <t>*</t>
        </is>
      </c>
      <c r="AZ58" s="2" t="n">
        <v>68</v>
      </c>
      <c r="BA58" s="2" t="n">
        <v>889</v>
      </c>
      <c r="BB58" s="2" t="n">
        <v>562.66</v>
      </c>
      <c r="BC58" s="2" t="n"/>
      <c r="BD58" s="2" t="n">
        <v>9777</v>
      </c>
      <c r="BE58" s="2" t="inlineStr">
        <is>
          <t>annual (cumulative over months 19-30)</t>
        </is>
      </c>
      <c r="BF58" s="2" t="n"/>
      <c r="BG58" s="2" t="n"/>
      <c r="BH58" s="2" t="n"/>
      <c r="BI58" s="2" t="n"/>
      <c r="BP58" t="inlineStr">
        <is>
          <t>Anderson, Bruns, Bos, and Bolz (2019), 'Subsidized and Transitional Employment in Los Angeles County: Final Impacts and Costs of the LA County Transitional Subsidized Employment Program,' MDRC. Appendix Table B.2 (pp.55-57 of report), Table 1.2 (pp.9-10), Table 3.1 (p.34).</t>
        </is>
      </c>
      <c r="BQ58" t="inlineStr">
        <is>
          <t>PWE track vs shared control group. Short-term impacts heavily inflated by subsidized employment period (91.9% of PWE group employed in first year vs 57.8% of control). Medium-term (months 19-30) shows modest sustained employment effect (4.1 pp, p=0.056) but earnings impact ($889) not significant. SE not derivable for short-term impacts (p reported as 0.000 to 3 decimal places). Demographics pooled across PWE, OJT, and control groups from Table 1.2. Net cost $4,701 per PWE member (2016$) from Table 3.1.</t>
        </is>
      </c>
      <c r="BR58" t="n">
        <v>4701</v>
      </c>
      <c r="BU58" t="inlineStr">
        <is>
          <t>CA</t>
        </is>
      </c>
      <c r="BV58" t="inlineStr">
        <is>
          <t>urban</t>
        </is>
      </c>
      <c r="BW58" t="n">
        <v>0</v>
      </c>
      <c r="BX58" t="n">
        <v>0</v>
      </c>
      <c r="BY58" t="n">
        <v>0</v>
      </c>
      <c r="BZ58" t="n">
        <v>0</v>
      </c>
      <c r="CA58" t="n">
        <v>0</v>
      </c>
      <c r="CB58" t="n">
        <v>0</v>
      </c>
      <c r="CC58" t="n">
        <v>0</v>
      </c>
      <c r="CD58" t="n">
        <v>0</v>
      </c>
      <c r="CE58" t="n">
        <v>79</v>
      </c>
      <c r="CF58" t="n">
        <v>0</v>
      </c>
      <c r="CI58" t="n">
        <v>6</v>
      </c>
    </row>
    <row r="59" ht="44.1" customHeight="1">
      <c r="A59" s="2" t="inlineStr">
        <is>
          <t>STED</t>
        </is>
      </c>
      <c r="B59" s="2" t="inlineStr">
        <is>
          <t>LA County (OJT)</t>
        </is>
      </c>
      <c r="C59" s="2" t="inlineStr">
        <is>
          <t>LA Transitional Subsidized Employment--OJT</t>
        </is>
      </c>
      <c r="D59" s="2" t="inlineStr">
        <is>
          <t>LA County Transitional Subsidized Employment — On-the-Job Training (OJT) track: wage subsidies to private for-profit employers who hired participants, with a 2-month tryout period followed by up to 4 additional months of subsidized employment. Employers who retained participants in unsubsidized jobs for 30+ days received a bonus. Participants also received GAIN welfare-to-work services.</t>
        </is>
      </c>
      <c r="E59" s="2" t="inlineStr">
        <is>
          <t>secondary</t>
        </is>
      </c>
      <c r="F59" s="2" t="n">
        <v>0</v>
      </c>
      <c r="G59" s="2" t="n">
        <v>1</v>
      </c>
      <c r="H59" s="2" t="n">
        <v>1</v>
      </c>
      <c r="I59" s="2" t="n">
        <v>1</v>
      </c>
      <c r="J59" s="2" t="inlineStr">
        <is>
          <t>GAIN case management, counseling, supportive services (child care, transportation), employer retention bonus</t>
        </is>
      </c>
      <c r="K59" s="2" t="inlineStr">
        <is>
          <t>mandatory</t>
        </is>
      </c>
      <c r="L59" s="2" t="inlineStr">
        <is>
          <t>public</t>
        </is>
      </c>
      <c r="M59" s="2" t="inlineStr">
        <is>
          <t>mixed</t>
        </is>
      </c>
      <c r="N59" s="2" t="inlineStr">
        <is>
          <t>November 2012 – November 2013</t>
        </is>
      </c>
      <c r="O59" t="n">
        <v>2013.375</v>
      </c>
      <c r="P59" s="2" t="inlineStr">
        <is>
          <t>TANF recipients participating in GAIN (Greater Avenues for Independence) welfare-to-work program in Los Angeles County</t>
        </is>
      </c>
      <c r="Q59" s="2" t="n">
        <v>31.7</v>
      </c>
      <c r="R59" s="2" t="n">
        <v>14.5</v>
      </c>
      <c r="S59" s="2" t="n">
        <v>6.5</v>
      </c>
      <c r="T59" s="2" t="n">
        <v>31.6</v>
      </c>
      <c r="U59" s="2" t="n">
        <v>54.7</v>
      </c>
      <c r="V59" s="2" t="n">
        <v>39</v>
      </c>
      <c r="W59" s="2" t="n"/>
      <c r="X59" s="2" t="inlineStr">
        <is>
          <t>TANF recipients in GAIN who were assigned to Worksource Centers participating in the TSE program. Mandatory participation as condition of welfare benefits.</t>
        </is>
      </c>
      <c r="Y59" s="2" t="n"/>
      <c r="Z59" s="2" t="n">
        <v>877</v>
      </c>
      <c r="AA59" s="2" t="n">
        <v>871</v>
      </c>
      <c r="AB59" s="2" t="n"/>
      <c r="AC59" s="2" t="n"/>
      <c r="AD59" s="2" t="n"/>
      <c r="AE59" s="2" t="n"/>
      <c r="AF59" s="2" t="n"/>
      <c r="AG59" s="2" t="n">
        <v>1</v>
      </c>
      <c r="AH59" s="2" t="n"/>
      <c r="AI59" s="2" t="n"/>
      <c r="AJ59" s="2" t="n"/>
      <c r="AK59" s="2" t="inlineStr">
        <is>
          <t>NDNH</t>
        </is>
      </c>
      <c r="AL59" s="2" t="n">
        <v>1</v>
      </c>
      <c r="AM59" s="2" t="n">
        <v>18.3</v>
      </c>
      <c r="AN59" s="2" t="n"/>
      <c r="AO59" s="2" t="inlineStr">
        <is>
          <t>***</t>
        </is>
      </c>
      <c r="AP59" s="2" t="n">
        <v>57.8</v>
      </c>
      <c r="AQ59" s="2" t="n">
        <v>1269</v>
      </c>
      <c r="AR59" s="2" t="n"/>
      <c r="AS59" s="2" t="inlineStr">
        <is>
          <t>***</t>
        </is>
      </c>
      <c r="AT59" s="2" t="n">
        <v>4476</v>
      </c>
      <c r="AU59" s="2" t="inlineStr">
        <is>
          <t>annual (cumulative over first year)</t>
        </is>
      </c>
      <c r="AV59" s="2" t="n">
        <v>2.5</v>
      </c>
      <c r="AW59" s="2" t="n">
        <v>2.3</v>
      </c>
      <c r="AX59" s="2" t="n">
        <v>2.19</v>
      </c>
      <c r="AY59" s="2" t="n"/>
      <c r="AZ59" s="2" t="n">
        <v>68</v>
      </c>
      <c r="BA59" s="2" t="n">
        <v>174</v>
      </c>
      <c r="BB59" s="2" t="n">
        <v>563.11</v>
      </c>
      <c r="BC59" s="2" t="n"/>
      <c r="BD59" s="2" t="n">
        <v>9777</v>
      </c>
      <c r="BE59" s="2" t="inlineStr">
        <is>
          <t>annual (cumulative over months 19-30)</t>
        </is>
      </c>
      <c r="BF59" s="2" t="n"/>
      <c r="BG59" s="2" t="n"/>
      <c r="BH59" s="2" t="n"/>
      <c r="BI59" s="2" t="n"/>
      <c r="BP59" t="inlineStr">
        <is>
          <t>Anderson, Bruns, Bos, and Bolz (2019), 'Subsidized and Transitional Employment in Los Angeles County: Final Impacts and Costs of the LA County Transitional Subsidized Employment Program,' MDRC. Appendix Table B.2 (pp.55-57 of report), Table 1.2 (pp.9-10), Table 3.1 (p.34).</t>
        </is>
      </c>
      <c r="BQ59" t="inlineStr">
        <is>
          <t>OJT track vs shared control group (same control as PWE row). Short-term impacts smaller than PWE but still significant: 18.3 pp employment, $1,269 earnings. Medium-term impacts fade completely: 2.3 pp employment (p=0.294), $174 earnings (p=0.757). SE not derivable for short-term (p=0.000). OJT participants spent 2.4 months in TSE vs 4.9 months for PWE. Per-person TSE program cost was higher for OJT ($1,607) than PWE ($1,382) due to more staff time for job development, but total cost lower due to less time in program. Net cost $2,046 per OJT member (2016$).</t>
        </is>
      </c>
      <c r="BR59" t="n">
        <v>2046</v>
      </c>
      <c r="BU59" t="inlineStr">
        <is>
          <t>CA</t>
        </is>
      </c>
      <c r="BV59" t="inlineStr">
        <is>
          <t>urban</t>
        </is>
      </c>
      <c r="BW59" t="n">
        <v>0</v>
      </c>
      <c r="BX59" t="n">
        <v>0</v>
      </c>
      <c r="BY59" t="n">
        <v>0</v>
      </c>
      <c r="BZ59" t="n">
        <v>0</v>
      </c>
      <c r="CA59" t="n">
        <v>0</v>
      </c>
      <c r="CB59" t="n">
        <v>0</v>
      </c>
      <c r="CC59" t="n">
        <v>0</v>
      </c>
      <c r="CD59" t="n">
        <v>0</v>
      </c>
      <c r="CE59" t="n">
        <v>42</v>
      </c>
      <c r="CF59" t="n">
        <v>0</v>
      </c>
      <c r="CI59" t="n">
        <v>6</v>
      </c>
    </row>
    <row r="60" ht="44.1" customHeight="1">
      <c r="A60" s="2" t="inlineStr">
        <is>
          <t>STED</t>
        </is>
      </c>
      <c r="B60" s="2" t="inlineStr">
        <is>
          <t>Chicago (Bridges to Pathways)</t>
        </is>
      </c>
      <c r="C60" s="2" t="inlineStr">
        <is>
          <t>Bridges to Pathways</t>
        </is>
      </c>
      <c r="D60" s="2" t="inlineStr">
        <is>
          <t>Bridges to Pathways: three-phase program for justice-involved young men. Phase 1: classroom-based education (GED preparation, literacy, numeracy, job readiness workshops, financial education), ~6 months. Phase 2: subsidized internship at $8.25-$10/hr with continued education and enrichment activities. Phase 3: job placement support and continued education. Mentors with similar backgrounds provided individualized support throughout. Operated by two community-based organizations.</t>
        </is>
      </c>
      <c r="E60" s="2" t="inlineStr">
        <is>
          <t>primary</t>
        </is>
      </c>
      <c r="F60" s="2" t="n">
        <v>1</v>
      </c>
      <c r="G60" s="2" t="n">
        <v>1</v>
      </c>
      <c r="H60" s="2" t="n">
        <v>1</v>
      </c>
      <c r="I60" s="2" t="n">
        <v>1</v>
      </c>
      <c r="J60" s="2" t="inlineStr">
        <is>
          <t>subsidized internship, mentoring, case management, attendance stipend ($10/day in Phase 1), transportation support</t>
        </is>
      </c>
      <c r="K60" s="2" t="inlineStr">
        <is>
          <t>voluntary</t>
        </is>
      </c>
      <c r="L60" s="2" t="inlineStr">
        <is>
          <t>public</t>
        </is>
      </c>
      <c r="M60" s="2" t="inlineStr">
        <is>
          <t>private</t>
        </is>
      </c>
      <c r="N60" s="2" t="inlineStr">
        <is>
          <t>June 2015 – July 2016</t>
        </is>
      </c>
      <c r="O60" t="n">
        <v>2016</v>
      </c>
      <c r="P60" s="2" t="inlineStr">
        <is>
          <t>Young men aged 17-21 involved in the criminal or juvenile justice system, lacking a high school credential, in Chicago</t>
        </is>
      </c>
      <c r="Q60" s="2" t="n">
        <v>18.4</v>
      </c>
      <c r="R60" s="2" t="n">
        <v>100</v>
      </c>
      <c r="S60" s="2" t="n">
        <v>0.8</v>
      </c>
      <c r="T60" s="2" t="n">
        <v>74.2</v>
      </c>
      <c r="U60" s="2" t="n">
        <v>21.6</v>
      </c>
      <c r="V60" s="2" t="n">
        <v>100</v>
      </c>
      <c r="W60" s="2" t="n"/>
      <c r="X60" s="2" t="inlineStr">
        <is>
          <t>Voluntary participants recruited from Cook County courts, juvenile detention, probation, and community organizations. Must be male, 17-21, involved in justice system, and lacking HS credential.</t>
        </is>
      </c>
      <c r="Y60" s="2" t="n"/>
      <c r="Z60" s="2" t="n">
        <v>289</v>
      </c>
      <c r="AA60" s="2" t="n">
        <v>191</v>
      </c>
      <c r="AB60" s="2" t="n">
        <v>0.476</v>
      </c>
      <c r="AC60" s="2" t="n">
        <v>0.474</v>
      </c>
      <c r="AD60" s="2" t="n">
        <v>0.475</v>
      </c>
      <c r="AE60" s="2" t="n"/>
      <c r="AF60" s="2" t="n"/>
      <c r="AG60" s="2" t="n"/>
      <c r="AH60" s="2" t="n"/>
      <c r="AI60" s="2" t="n"/>
      <c r="AJ60" s="2" t="n"/>
      <c r="AK60" s="2" t="inlineStr">
        <is>
          <t>self-report (survey)</t>
        </is>
      </c>
      <c r="AL60" s="2" t="n">
        <v>1</v>
      </c>
      <c r="AM60" s="2" t="n">
        <v>18.2</v>
      </c>
      <c r="AN60" s="2" t="n">
        <v>6.35</v>
      </c>
      <c r="AO60" s="2" t="inlineStr">
        <is>
          <t>***</t>
        </is>
      </c>
      <c r="AP60" s="2" t="n">
        <v>50.1</v>
      </c>
      <c r="AQ60" s="2" t="n"/>
      <c r="AR60" s="2" t="n"/>
      <c r="AS60" s="2" t="n"/>
      <c r="AT60" s="2" t="n"/>
      <c r="AU60" s="2" t="n"/>
      <c r="AV60" s="2" t="n"/>
      <c r="AW60" s="2" t="n"/>
      <c r="AX60" s="2" t="n"/>
      <c r="AY60" s="2" t="n"/>
      <c r="AZ60" s="2" t="n"/>
      <c r="BA60" s="2" t="n"/>
      <c r="BB60" s="2" t="n"/>
      <c r="BC60" s="2" t="n"/>
      <c r="BD60" s="2" t="n"/>
      <c r="BE60" s="2" t="n"/>
      <c r="BF60" s="2" t="n"/>
      <c r="BG60" s="2" t="n"/>
      <c r="BH60" s="2" t="n"/>
      <c r="BI60" s="2" t="n"/>
      <c r="BP60" t="inlineStr">
        <is>
          <t>Wasserman, Bertrand, and Nutter (2019), 'Bridges to Pathways: Results of a Feasibility Study of a Program for Justice-Involved Young Men in Chicago,' MDRC. Table 6.3 (p.71 of report), Table 3.2 (p.30), Table 6.2 (p.69).</t>
        </is>
      </c>
      <c r="BQ60" t="inlineStr">
        <is>
          <t>Feasibility study with very low survey response rate (47.5%: 137 program + 91 control out of 480 randomized). 'Ever employed' includes subsidized Bridges internships — around half of employed program members had worked in an internship. 'Currently employed' at survey time was 5.8 pp (not significant), suggesting no sustained employment effect. No earnings data reported in impact tables. NDNH data available for only ~half the sample (those with SSN) and shown only in Figure 6.1 (not extractable). Program also reduced felony arrests by 7.7 pp (Table 6.2) but criminal justice outcomes not coded here. Only 67.8% of program group ever attended; average attendance was 29.5 days. Highest grade completed at baseline: 10.0. 95% had been arrested; 73% arrested 4+ times.</t>
        </is>
      </c>
      <c r="BU60" t="inlineStr">
        <is>
          <t>IL</t>
        </is>
      </c>
      <c r="BV60" t="inlineStr">
        <is>
          <t>urban</t>
        </is>
      </c>
      <c r="BW60" t="n">
        <v>0</v>
      </c>
      <c r="BX60" t="n">
        <v>0</v>
      </c>
      <c r="BY60" t="n">
        <v>1</v>
      </c>
      <c r="BZ60" t="n">
        <v>0</v>
      </c>
      <c r="CA60" t="n">
        <v>0</v>
      </c>
      <c r="CB60" t="n">
        <v>1</v>
      </c>
      <c r="CC60" t="n">
        <v>0</v>
      </c>
      <c r="CD60" t="n">
        <v>0</v>
      </c>
      <c r="CE60" t="n">
        <v>67.8</v>
      </c>
      <c r="CF60" t="n">
        <v>0</v>
      </c>
      <c r="CG60" t="n">
        <v>7.4</v>
      </c>
      <c r="CH60" t="n">
        <v>61.8</v>
      </c>
      <c r="CI60" t="n">
        <v>6</v>
      </c>
    </row>
    <row r="61" ht="44.1" customHeight="1">
      <c r="A61" s="2" t="inlineStr">
        <is>
          <t>WorkAdvance</t>
        </is>
      </c>
      <c r="B61" s="2" t="inlineStr">
        <is>
          <t>Per Scholas (Bronx)</t>
        </is>
      </c>
      <c r="C61" s="2" t="inlineStr">
        <is>
          <t>Per Scholas</t>
        </is>
      </c>
      <c r="D61" s="2" t="inlineStr">
        <is>
          <t>WorkAdvance at Per Scholas: IT skills training (CompTIA A+ certification prep, network/hardware repair), internships, and sector-focused job placement in the IT industry. Training averaged 3.6 months. WorkAdvance model: (1) intensive screening to assess fit with target sector, (2) career readiness services, (3) occupational skills training in a specific sector, (4) job development and placement with sector employers, (5) post-placement retention and advancement services.</t>
        </is>
      </c>
      <c r="E61" s="2" t="inlineStr">
        <is>
          <t>primary</t>
        </is>
      </c>
      <c r="F61" s="2" t="n">
        <v>1</v>
      </c>
      <c r="G61" s="2" t="n">
        <v>1</v>
      </c>
      <c r="H61" s="2" t="n">
        <v>1</v>
      </c>
      <c r="I61" s="2" t="n">
        <v>1</v>
      </c>
      <c r="J61" s="2" t="inlineStr">
        <is>
          <t>Intensive screening, post-placement retention and advancement services</t>
        </is>
      </c>
      <c r="K61" s="2" t="inlineStr">
        <is>
          <t>voluntary</t>
        </is>
      </c>
      <c r="L61" s="2" t="inlineStr">
        <is>
          <t>mixed</t>
        </is>
      </c>
      <c r="M61" s="2" t="inlineStr">
        <is>
          <t>private</t>
        </is>
      </c>
      <c r="N61" s="2" t="inlineStr">
        <is>
          <t>June 2011 – June 2013</t>
        </is>
      </c>
      <c r="O61" t="n">
        <v>2012.458</v>
      </c>
      <c r="P61" s="2" t="inlineStr">
        <is>
          <t>Low-income job seekers interested in IT careers, primarily low-income adults in the South Bronx</t>
        </is>
      </c>
      <c r="Q61" s="2" t="n">
        <v>31</v>
      </c>
      <c r="R61" s="2" t="n">
        <v>87</v>
      </c>
      <c r="S61" s="2" t="n">
        <v>5.2</v>
      </c>
      <c r="T61" s="2" t="n">
        <v>44.5</v>
      </c>
      <c r="U61" s="2" t="n">
        <v>36</v>
      </c>
      <c r="V61" s="2" t="n">
        <v>0.1</v>
      </c>
      <c r="W61" s="2" t="n"/>
      <c r="X61" s="2" t="inlineStr">
        <is>
          <t>Intensive screening process: applicants assessed for aptitude, motivation, and fit with IT sector. Per Scholas required GED/HS diploma and 10th-grade reading/math level.</t>
        </is>
      </c>
      <c r="Y61" s="2" t="n"/>
      <c r="Z61" s="2" t="n">
        <v>349</v>
      </c>
      <c r="AA61" s="2" t="n">
        <v>341</v>
      </c>
      <c r="AB61" s="2" t="n"/>
      <c r="AC61" s="2" t="n"/>
      <c r="AD61" s="2" t="n"/>
      <c r="AE61" s="2" t="n"/>
      <c r="AF61" s="2" t="n"/>
      <c r="AG61" s="2" t="n"/>
      <c r="AH61" s="2" t="n"/>
      <c r="AI61" s="2" t="n"/>
      <c r="AJ61" s="2" t="n"/>
      <c r="AK61" s="2" t="inlineStr">
        <is>
          <t>NDNH</t>
        </is>
      </c>
      <c r="AL61" s="2" t="n">
        <v>1</v>
      </c>
      <c r="AM61" s="2" t="n">
        <v>6.1</v>
      </c>
      <c r="AN61" s="2" t="n">
        <v>3.7</v>
      </c>
      <c r="AO61" s="2" t="inlineStr">
        <is>
          <t>*</t>
        </is>
      </c>
      <c r="AP61" s="2" t="n">
        <v>71</v>
      </c>
      <c r="AQ61" s="2" t="n">
        <v>150</v>
      </c>
      <c r="AR61" s="2" t="n"/>
      <c r="AS61" s="2" t="n"/>
      <c r="AT61" s="2" t="n">
        <v>8718</v>
      </c>
      <c r="AU61" s="2" t="inlineStr">
        <is>
          <t>annual (Quarters 2-5, UI wage records)</t>
        </is>
      </c>
      <c r="AV61" s="2" t="n">
        <v>2</v>
      </c>
      <c r="AW61" s="2" t="n">
        <v>6</v>
      </c>
      <c r="AX61" s="2" t="n">
        <v>3.1</v>
      </c>
      <c r="AY61" s="2" t="inlineStr">
        <is>
          <t>**</t>
        </is>
      </c>
      <c r="AZ61" s="2" t="n">
        <v>76.40000000000001</v>
      </c>
      <c r="BA61" s="2" t="n">
        <v>3747</v>
      </c>
      <c r="BB61" s="2" t="n">
        <v>1454.4</v>
      </c>
      <c r="BC61" s="2" t="inlineStr">
        <is>
          <t>***</t>
        </is>
      </c>
      <c r="BD61" s="2" t="n">
        <v>14471</v>
      </c>
      <c r="BE61" s="2" t="inlineStr">
        <is>
          <t>annual (Quarters 6-9, UI wage records)</t>
        </is>
      </c>
      <c r="BF61" s="2" t="n">
        <v>6</v>
      </c>
      <c r="BG61" s="2" t="n">
        <v>-1.4</v>
      </c>
      <c r="BH61" s="2" t="n">
        <v>2.86</v>
      </c>
      <c r="BI61" s="2" t="n"/>
      <c r="BJ61" t="n">
        <v>84.59999999999999</v>
      </c>
      <c r="BK61" t="n">
        <v>6281</v>
      </c>
      <c r="BL61" t="n">
        <v>2182</v>
      </c>
      <c r="BM61" t="inlineStr">
        <is>
          <t>***</t>
        </is>
      </c>
      <c r="BN61" t="n">
        <v>32122</v>
      </c>
      <c r="BO61" t="inlineStr">
        <is>
          <t>annual (calendar year 2018, NDNH)</t>
        </is>
      </c>
      <c r="BP61" t="inlineStr">
        <is>
          <t>Schaberg and Greenberg (2020), 'A Longer Follow-Up of WorkAdvance: Final Five-Year Impacts of a Sectoral Training and Advancement Strategy,' MDRC. Table 2.1 (p.16) for impacts, Table 1.1 (p.5) for demographics, Table ES.1 (p.ES-2) for provider characteristics. Cost from p.4 (net cost). ST/MT from Hendra et al. (2016), 'Encouraging Evidence on a Sector-Focused Advancement Strategy: Two-Year Impacts from the WorkAdvance Demonstration,' MDRC. Table 5.2 (pp. 124-125) for Year 1 and Year 2 UI wage record impacts.</t>
        </is>
      </c>
      <c r="BQ61" t="inlineStr">
        <is>
          <t>NDNH (National Directory of New Hires) data for calendar year 2018, approximately 5-7 years post-enrollment (midpoint ~6 years). SE derived from reported p-values: earn SE = 6281/2.878 = 2182 (z from p=0.004); emp SE = 1.4/0.490 = 2.86 (z from p=0.624). 2017 NDNH also available: earn $4,503** (p=0.027), emp 1.3 (p=0.651), control earn $28,049. Race/ethnicity not reported in Table 1.1. 63% of sample had some college. Gross cost $6,400 per participant (2018$); net cost ~$3,750 (subtracting control group service costs). ST/MT added from Hendra et al. 2016 Table 5.2 (UI wage records). Employment measure is 'ever employed (%)' during the 4-quarter period, consistent with the LT 'ever employed' concept from Schaberg &amp; Greenberg 2020. Year 1 earnings impacts are near zero (lock-in during training).</t>
        </is>
      </c>
      <c r="BR61" t="n">
        <v>3750</v>
      </c>
      <c r="BS61" t="n">
        <v>35820</v>
      </c>
      <c r="BT61" t="inlineStr">
        <is>
          <t>Schaberg and Greenberg 2020, Table 3.1 (p.62). Social perspective: pretax earnings $28,661 + fringe benefits $7,159 = $35,820 (2018$, 63-month observation period, 3.5% discount rate). Net social value = $27,535 (observation) or $31,387 (with projection to 7 years).</t>
        </is>
      </c>
      <c r="BU61" t="inlineStr">
        <is>
          <t>NY</t>
        </is>
      </c>
      <c r="BV61" t="inlineStr">
        <is>
          <t>urban</t>
        </is>
      </c>
      <c r="BW61" t="n">
        <v>0</v>
      </c>
      <c r="BX61" t="n">
        <v>1</v>
      </c>
      <c r="BY61" t="n">
        <v>1</v>
      </c>
      <c r="BZ61" t="n">
        <v>0</v>
      </c>
      <c r="CA61" t="n">
        <v>1</v>
      </c>
      <c r="CB61" t="n">
        <v>1</v>
      </c>
      <c r="CC61" t="n">
        <v>1</v>
      </c>
      <c r="CD61" t="n">
        <v>0</v>
      </c>
      <c r="CE61" t="n">
        <v>68.3</v>
      </c>
      <c r="CF61" t="n">
        <v>0</v>
      </c>
      <c r="CG61" t="n">
        <v>21.4</v>
      </c>
      <c r="CH61" t="n">
        <v>63</v>
      </c>
      <c r="CI61" t="n">
        <v>3.75</v>
      </c>
    </row>
    <row r="62" ht="44.1" customHeight="1">
      <c r="A62" s="2" t="inlineStr">
        <is>
          <t>WorkAdvance</t>
        </is>
      </c>
      <c r="B62" s="2" t="inlineStr">
        <is>
          <t>St. Nicks Alliance (Brooklyn)</t>
        </is>
      </c>
      <c r="C62" s="2" t="inlineStr">
        <is>
          <t>St. Nicks</t>
        </is>
      </c>
      <c r="D62" s="2" t="inlineStr">
        <is>
          <t>WorkAdvance at St. Nicks Alliance: environmental remediation training (asbestos, lead, mold removal), sector-focused job placement in environmental services/construction. Training was shorter-term. WorkAdvance model: (1) intensive screening to assess fit with target sector, (2) career readiness services, (3) occupational skills training in a specific sector, (4) job development and placement with sector employers, (5) post-placement retention and advancement services.</t>
        </is>
      </c>
      <c r="E62" s="2" t="inlineStr">
        <is>
          <t>primary</t>
        </is>
      </c>
      <c r="F62" s="2" t="n">
        <v>1</v>
      </c>
      <c r="G62" s="2" t="n">
        <v>0</v>
      </c>
      <c r="H62" s="2" t="n">
        <v>1</v>
      </c>
      <c r="I62" s="2" t="n">
        <v>1</v>
      </c>
      <c r="J62" s="2" t="inlineStr">
        <is>
          <t>Intensive screening, post-placement retention and advancement services</t>
        </is>
      </c>
      <c r="K62" s="2" t="inlineStr">
        <is>
          <t>voluntary</t>
        </is>
      </c>
      <c r="L62" s="2" t="inlineStr">
        <is>
          <t>mixed</t>
        </is>
      </c>
      <c r="M62" s="2" t="inlineStr">
        <is>
          <t>private</t>
        </is>
      </c>
      <c r="N62" s="2" t="inlineStr">
        <is>
          <t>June 2011 – June 2013</t>
        </is>
      </c>
      <c r="O62" t="n">
        <v>2012.458</v>
      </c>
      <c r="P62" s="2" t="inlineStr">
        <is>
          <t>Low-income job seekers in Brooklyn interested in environmental remediation careers</t>
        </is>
      </c>
      <c r="Q62" s="2" t="n">
        <v>35</v>
      </c>
      <c r="R62" s="2" t="n">
        <v>85</v>
      </c>
      <c r="S62" s="2" t="n">
        <v>6.9</v>
      </c>
      <c r="T62" s="2" t="n">
        <v>62.7</v>
      </c>
      <c r="U62" s="2" t="n">
        <v>22.8</v>
      </c>
      <c r="V62" s="2" t="n">
        <v>11.9</v>
      </c>
      <c r="W62" s="2" t="n"/>
      <c r="X62" s="2" t="inlineStr">
        <is>
          <t>Intensive screening for aptitude and fit with environmental remediation sector.</t>
        </is>
      </c>
      <c r="Y62" s="2" t="n"/>
      <c r="Z62" s="2" t="n">
        <v>242</v>
      </c>
      <c r="AA62" s="2" t="n">
        <v>237</v>
      </c>
      <c r="AB62" s="2" t="n"/>
      <c r="AC62" s="2" t="n"/>
      <c r="AD62" s="2" t="n"/>
      <c r="AE62" s="2" t="n"/>
      <c r="AF62" s="2" t="n"/>
      <c r="AG62" s="2" t="n"/>
      <c r="AH62" s="2" t="n"/>
      <c r="AI62" s="2" t="n"/>
      <c r="AJ62" s="2" t="n"/>
      <c r="AK62" s="2" t="inlineStr">
        <is>
          <t>NDNH</t>
        </is>
      </c>
      <c r="AL62" s="2" t="n">
        <v>1</v>
      </c>
      <c r="AM62" s="2" t="n">
        <v>7.7</v>
      </c>
      <c r="AN62" s="2" t="n">
        <v>3.9</v>
      </c>
      <c r="AO62" s="2" t="inlineStr">
        <is>
          <t>**</t>
        </is>
      </c>
      <c r="AP62" s="2" t="n">
        <v>70.40000000000001</v>
      </c>
      <c r="AQ62" s="2" t="n">
        <v>-253</v>
      </c>
      <c r="AR62" s="2" t="n"/>
      <c r="AS62" s="2" t="n"/>
      <c r="AT62" s="2" t="n">
        <v>9648</v>
      </c>
      <c r="AU62" s="2" t="inlineStr">
        <is>
          <t>annual (Quarters 2-5, UI wage records)</t>
        </is>
      </c>
      <c r="AV62" s="2" t="n">
        <v>2</v>
      </c>
      <c r="AW62" s="2" t="n">
        <v>2.1</v>
      </c>
      <c r="AX62" s="2" t="n"/>
      <c r="AY62" s="2" t="n"/>
      <c r="AZ62" s="2" t="n">
        <v>72.2</v>
      </c>
      <c r="BA62" s="2" t="n">
        <v>191</v>
      </c>
      <c r="BB62" s="2" t="n"/>
      <c r="BC62" s="2" t="n"/>
      <c r="BD62" s="2" t="n">
        <v>14229</v>
      </c>
      <c r="BE62" s="2" t="inlineStr">
        <is>
          <t>annual (Quarters 6-9, UI wage records)</t>
        </is>
      </c>
      <c r="BF62" s="2" t="n">
        <v>6</v>
      </c>
      <c r="BG62" s="2" t="n">
        <v>-2</v>
      </c>
      <c r="BH62" s="2" t="n">
        <v>3.82</v>
      </c>
      <c r="BI62" s="2" t="n"/>
      <c r="BJ62" t="n">
        <v>79.7</v>
      </c>
      <c r="BK62" t="n">
        <v>2849</v>
      </c>
      <c r="BL62" t="n">
        <v>2263</v>
      </c>
      <c r="BN62" t="n">
        <v>23822</v>
      </c>
      <c r="BO62" t="inlineStr">
        <is>
          <t>annual (calendar year 2018, NDNH)</t>
        </is>
      </c>
      <c r="BP62" t="inlineStr">
        <is>
          <t>Schaberg and Greenberg (2020), 'A Longer Follow-Up of WorkAdvance: Final Five-Year Impacts of a Sectoral Training and Advancement Strategy,' MDRC. Table 2.2 (p.20) for impacts, Table 1.1 (p.5) for demographics, Table ES.1 (p.ES-2) for provider characteristics. ST/MT from Hendra et al. (2016), 'Encouraging Evidence on a Sector-Focused Advancement Strategy: Two-Year Impacts from the WorkAdvance Demonstration,' MDRC. Table 5.2 (pp. 124-125) for Year 1 and Year 2 UI wage record impacts.</t>
        </is>
      </c>
      <c r="BQ62" t="inlineStr">
        <is>
          <t>NDNH data for calendar year 2018, ~6 years post-enrollment. SE derived from p-values: earn SE = 2849/1.259 = 2263 (z from p=0.208); emp SE = 2.0/0.524 = 3.82 (z from p=0.601). Neither earnings nor employment impact significant at conventional levels. 2017 NDNH: earn $1,957 (p=0.386), emp -1.5 (p=0.673). Race/ethnicity not reported in Table 1.1. Net cost ~$5,100 per program group member. ST/MT added from Hendra et al. 2016 Table 5.2 (UI wage records). Employment measure is 'ever employed (%)' during the 4-quarter period, consistent with the LT 'ever employed' concept from Schaberg &amp; Greenberg 2020. Year 1 earnings impacts are near zero (lock-in during training).</t>
        </is>
      </c>
      <c r="BR62" t="n">
        <v>5100</v>
      </c>
      <c r="BS62" t="n">
        <v>6495</v>
      </c>
      <c r="BT62" t="inlineStr">
        <is>
          <t>Schaberg and Greenberg 2020, Table 3.3 (p.65). Social perspective: pretax earnings $5,197 + fringe benefits $1,298 = $6,495 (2018$, 63-month observation period, 3.5% discount rate). Net social value = -$3,293 (observation) or $13,742 (with projection to ~10 years).</t>
        </is>
      </c>
      <c r="BU62" t="inlineStr">
        <is>
          <t>NY</t>
        </is>
      </c>
      <c r="BV62" t="inlineStr">
        <is>
          <t>urban</t>
        </is>
      </c>
      <c r="BW62" t="n">
        <v>0</v>
      </c>
      <c r="BX62" t="n">
        <v>1</v>
      </c>
      <c r="BY62" t="n">
        <v>1</v>
      </c>
      <c r="BZ62" t="n">
        <v>0</v>
      </c>
      <c r="CA62" t="n">
        <v>1</v>
      </c>
      <c r="CB62" t="n">
        <v>1</v>
      </c>
      <c r="CC62" t="n">
        <v>1</v>
      </c>
      <c r="CD62" t="n">
        <v>0</v>
      </c>
      <c r="CE62" t="n">
        <v>53</v>
      </c>
      <c r="CF62" t="n">
        <v>1.7</v>
      </c>
      <c r="CG62" t="n">
        <v>20.6</v>
      </c>
      <c r="CH62" t="n">
        <v>60.6</v>
      </c>
      <c r="CI62" t="n">
        <v>2</v>
      </c>
    </row>
    <row r="63" ht="44.1" customHeight="1">
      <c r="A63" s="2" t="inlineStr">
        <is>
          <t>WorkAdvance</t>
        </is>
      </c>
      <c r="B63" s="2" t="inlineStr">
        <is>
          <t>Madison Strategies Group (Tulsa)</t>
        </is>
      </c>
      <c r="C63" s="2" t="inlineStr">
        <is>
          <t>Madison Strategies Group</t>
        </is>
      </c>
      <c r="D63" s="2" t="inlineStr">
        <is>
          <t>WorkAdvance at Madison Strategies Group: training for transportation and manufacturing sectors in Tulsa, OK. WorkAdvance model: (1) intensive screening to assess fit with target sector, (2) career readiness services, (3) occupational skills training in a specific sector, (4) job development and placement with sector employers, (5) post-placement retention and advancement services.</t>
        </is>
      </c>
      <c r="E63" s="2" t="inlineStr">
        <is>
          <t>primary</t>
        </is>
      </c>
      <c r="F63" s="2" t="n">
        <v>1</v>
      </c>
      <c r="G63" s="2" t="n">
        <v>0</v>
      </c>
      <c r="H63" s="2" t="n">
        <v>1</v>
      </c>
      <c r="I63" s="2" t="n">
        <v>1</v>
      </c>
      <c r="J63" s="2" t="inlineStr">
        <is>
          <t>Intensive screening, post-placement retention and advancement services</t>
        </is>
      </c>
      <c r="K63" s="2" t="inlineStr">
        <is>
          <t>voluntary</t>
        </is>
      </c>
      <c r="L63" s="2" t="inlineStr">
        <is>
          <t>mixed</t>
        </is>
      </c>
      <c r="M63" s="2" t="inlineStr">
        <is>
          <t>private</t>
        </is>
      </c>
      <c r="N63" s="2" t="inlineStr">
        <is>
          <t>June 2011 – June 2013</t>
        </is>
      </c>
      <c r="O63" t="n">
        <v>2012.458</v>
      </c>
      <c r="P63" s="2" t="inlineStr">
        <is>
          <t>Low-income job seekers in Tulsa interested in transportation and manufacturing careers</t>
        </is>
      </c>
      <c r="Q63" s="2" t="n">
        <v>35</v>
      </c>
      <c r="R63" s="2" t="n">
        <v>84</v>
      </c>
      <c r="S63" s="2" t="n">
        <v>39.2</v>
      </c>
      <c r="T63" s="2" t="n">
        <v>28.4</v>
      </c>
      <c r="U63" s="2" t="n">
        <v>6.1</v>
      </c>
      <c r="V63" s="2" t="n">
        <v>6</v>
      </c>
      <c r="W63" s="2" t="n"/>
      <c r="X63" s="2" t="inlineStr">
        <is>
          <t>Intensive screening for aptitude and fit with transportation/manufacturing sector.</t>
        </is>
      </c>
      <c r="Y63" s="2" t="n"/>
      <c r="Z63" s="2" t="n">
        <v>353</v>
      </c>
      <c r="AA63" s="2" t="n">
        <v>344</v>
      </c>
      <c r="AB63" s="2" t="n"/>
      <c r="AC63" s="2" t="n"/>
      <c r="AD63" s="2" t="n"/>
      <c r="AE63" s="2" t="n"/>
      <c r="AF63" s="2" t="n"/>
      <c r="AG63" s="2" t="n"/>
      <c r="AH63" s="2" t="n"/>
      <c r="AI63" s="2" t="n"/>
      <c r="AJ63" s="2" t="n"/>
      <c r="AK63" s="2" t="inlineStr">
        <is>
          <t>NDNH</t>
        </is>
      </c>
      <c r="AL63" s="2" t="n">
        <v>1</v>
      </c>
      <c r="AM63" s="2" t="n">
        <v>2.8</v>
      </c>
      <c r="AN63" s="2" t="n"/>
      <c r="AO63" s="2" t="n"/>
      <c r="AP63" s="2" t="n">
        <v>86.5</v>
      </c>
      <c r="AQ63" s="2" t="n">
        <v>328</v>
      </c>
      <c r="AR63" s="2" t="n"/>
      <c r="AS63" s="2" t="n"/>
      <c r="AT63" s="2" t="n">
        <v>12933</v>
      </c>
      <c r="AU63" s="2" t="inlineStr">
        <is>
          <t>annual (Quarters 2-5, UI wage records)</t>
        </is>
      </c>
      <c r="AV63" s="2" t="n">
        <v>2</v>
      </c>
      <c r="AW63" s="2" t="n">
        <v>-2.5</v>
      </c>
      <c r="AX63" s="2" t="n"/>
      <c r="AY63" s="2" t="n"/>
      <c r="AZ63" s="2" t="n">
        <v>82.8</v>
      </c>
      <c r="BA63" s="2" t="n">
        <v>1837</v>
      </c>
      <c r="BB63" s="2" t="n">
        <v>1116.6</v>
      </c>
      <c r="BC63" s="2" t="inlineStr">
        <is>
          <t>*</t>
        </is>
      </c>
      <c r="BD63" s="2" t="n">
        <v>14804</v>
      </c>
      <c r="BE63" s="2" t="inlineStr">
        <is>
          <t>annual (Quarters 6-9, UI wage records)</t>
        </is>
      </c>
      <c r="BF63" s="2" t="n">
        <v>6</v>
      </c>
      <c r="BG63" s="2" t="n">
        <v>-4.4</v>
      </c>
      <c r="BH63" s="2" t="n">
        <v>3.19</v>
      </c>
      <c r="BI63" s="2" t="n"/>
      <c r="BJ63" t="n">
        <v>78.59999999999999</v>
      </c>
      <c r="BK63" t="n">
        <v>787</v>
      </c>
      <c r="BL63" t="n">
        <v>1511</v>
      </c>
      <c r="BN63" t="n">
        <v>20461</v>
      </c>
      <c r="BO63" t="inlineStr">
        <is>
          <t>annual (calendar year 2018, NDNH)</t>
        </is>
      </c>
      <c r="BP63" t="inlineStr">
        <is>
          <t>Schaberg and Greenberg (2020), 'A Longer Follow-Up of WorkAdvance: Final Five-Year Impacts of a Sectoral Training and Advancement Strategy,' MDRC. Table 2.3 (p.23) for impacts, Table 1.1 (p.5) for demographics, Table ES.1 (p.ES-2) for provider characteristics. ST/MT from Hendra et al. (2016), 'Encouraging Evidence on a Sector-Focused Advancement Strategy: Two-Year Impacts from the WorkAdvance Demonstration,' MDRC. Table 5.2 (pp. 124-125) for Year 1 and Year 2 UI wage record impacts.</t>
        </is>
      </c>
      <c r="BQ63" t="inlineStr">
        <is>
          <t>NDNH data for calendar year 2018, ~6 years post-enrollment. SE derived from p-values: earn SE = 787/0.521 = 1511 (z from p=0.603); emp SE = 4.4/1.383 = 3.19 (z from p=0.168). Neither impact significant. 2017 NDNH: earn $1,780 (p=0.177), emp -1.3 (p=0.663). Race/ethnicity not reported in Table 1.1. Net cost ~$6,300. ST/MT added from Hendra et al. 2016 Table 5.2 (UI wage records). Employment measure is 'ever employed (%)' during the 4-quarter period, consistent with the LT 'ever employed' concept from Schaberg &amp; Greenberg 2020. Year 1 earnings impacts are near zero (lock-in during training).</t>
        </is>
      </c>
      <c r="BR63" t="n">
        <v>6300</v>
      </c>
      <c r="BS63" t="n">
        <v>24756</v>
      </c>
      <c r="BT63" t="inlineStr">
        <is>
          <t>Schaberg and Greenberg 2020, Table 3.4 (p.66). Social perspective: pretax earnings $19,808 + fringe benefits $4,948 = $24,756 (2018$, 62-month observation period, 3.5% discount rate). Net social value = $13,114 (no projection period).</t>
        </is>
      </c>
      <c r="BU63" t="inlineStr">
        <is>
          <t>OK</t>
        </is>
      </c>
      <c r="BV63" t="inlineStr">
        <is>
          <t>urban</t>
        </is>
      </c>
      <c r="BW63" t="n">
        <v>0</v>
      </c>
      <c r="BX63" t="n">
        <v>1</v>
      </c>
      <c r="BY63" t="n">
        <v>1</v>
      </c>
      <c r="BZ63" t="n">
        <v>0</v>
      </c>
      <c r="CA63" t="n">
        <v>1</v>
      </c>
      <c r="CB63" t="n">
        <v>1</v>
      </c>
      <c r="CC63" t="n">
        <v>1</v>
      </c>
      <c r="CD63" t="n">
        <v>0</v>
      </c>
      <c r="CE63" t="n">
        <v>49.9</v>
      </c>
      <c r="CF63" t="n">
        <v>0.1</v>
      </c>
      <c r="CG63" t="n">
        <v>26.6</v>
      </c>
      <c r="CH63" t="n">
        <v>49.5</v>
      </c>
      <c r="CI63" t="n">
        <v>4.5</v>
      </c>
    </row>
    <row r="64" ht="44.1" customHeight="1">
      <c r="A64" s="2" t="inlineStr">
        <is>
          <t>WorkAdvance</t>
        </is>
      </c>
      <c r="B64" s="2" t="inlineStr">
        <is>
          <t>Towards Employment (NE Ohio)</t>
        </is>
      </c>
      <c r="C64" s="2" t="inlineStr">
        <is>
          <t>Towards Employment</t>
        </is>
      </c>
      <c r="D64" s="2" t="inlineStr">
        <is>
          <t>WorkAdvance at Towards Employment: training for health care and manufacturing sectors in Northeast Ohio (Cleveland area). WorkAdvance model: (1) intensive screening to assess fit with target sector, (2) career readiness services, (3) occupational skills training in a specific sector, (4) job development and placement with sector employers, (5) post-placement retention and advancement services.</t>
        </is>
      </c>
      <c r="E64" s="2" t="inlineStr">
        <is>
          <t>primary</t>
        </is>
      </c>
      <c r="F64" s="2" t="n">
        <v>1</v>
      </c>
      <c r="G64" s="2" t="n">
        <v>0</v>
      </c>
      <c r="H64" s="2" t="n">
        <v>1</v>
      </c>
      <c r="I64" s="2" t="n">
        <v>1</v>
      </c>
      <c r="J64" s="2" t="inlineStr">
        <is>
          <t>Intensive screening, post-placement retention and advancement services</t>
        </is>
      </c>
      <c r="K64" s="2" t="inlineStr">
        <is>
          <t>voluntary</t>
        </is>
      </c>
      <c r="L64" s="2" t="inlineStr">
        <is>
          <t>mixed</t>
        </is>
      </c>
      <c r="M64" s="2" t="inlineStr">
        <is>
          <t>private</t>
        </is>
      </c>
      <c r="N64" s="2" t="inlineStr">
        <is>
          <t>June 2011 – June 2013</t>
        </is>
      </c>
      <c r="O64" t="n">
        <v>2012.458</v>
      </c>
      <c r="P64" s="2" t="inlineStr">
        <is>
          <t>Low-income job seekers in NE Ohio interested in health care and manufacturing careers</t>
        </is>
      </c>
      <c r="Q64" s="2" t="n">
        <v>35</v>
      </c>
      <c r="R64" s="2" t="n">
        <v>41</v>
      </c>
      <c r="S64" s="2" t="n">
        <v>18.4</v>
      </c>
      <c r="T64" s="2" t="n">
        <v>70.8</v>
      </c>
      <c r="U64" s="2" t="n">
        <v>4.6</v>
      </c>
      <c r="V64" s="2" t="n">
        <v>5.9</v>
      </c>
      <c r="W64" s="2" t="n"/>
      <c r="X64" s="2" t="inlineStr">
        <is>
          <t>Intensive screening for aptitude and fit with health care/manufacturing sector.</t>
        </is>
      </c>
      <c r="Y64" s="2" t="n"/>
      <c r="Z64" s="2" t="n">
        <v>349</v>
      </c>
      <c r="AA64" s="2" t="n">
        <v>349</v>
      </c>
      <c r="AB64" s="2" t="n"/>
      <c r="AC64" s="2" t="n"/>
      <c r="AD64" s="2" t="n"/>
      <c r="AE64" s="2" t="n"/>
      <c r="AF64" s="2" t="n"/>
      <c r="AG64" s="2" t="n"/>
      <c r="AH64" s="2" t="n"/>
      <c r="AI64" s="2" t="n"/>
      <c r="AJ64" s="2" t="n"/>
      <c r="AK64" s="2" t="inlineStr">
        <is>
          <t>NDNH</t>
        </is>
      </c>
      <c r="AL64" s="2" t="n">
        <v>1</v>
      </c>
      <c r="AM64" s="2" t="n">
        <v>4.8</v>
      </c>
      <c r="AN64" s="2" t="n">
        <v>2.9</v>
      </c>
      <c r="AO64" s="2" t="inlineStr">
        <is>
          <t>*</t>
        </is>
      </c>
      <c r="AP64" s="2" t="n">
        <v>78.8</v>
      </c>
      <c r="AQ64" s="2" t="n">
        <v>12</v>
      </c>
      <c r="AR64" s="2" t="n"/>
      <c r="AS64" s="2" t="n"/>
      <c r="AT64" s="2" t="n">
        <v>9483</v>
      </c>
      <c r="AU64" s="2" t="inlineStr">
        <is>
          <t>annual (Quarters 2-5, UI wage records)</t>
        </is>
      </c>
      <c r="AV64" s="2" t="n">
        <v>2</v>
      </c>
      <c r="AW64" s="2" t="n">
        <v>5.4</v>
      </c>
      <c r="AX64" s="2" t="n">
        <v>3.3</v>
      </c>
      <c r="AY64" s="2" t="inlineStr">
        <is>
          <t>*</t>
        </is>
      </c>
      <c r="AZ64" s="2" t="n">
        <v>73.7</v>
      </c>
      <c r="BA64" s="2" t="n">
        <v>1621</v>
      </c>
      <c r="BB64" s="2" t="n">
        <v>985.3</v>
      </c>
      <c r="BC64" s="2" t="inlineStr">
        <is>
          <t>*</t>
        </is>
      </c>
      <c r="BD64" s="2" t="n">
        <v>11602</v>
      </c>
      <c r="BE64" s="2" t="inlineStr">
        <is>
          <t>annual (Quarters 6-9, UI wage records)</t>
        </is>
      </c>
      <c r="BF64" s="2" t="n">
        <v>6</v>
      </c>
      <c r="BG64" s="2" t="n">
        <v>0.4</v>
      </c>
      <c r="BH64" s="2" t="n">
        <v>3.01</v>
      </c>
      <c r="BI64" s="2" t="n"/>
      <c r="BJ64" t="n">
        <v>78.59999999999999</v>
      </c>
      <c r="BK64" t="n">
        <v>1404</v>
      </c>
      <c r="BL64" t="n">
        <v>1289</v>
      </c>
      <c r="BN64" t="n">
        <v>18338</v>
      </c>
      <c r="BO64" t="inlineStr">
        <is>
          <t>annual (calendar year 2018, NDNH)</t>
        </is>
      </c>
      <c r="BP64" t="inlineStr">
        <is>
          <t>Schaberg and Greenberg (2020), 'A Longer Follow-Up of WorkAdvance: Final Five-Year Impacts of a Sectoral Training and Advancement Strategy,' MDRC. Table 2.4 (p.27) for impacts, Table 1.1 (p.5) for demographics, Table ES.1 (p.ES-2) for provider characteristics. ST/MT from Hendra et al. (2016), 'Encouraging Evidence on a Sector-Focused Advancement Strategy: Two-Year Impacts from the WorkAdvance Demonstration,' MDRC. Table 5.2 (pp. 124-125) for Year 1 and Year 2 UI wage record impacts.</t>
        </is>
      </c>
      <c r="BQ64" t="inlineStr">
        <is>
          <t>NDNH data for calendar year 2018, ~6 years post-enrollment. SE derived from p-values: earn SE = 1404/1.089 = 1289 (z from p=0.275); emp SE = 0.4/0.133 = 3.01 (z from p=0.894). Neither impact significant. 2017 NDNH: earn $1,529 (p=0.197), emp 1.7 (p=0.541). Towards Employment is the only site with majority female (59%). Race/ethnicity not reported in Table 1.1. Net cost ~$5,100. ST/MT added from Hendra et al. 2016 Table 5.2 (UI wage records). Employment measure is 'ever employed (%)' during the 4-quarter period, consistent with the LT 'ever employed' concept from Schaberg &amp; Greenberg 2020. Year 1 earnings impacts are near zero (lock-in during training).</t>
        </is>
      </c>
      <c r="BR64" t="n">
        <v>5100</v>
      </c>
      <c r="BS64" t="n">
        <v>15795</v>
      </c>
      <c r="BT64" t="inlineStr">
        <is>
          <t>Schaberg and Greenberg 2020, Table 3.5 (p.68). Social perspective: pretax earnings $12,638 + fringe benefits $3,157 = $15,795 (2018$, 62-month observation period, 3.5% discount rate). Net social value = $9,202 (no projection period).</t>
        </is>
      </c>
      <c r="BU64" t="inlineStr">
        <is>
          <t>OH</t>
        </is>
      </c>
      <c r="BV64" t="inlineStr">
        <is>
          <t>urban</t>
        </is>
      </c>
      <c r="BW64" t="n">
        <v>0</v>
      </c>
      <c r="BX64" t="n">
        <v>1</v>
      </c>
      <c r="BY64" t="n">
        <v>1</v>
      </c>
      <c r="BZ64" t="n">
        <v>0</v>
      </c>
      <c r="CA64" t="n">
        <v>1</v>
      </c>
      <c r="CB64" t="n">
        <v>1</v>
      </c>
      <c r="CC64" t="n">
        <v>1</v>
      </c>
      <c r="CD64" t="n">
        <v>0</v>
      </c>
      <c r="CE64" t="n">
        <v>53.2</v>
      </c>
      <c r="CF64" t="n">
        <v>1.6</v>
      </c>
      <c r="CG64" t="n">
        <v>25.6</v>
      </c>
      <c r="CH64" t="n">
        <v>54.5</v>
      </c>
      <c r="CI64" t="n">
        <v>2.4</v>
      </c>
    </row>
    <row r="65" ht="44.1" customHeight="1">
      <c r="A65" s="2" t="inlineStr">
        <is>
          <t>Sectoral Employment Impact Study</t>
        </is>
      </c>
      <c r="B65" s="2" t="inlineStr">
        <is>
          <t>WRTP (Milwaukee)</t>
        </is>
      </c>
      <c r="C65" s="2" t="inlineStr">
        <is>
          <t>WRTP</t>
        </is>
      </c>
      <c r="D65" s="2" t="inlineStr">
        <is>
          <t>WRTP: short-term, sector-specific training (healthcare, construction, manufacturing) averaging 1.6 months, followed by placement into higher-wage jobs through employer/union networks. Training offered through external providers and community colleges. Includes support services through community-based organizations.</t>
        </is>
      </c>
      <c r="E65" s="2" t="inlineStr">
        <is>
          <t>primary</t>
        </is>
      </c>
      <c r="F65" s="2" t="n">
        <v>1</v>
      </c>
      <c r="G65" s="2" t="n">
        <v>0</v>
      </c>
      <c r="H65" s="2" t="n">
        <v>1</v>
      </c>
      <c r="I65" s="2" t="n">
        <v>1</v>
      </c>
      <c r="J65" s="2" t="inlineStr">
        <is>
          <t>Employer/union network connections, support services through community agencies, certification preparation (CNA, CMA, construction certifications)</t>
        </is>
      </c>
      <c r="K65" s="2" t="inlineStr">
        <is>
          <t>voluntary</t>
        </is>
      </c>
      <c r="L65" s="2" t="inlineStr">
        <is>
          <t>mixed</t>
        </is>
      </c>
      <c r="M65" s="2" t="inlineStr">
        <is>
          <t>private</t>
        </is>
      </c>
      <c r="N65" s="2" t="inlineStr">
        <is>
          <t>approximately 2003–2005</t>
        </is>
      </c>
      <c r="O65" t="n">
        <v>2004.5</v>
      </c>
      <c r="P65" s="2" t="inlineStr">
        <is>
          <t>Low-income workers and job seekers in Milwaukee; 37% formerly incarcerated, 37% ever on welfare</t>
        </is>
      </c>
      <c r="Q65" s="2" t="n">
        <v>32.6</v>
      </c>
      <c r="R65" s="2" t="n">
        <v>52</v>
      </c>
      <c r="S65" s="2" t="n">
        <v>16</v>
      </c>
      <c r="T65" s="2" t="n">
        <v>78</v>
      </c>
      <c r="U65" s="2" t="n">
        <v>4</v>
      </c>
      <c r="V65" s="2" t="n">
        <v>12</v>
      </c>
      <c r="W65" s="2" t="n"/>
      <c r="X65" s="2" t="inlineStr">
        <is>
          <t>WRTP screened applicants for basic skills (6th-10th grade reading level required). 41% of control group received other training services.</t>
        </is>
      </c>
      <c r="Y65" s="2" t="n"/>
      <c r="Z65" s="2" t="n">
        <v>173</v>
      </c>
      <c r="AA65" s="2" t="n">
        <v>168</v>
      </c>
      <c r="AB65" s="2" t="n"/>
      <c r="AC65" s="2" t="n"/>
      <c r="AD65" s="2" t="n"/>
      <c r="AE65" s="2" t="n">
        <v>0.85</v>
      </c>
      <c r="AF65" s="2" t="n">
        <v>0.88</v>
      </c>
      <c r="AG65" s="2" t="n">
        <v>0.87</v>
      </c>
      <c r="AH65" s="2" t="n"/>
      <c r="AI65" s="2" t="n"/>
      <c r="AJ65" s="2" t="n"/>
      <c r="AK65" s="2" t="inlineStr">
        <is>
          <t>self-report (survey)</t>
        </is>
      </c>
      <c r="AL65" s="2" t="n">
        <v>1</v>
      </c>
      <c r="AM65" s="2" t="n">
        <v>1.7</v>
      </c>
      <c r="AN65" s="2" t="n"/>
      <c r="AO65" s="2" t="n"/>
      <c r="AP65" s="2" t="n">
        <v>65</v>
      </c>
      <c r="AQ65" s="2" t="n">
        <v>2520</v>
      </c>
      <c r="AR65" s="2" t="n"/>
      <c r="AS65" s="2" t="n"/>
      <c r="AT65" s="2" t="n">
        <v>12675</v>
      </c>
      <c r="AU65" s="2" t="inlineStr">
        <is>
          <t>cumulative over months 1-12 (Year 1, derived by subtraction from NDNH)</t>
        </is>
      </c>
      <c r="AV65" s="2" t="n">
        <v>2</v>
      </c>
      <c r="AW65" s="2" t="n">
        <v>2</v>
      </c>
      <c r="AX65" s="2" t="n"/>
      <c r="AY65" s="2" t="n"/>
      <c r="AZ65" s="2" t="n">
        <v>88</v>
      </c>
      <c r="BA65" s="2" t="n">
        <v>3735</v>
      </c>
      <c r="BB65" s="2" t="n"/>
      <c r="BC65" s="2" t="inlineStr">
        <is>
          <t>***</t>
        </is>
      </c>
      <c r="BD65" s="2" t="n">
        <v>13614</v>
      </c>
      <c r="BE65" s="2" t="inlineStr">
        <is>
          <t>cumulative over months 13-24 (Year 2)</t>
        </is>
      </c>
      <c r="BF65" s="2" t="n"/>
      <c r="BG65" s="2" t="n"/>
      <c r="BH65" s="2" t="n"/>
      <c r="BI65" s="2" t="n"/>
      <c r="BP65" t="inlineStr">
        <is>
          <t>Maguire, Freely, Clymer, Conway, and Schwartz (2010), 'Tuning In to Local Labor Markets: Findings from the Sectoral Employment Impact Study,' Public/Private Ventures. Table 6 (p.21) for impacts, Table 5 (p.19) for baseline demographics. Table 2 (p.10) for training cohorts.</t>
        </is>
      </c>
      <c r="BQ65" t="inlineStr">
        <is>
          <t>Survey-based outcomes at 24-month follow-up. Months 13-24 used as medium-term estimate (Year 2, when participants were fully available for labor market). Cumulative 24-month earnings impact was $6,255*** (control $26,289). Employment impact not significant at either horizon. SEs not reported in paper — only significance stars (* p&lt;0.10, ** p&lt;0.05, *** p&lt;0.01). N=335 for analysis (341 follow-up minus 6 with missing data, per Table 6 note). n_treatment and n_control are from follow-up sample (Table 5); recruited sample was 393 total. Training averaged 1.6 months. 73% completion rate. V13 UPDATE: ST derived by subtraction from Table 6: months 1-12 = 24mo total minus months 13-24. Emp: months_employed impact 0.2/12=1.7 pp. Earn: $6255-$3735=$2520. No SEs derivable.</t>
        </is>
      </c>
      <c r="BU65" t="inlineStr">
        <is>
          <t>WI</t>
        </is>
      </c>
      <c r="BV65" t="inlineStr">
        <is>
          <t>urban</t>
        </is>
      </c>
      <c r="BW65" t="n">
        <v>0</v>
      </c>
      <c r="BX65" t="n">
        <v>1</v>
      </c>
      <c r="BY65" t="n">
        <v>1</v>
      </c>
      <c r="BZ65" t="n">
        <v>0</v>
      </c>
      <c r="CA65" t="n">
        <v>1</v>
      </c>
      <c r="CB65" t="n">
        <v>1</v>
      </c>
      <c r="CC65" t="n">
        <v>1</v>
      </c>
      <c r="CD65" t="n">
        <v>1</v>
      </c>
      <c r="CE65" t="n">
        <v>73</v>
      </c>
      <c r="CF65" t="n">
        <v>0</v>
      </c>
      <c r="CI65" t="n">
        <v>1.6</v>
      </c>
    </row>
    <row r="66" ht="44.1" customHeight="1">
      <c r="A66" s="2" t="inlineStr">
        <is>
          <t>Sectoral Employment Impact Study</t>
        </is>
      </c>
      <c r="B66" s="2" t="inlineStr">
        <is>
          <t>JVS-Boston</t>
        </is>
      </c>
      <c r="C66" s="2" t="inlineStr">
        <is>
          <t>JVS-Boston</t>
        </is>
      </c>
      <c r="D66" s="2" t="inlineStr">
        <is>
          <t>JVS-Boston: intensive 5.2-month occupational skills training (medical assistant, computerized accounting, medical office) in healthcare sector, with strong support services including case management, referrals, and long-term post-graduation follow-up.</t>
        </is>
      </c>
      <c r="E66" s="2" t="inlineStr">
        <is>
          <t>primary</t>
        </is>
      </c>
      <c r="F66" s="2" t="n">
        <v>1</v>
      </c>
      <c r="G66" s="2" t="n">
        <v>0</v>
      </c>
      <c r="H66" s="2" t="n">
        <v>1</v>
      </c>
      <c r="I66" s="2" t="n">
        <v>1</v>
      </c>
      <c r="J66" s="2" t="inlineStr">
        <is>
          <t>Case management, referrals to outside agencies, post-graduation job retention support, employer advisory boards</t>
        </is>
      </c>
      <c r="K66" s="2" t="inlineStr">
        <is>
          <t>voluntary</t>
        </is>
      </c>
      <c r="L66" s="2" t="inlineStr">
        <is>
          <t>mixed</t>
        </is>
      </c>
      <c r="M66" s="2" t="inlineStr">
        <is>
          <t>private</t>
        </is>
      </c>
      <c r="N66" s="2" t="inlineStr">
        <is>
          <t>approximately 2003–2005</t>
        </is>
      </c>
      <c r="O66" t="n">
        <v>2004.5</v>
      </c>
      <c r="P66" s="2" t="inlineStr">
        <is>
          <t>Low-income workers and job seekers in Boston; 88% female, 61% ever on welfare, 41% immigrants</t>
        </is>
      </c>
      <c r="Q66" s="2" t="n">
        <v>31.6</v>
      </c>
      <c r="R66" s="2" t="n">
        <v>12</v>
      </c>
      <c r="S66" s="2" t="n">
        <v>17</v>
      </c>
      <c r="T66" s="2" t="n">
        <v>53</v>
      </c>
      <c r="U66" s="2" t="n">
        <v>19</v>
      </c>
      <c r="V66" s="2" t="n">
        <v>8</v>
      </c>
      <c r="W66" s="2" t="n"/>
      <c r="X66" s="2" t="inlineStr">
        <is>
          <t>6th-grade reading level required. Applicants screened for fit with healthcare sector occupations. 41% of control group received other training services (across all sites).</t>
        </is>
      </c>
      <c r="Y66" s="2" t="n"/>
      <c r="Z66" s="2" t="n">
        <v>181</v>
      </c>
      <c r="AA66" s="2" t="n">
        <v>147</v>
      </c>
      <c r="AB66" s="2" t="n"/>
      <c r="AC66" s="2" t="n"/>
      <c r="AD66" s="2" t="n"/>
      <c r="AE66" s="2" t="n">
        <v>0.66</v>
      </c>
      <c r="AF66" s="2" t="n">
        <v>0.8</v>
      </c>
      <c r="AG66" s="2" t="n">
        <v>0.73</v>
      </c>
      <c r="AH66" s="2" t="n"/>
      <c r="AI66" s="2" t="n"/>
      <c r="AJ66" s="2" t="n"/>
      <c r="AK66" s="2" t="inlineStr">
        <is>
          <t>self-report (survey)</t>
        </is>
      </c>
      <c r="AL66" s="2" t="n">
        <v>1</v>
      </c>
      <c r="AM66" s="2" t="n">
        <v>-2.5</v>
      </c>
      <c r="AN66" s="2" t="n"/>
      <c r="AO66" s="2" t="n"/>
      <c r="AP66" s="2" t="n">
        <v>45.8</v>
      </c>
      <c r="AQ66" s="2" t="n">
        <v>102</v>
      </c>
      <c r="AR66" s="2" t="n"/>
      <c r="AS66" s="2" t="n"/>
      <c r="AT66" s="2" t="n">
        <v>8088</v>
      </c>
      <c r="AU66" s="2" t="inlineStr">
        <is>
          <t>cumulative over months 1-12 (Year 1, derived by subtraction from NDNH)</t>
        </is>
      </c>
      <c r="AV66" s="2" t="n">
        <v>2</v>
      </c>
      <c r="AW66" s="2" t="n">
        <v>10</v>
      </c>
      <c r="AX66" s="2" t="n"/>
      <c r="AY66" s="2" t="inlineStr">
        <is>
          <t>**</t>
        </is>
      </c>
      <c r="AZ66" s="2" t="n">
        <v>72</v>
      </c>
      <c r="BA66" s="2" t="n">
        <v>4237</v>
      </c>
      <c r="BB66" s="2" t="n"/>
      <c r="BC66" s="2" t="inlineStr">
        <is>
          <t>***</t>
        </is>
      </c>
      <c r="BD66" s="2" t="n">
        <v>12098</v>
      </c>
      <c r="BE66" s="2" t="inlineStr">
        <is>
          <t>cumulative over months 13-24 (Year 2)</t>
        </is>
      </c>
      <c r="BF66" s="2" t="n"/>
      <c r="BG66" s="2" t="n"/>
      <c r="BH66" s="2" t="n"/>
      <c r="BI66" s="2" t="n"/>
      <c r="BP66" t="inlineStr">
        <is>
          <t>Maguire, Freely, Clymer, Conway, and Schwartz (2010), 'Tuning In to Local Labor Markets: Findings from the Sectoral Employment Impact Study,' Public/Private Ventures. Table 13 (p.33) for impacts, Table 12 (p.30) for baseline demographics.</t>
        </is>
      </c>
      <c r="BQ66" t="inlineStr">
        <is>
          <t>Survey-based outcomes at 24-month follow-up. Months 13-24 used as medium-term estimate. Cumulative 24-month earnings impact: $4,339** (control $20,186); 24-month employment: 10%** (control 78%). N=313 for analysis (Table 13). n_treatment and n_control are from follow-up sample (Table 12); recruited was 450. SEs not reported. Training averaged 5.2 months — longest of the three sites. 74% completion rate. Differential response rates: 80% for treatment vs. 66% for control — potential selection bias. 41% foreign-born. Formerly incarcerated not eligible for JVS training programs. V13 UPDATE: ST derived by subtraction from Table 13: months 1-12 = 24mo total minus months 13-24. Emp: months_employed impact -0.3/12=-2.5 pp. Earn: $4339-$4237=$102. No SEs derivable.</t>
        </is>
      </c>
      <c r="BU66" t="inlineStr">
        <is>
          <t>MA</t>
        </is>
      </c>
      <c r="BV66" t="inlineStr">
        <is>
          <t>urban</t>
        </is>
      </c>
      <c r="BW66" t="n">
        <v>0</v>
      </c>
      <c r="BX66" t="n">
        <v>1</v>
      </c>
      <c r="BY66" t="n">
        <v>1</v>
      </c>
      <c r="BZ66" t="n">
        <v>0</v>
      </c>
      <c r="CA66" t="n">
        <v>1</v>
      </c>
      <c r="CB66" t="n">
        <v>0</v>
      </c>
      <c r="CC66" t="n">
        <v>1</v>
      </c>
      <c r="CD66" t="n">
        <v>0</v>
      </c>
      <c r="CE66" t="n">
        <v>74</v>
      </c>
      <c r="CF66" t="n">
        <v>0</v>
      </c>
      <c r="CI66" t="n">
        <v>5.2</v>
      </c>
    </row>
    <row r="67" ht="44.1" customHeight="1">
      <c r="A67" s="2" t="inlineStr">
        <is>
          <t>Sectoral Employment Impact Study</t>
        </is>
      </c>
      <c r="B67" s="2" t="inlineStr">
        <is>
          <t>Per Scholas (Bronx, IT) [SEIS]</t>
        </is>
      </c>
      <c r="C67" s="2" t="inlineStr">
        <is>
          <t>Per Scholas</t>
        </is>
      </c>
      <c r="D67" s="2" t="inlineStr">
        <is>
          <t>Per Scholas: 3.6-month computer technician training program in the South Bronx preparing participants for CompTIA A+ certification, with internships and IT sector job placement. Required GED/HS diploma and 10th-grade reading/math level.</t>
        </is>
      </c>
      <c r="E67" s="2" t="inlineStr">
        <is>
          <t>primary</t>
        </is>
      </c>
      <c r="F67" s="2" t="n">
        <v>1</v>
      </c>
      <c r="G67" s="2" t="n">
        <v>1</v>
      </c>
      <c r="H67" s="2" t="n">
        <v>1</v>
      </c>
      <c r="I67" s="2" t="n">
        <v>1</v>
      </c>
      <c r="J67" s="2" t="inlineStr">
        <is>
          <t>A+ certification exam preparation and fee ($275), internship placements</t>
        </is>
      </c>
      <c r="K67" s="2" t="inlineStr">
        <is>
          <t>voluntary</t>
        </is>
      </c>
      <c r="L67" s="2" t="inlineStr">
        <is>
          <t>mixed</t>
        </is>
      </c>
      <c r="M67" s="2" t="inlineStr">
        <is>
          <t>private</t>
        </is>
      </c>
      <c r="N67" s="2" t="inlineStr">
        <is>
          <t>approximately 2003–2005</t>
        </is>
      </c>
      <c r="O67" t="n">
        <v>2004.5</v>
      </c>
      <c r="P67" s="2" t="inlineStr">
        <is>
          <t>Low-income job seekers in South Bronx interested in IT careers; 76% male, 50% African American, 41% Latino</t>
        </is>
      </c>
      <c r="Q67" s="2" t="n">
        <v>32.5</v>
      </c>
      <c r="R67" s="2" t="n">
        <v>76</v>
      </c>
      <c r="S67" s="2" t="n">
        <v>3</v>
      </c>
      <c r="T67" s="2" t="n">
        <v>50</v>
      </c>
      <c r="U67" s="2" t="n">
        <v>41</v>
      </c>
      <c r="V67" s="2" t="n">
        <v>0</v>
      </c>
      <c r="W67" s="2" t="n"/>
      <c r="X67" s="2" t="inlineStr">
        <is>
          <t>Required GED or HS diploma and 10th-grade reading/math level. 26% foreign-born. 41% of control group received other training (across all sites).</t>
        </is>
      </c>
      <c r="Y67" s="2" t="n"/>
      <c r="Z67" s="2" t="n">
        <v>175</v>
      </c>
      <c r="AA67" s="2" t="n">
        <v>170</v>
      </c>
      <c r="AB67" s="2" t="n"/>
      <c r="AC67" s="2" t="n"/>
      <c r="AD67" s="2" t="n"/>
      <c r="AE67" s="2" t="n">
        <v>0.77</v>
      </c>
      <c r="AF67" s="2" t="n">
        <v>0.79</v>
      </c>
      <c r="AG67" s="2" t="n">
        <v>0.78</v>
      </c>
      <c r="AH67" s="2" t="n"/>
      <c r="AI67" s="2" t="n"/>
      <c r="AJ67" s="2" t="n"/>
      <c r="AK67" s="2" t="inlineStr">
        <is>
          <t>self-report (survey)</t>
        </is>
      </c>
      <c r="AL67" s="2" t="n">
        <v>1</v>
      </c>
      <c r="AM67" s="2" t="n">
        <v>1.7</v>
      </c>
      <c r="AN67" s="2" t="n"/>
      <c r="AO67" s="2" t="n"/>
      <c r="AP67" s="2" t="n">
        <v>46.7</v>
      </c>
      <c r="AQ67" s="2" t="n">
        <v>-836</v>
      </c>
      <c r="AR67" s="2" t="n"/>
      <c r="AS67" s="2" t="n"/>
      <c r="AT67" s="2" t="n">
        <v>11312</v>
      </c>
      <c r="AU67" s="2" t="inlineStr">
        <is>
          <t>cumulative over months 1-12 (Year 1, derived by subtraction from NDNH)</t>
        </is>
      </c>
      <c r="AV67" s="2" t="n">
        <v>2</v>
      </c>
      <c r="AW67" s="2" t="n">
        <v>9</v>
      </c>
      <c r="AX67" s="2" t="n"/>
      <c r="AY67" s="2" t="inlineStr">
        <is>
          <t>*</t>
        </is>
      </c>
      <c r="AZ67" s="2" t="n">
        <v>73</v>
      </c>
      <c r="BA67" s="2" t="n">
        <v>4663</v>
      </c>
      <c r="BB67" s="2" t="n"/>
      <c r="BC67" s="2" t="inlineStr">
        <is>
          <t>***</t>
        </is>
      </c>
      <c r="BD67" s="2" t="n">
        <v>14680</v>
      </c>
      <c r="BE67" s="2" t="inlineStr">
        <is>
          <t>cumulative over months 13-24 (Year 2)</t>
        </is>
      </c>
      <c r="BF67" s="2" t="n"/>
      <c r="BG67" s="2" t="n"/>
      <c r="BH67" s="2" t="n"/>
      <c r="BI67" s="2" t="n"/>
      <c r="BP67" t="inlineStr">
        <is>
          <t>Maguire, Freely, Clymer, Conway, and Schwartz (2010), 'Tuning In to Local Labor Markets: Findings from the Sectoral Employment Impact Study,' Public/Private Ventures. Table 17 (p.42) for impacts, Table 16 (p.39) for baseline demographics.</t>
        </is>
      </c>
      <c r="BQ67" t="inlineStr">
        <is>
          <t>Survey-based outcomes at 24-month follow-up. Months 13-24 used as medium-term estimate. Cumulative 24-month earnings impact: $3,827 (not significant; control $25,992); 24-month employment: 5% (not significant; control 77%). Earnings gains concentrated in Year 2, consistent with 3.6-month training period. N=337 for analysis (Table 17). n_treatment and n_control from follow-up sample (Table 16); recruited was 443. SEs not reported. pct_no_hs_diploma=0: GED/HS diploma required for admission. 78% completion rate. 26% foreign-born. NOTE: This is the SAME organization (Per Scholas) that appears in WorkAdvance, but a different study ~8 years earlier with a different cohort. V13 UPDATE: ST derived by subtraction from Table 17: months 1-12 = 24mo total minus months 13-24. Emp: months_employed impact 0.2/12=1.7 pp. Earn: $3827-$4663=$-836. No SEs derivable.</t>
        </is>
      </c>
      <c r="BU67" t="inlineStr">
        <is>
          <t>NY</t>
        </is>
      </c>
      <c r="BV67" t="inlineStr">
        <is>
          <t>urban</t>
        </is>
      </c>
      <c r="BW67" t="n">
        <v>0</v>
      </c>
      <c r="BX67" t="n">
        <v>1</v>
      </c>
      <c r="BY67" t="n">
        <v>1</v>
      </c>
      <c r="BZ67" t="n">
        <v>1</v>
      </c>
      <c r="CA67" t="n">
        <v>1</v>
      </c>
      <c r="CB67" t="n">
        <v>1</v>
      </c>
      <c r="CC67" t="n">
        <v>1</v>
      </c>
      <c r="CD67" t="n">
        <v>0</v>
      </c>
      <c r="CE67" t="n">
        <v>78</v>
      </c>
      <c r="CF67" t="n">
        <v>0</v>
      </c>
      <c r="CI67" t="n">
        <v>3.6</v>
      </c>
    </row>
    <row r="68" ht="44.1" customHeight="1">
      <c r="A68" s="2" t="inlineStr">
        <is>
          <t>Green Jobs and Health Care</t>
        </is>
      </c>
      <c r="B68" s="2" t="inlineStr">
        <is>
          <t>AIOIC (Minneapolis)</t>
        </is>
      </c>
      <c r="C68" s="2" t="inlineStr">
        <is>
          <t>GJHC-AIOIC (Minneapolis)</t>
        </is>
      </c>
      <c r="D68" s="2" t="inlineStr">
        <is>
          <t>American Indian OIC: health care training (CNA, phlebotomy, medical office) in Minneapolis for primarily low-income, predominantly Black and female population. Includes classroom training, job readiness, and placement assistance.</t>
        </is>
      </c>
      <c r="E68" s="2" t="inlineStr">
        <is>
          <t>primary</t>
        </is>
      </c>
      <c r="F68" s="2" t="n">
        <v>1</v>
      </c>
      <c r="G68" s="2" t="n">
        <v>0</v>
      </c>
      <c r="H68" s="2" t="n">
        <v>1</v>
      </c>
      <c r="I68" s="2" t="n">
        <v>1</v>
      </c>
      <c r="J68" s="2" t="inlineStr">
        <is>
          <t>Job readiness, support services</t>
        </is>
      </c>
      <c r="K68" s="2" t="inlineStr">
        <is>
          <t>voluntary</t>
        </is>
      </c>
      <c r="L68" s="2" t="inlineStr">
        <is>
          <t>public</t>
        </is>
      </c>
      <c r="M68" s="2" t="inlineStr">
        <is>
          <t>private</t>
        </is>
      </c>
      <c r="N68" s="2" t="inlineStr">
        <is>
          <t>August 2011 – May 2013</t>
        </is>
      </c>
      <c r="O68" t="n">
        <v>2012.5</v>
      </c>
      <c r="P68" s="2" t="inlineStr">
        <is>
          <t>Unemployed and underemployed workers in Minneapolis; 78.8% female, 59.7% Black</t>
        </is>
      </c>
      <c r="Q68" s="2" t="n">
        <v>32.2</v>
      </c>
      <c r="R68" s="2" t="n">
        <v>21.2</v>
      </c>
      <c r="S68" s="2" t="n">
        <v>18.9</v>
      </c>
      <c r="T68" s="2" t="n">
        <v>59.7</v>
      </c>
      <c r="U68" s="2" t="n">
        <v>5.9</v>
      </c>
      <c r="V68" s="2" t="n">
        <v>6.7</v>
      </c>
      <c r="W68" s="2" t="n"/>
      <c r="X68" s="2" t="inlineStr">
        <is>
          <t>Not reported</t>
        </is>
      </c>
      <c r="Y68" s="2" t="n"/>
      <c r="Z68" s="2" t="n">
        <v>271</v>
      </c>
      <c r="AA68" s="2" t="n">
        <v>271</v>
      </c>
      <c r="AB68" s="2" t="n"/>
      <c r="AC68" s="2" t="n"/>
      <c r="AD68" s="2" t="n"/>
      <c r="AE68" s="2" t="n"/>
      <c r="AF68" s="2" t="n"/>
      <c r="AG68" s="2" t="n"/>
      <c r="AH68" s="2" t="n"/>
      <c r="AI68" s="2" t="n"/>
      <c r="AJ68" s="2" t="n"/>
      <c r="AK68" s="2" t="inlineStr">
        <is>
          <t>NDNH</t>
        </is>
      </c>
      <c r="AL68" s="2" t="n">
        <v>1</v>
      </c>
      <c r="AM68" s="2" t="n">
        <v>-1.5</v>
      </c>
      <c r="AN68" s="2" t="n"/>
      <c r="AO68" s="2" t="n"/>
      <c r="AP68" s="2" t="n">
        <v>68.8</v>
      </c>
      <c r="AQ68" s="2" t="n">
        <v>-396</v>
      </c>
      <c r="AR68" s="2" t="n"/>
      <c r="AS68" s="2" t="n"/>
      <c r="AT68" s="2" t="n">
        <v>11960</v>
      </c>
      <c r="AU68" s="2" t="inlineStr">
        <is>
          <t>cumulative over Q1-Q4 (Year 1, NDNH)</t>
        </is>
      </c>
      <c r="AV68" s="2" t="n">
        <v>1.5</v>
      </c>
      <c r="AW68" s="2" t="n">
        <v>-2.6</v>
      </c>
      <c r="AX68" s="2" t="n"/>
      <c r="AY68" s="2" t="n"/>
      <c r="AZ68" s="2" t="n">
        <v>82.5</v>
      </c>
      <c r="BA68" s="2" t="n">
        <v>-79</v>
      </c>
      <c r="BB68" s="2" t="n"/>
      <c r="BC68" s="2" t="n"/>
      <c r="BD68" s="2" t="n">
        <v>7682</v>
      </c>
      <c r="BE68" s="2" t="inlineStr">
        <is>
          <t>cumulative over Q5-Q6 (months 13-18, NDNH)</t>
        </is>
      </c>
      <c r="BF68" s="2" t="n"/>
      <c r="BG68" s="2" t="n"/>
      <c r="BH68" s="2" t="n"/>
      <c r="BI68" s="2" t="n"/>
      <c r="BP68" t="inlineStr">
        <is>
          <t>Martinson, Stanczyk, and Eyster (2016), 'The Green Jobs and Health Care Impact Evaluation: Findings from the Impact Study of Four Training Programs for Unemployed and Underemployed Workers,' Abt Associates for ACF/OPRE. Exhibit 3.9 (p.39) for impacts, Exhibit 3.3 (p.31) for baseline demographics.</t>
        </is>
      </c>
      <c r="BQ68" t="inlineStr">
        <is>
          <t>NDNH data, Q5+Q6 (months 13-18 post-RA). N=538 for analysis (268T, 270C per Exhibit 3.9). Confirmatory outcome (Q5+Q6 earnings) not significant. Q1 showed training dip: earnings impact -$400* (significant). Cumulative Q1-Q6 earnings impact -$476 (not significant). SEs not reported in exhibits. Neither earnings nor employment impacts significant at any horizon for AIOIC. V13 UPDATE: ST from Exhibit 3.9. Emp = avg quarterly 'ever employed' Q1-Q4. Earn = cumulative Q1-Q4. No SEs for individual quarters.</t>
        </is>
      </c>
      <c r="BU68" t="inlineStr">
        <is>
          <t>MN</t>
        </is>
      </c>
      <c r="BV68" t="inlineStr">
        <is>
          <t>urban</t>
        </is>
      </c>
      <c r="BW68" t="n">
        <v>0</v>
      </c>
      <c r="BX68" t="n">
        <v>0</v>
      </c>
      <c r="BY68" t="n">
        <v>1</v>
      </c>
      <c r="BZ68" t="n">
        <v>0</v>
      </c>
      <c r="CA68" t="n">
        <v>0</v>
      </c>
      <c r="CB68" t="n">
        <v>1</v>
      </c>
      <c r="CC68" t="n">
        <v>1</v>
      </c>
      <c r="CD68" t="n">
        <v>0</v>
      </c>
      <c r="CE68" t="n">
        <v>25.6</v>
      </c>
      <c r="CF68" t="n">
        <v>37.9</v>
      </c>
      <c r="CG68" t="n">
        <v>26.2</v>
      </c>
      <c r="CH68" t="n">
        <v>66.59999999999999</v>
      </c>
      <c r="CI68" t="n">
        <v>2.5</v>
      </c>
    </row>
    <row r="69" ht="44.1" customHeight="1">
      <c r="A69" s="2" t="inlineStr">
        <is>
          <t>Green Jobs and Health Care</t>
        </is>
      </c>
      <c r="B69" s="2" t="inlineStr">
        <is>
          <t>GRCC (Grand Rapids)</t>
        </is>
      </c>
      <c r="C69" s="2" t="inlineStr">
        <is>
          <t>GJHC-Grand Rapids)</t>
        </is>
      </c>
      <c r="D69" s="2" t="inlineStr">
        <is>
          <t>Grand Rapids Community College: green jobs and energy-related training (weatherization, HVAC, green construction) in Grand Rapids, MI. Includes classroom training and job placement.</t>
        </is>
      </c>
      <c r="E69" s="2" t="inlineStr">
        <is>
          <t>primary</t>
        </is>
      </c>
      <c r="F69" s="2" t="n">
        <v>1</v>
      </c>
      <c r="G69" s="2" t="n">
        <v>0</v>
      </c>
      <c r="H69" s="2" t="n">
        <v>1</v>
      </c>
      <c r="I69" s="2" t="n">
        <v>1</v>
      </c>
      <c r="J69" s="2" t="inlineStr">
        <is>
          <t>Support services</t>
        </is>
      </c>
      <c r="K69" s="2" t="inlineStr">
        <is>
          <t>voluntary</t>
        </is>
      </c>
      <c r="L69" s="2" t="inlineStr">
        <is>
          <t>public</t>
        </is>
      </c>
      <c r="M69" s="2" t="inlineStr">
        <is>
          <t>public</t>
        </is>
      </c>
      <c r="N69" s="2" t="inlineStr">
        <is>
          <t>August 2011 – April 2012</t>
        </is>
      </c>
      <c r="O69" t="n">
        <v>2011.958</v>
      </c>
      <c r="P69" s="2" t="inlineStr">
        <is>
          <t>Unemployed and underemployed workers in Grand Rapids; 68.2% male, 35.8% Black, 56% White</t>
        </is>
      </c>
      <c r="Q69" s="2" t="n">
        <v>40.4</v>
      </c>
      <c r="R69" s="2" t="n">
        <v>68.2</v>
      </c>
      <c r="S69" s="2" t="n">
        <v>56</v>
      </c>
      <c r="T69" s="2" t="n">
        <v>35.8</v>
      </c>
      <c r="U69" s="2" t="n">
        <v>14.1</v>
      </c>
      <c r="V69" s="2" t="n">
        <v>12.6</v>
      </c>
      <c r="W69" s="2" t="n"/>
      <c r="X69" s="2" t="inlineStr">
        <is>
          <t>Not reported</t>
        </is>
      </c>
      <c r="Y69" s="2" t="n"/>
      <c r="Z69" s="2" t="n">
        <v>183</v>
      </c>
      <c r="AA69" s="2" t="n">
        <v>91</v>
      </c>
      <c r="AB69" s="2" t="n"/>
      <c r="AC69" s="2" t="n"/>
      <c r="AD69" s="2" t="n"/>
      <c r="AE69" s="2" t="n"/>
      <c r="AF69" s="2" t="n"/>
      <c r="AG69" s="2" t="n"/>
      <c r="AH69" s="2" t="n"/>
      <c r="AI69" s="2" t="n"/>
      <c r="AJ69" s="2" t="n"/>
      <c r="AK69" s="2" t="inlineStr">
        <is>
          <t>NDNH</t>
        </is>
      </c>
      <c r="AL69" s="2" t="n">
        <v>1</v>
      </c>
      <c r="AM69" s="2" t="n">
        <v>4.6</v>
      </c>
      <c r="AN69" s="2" t="n"/>
      <c r="AO69" s="2" t="n"/>
      <c r="AP69" s="2" t="n">
        <v>47.5</v>
      </c>
      <c r="AQ69" s="2" t="n">
        <v>148</v>
      </c>
      <c r="AR69" s="2" t="n"/>
      <c r="AS69" s="2" t="n"/>
      <c r="AT69" s="2" t="n">
        <v>8200</v>
      </c>
      <c r="AU69" s="2" t="inlineStr">
        <is>
          <t>cumulative over Q1-Q4 (Year 1, NDNH)</t>
        </is>
      </c>
      <c r="AV69" s="2" t="n">
        <v>1.5</v>
      </c>
      <c r="AW69" s="2" t="n">
        <v>6.4</v>
      </c>
      <c r="AX69" s="2" t="n"/>
      <c r="AY69" s="2" t="n"/>
      <c r="AZ69" s="2" t="n">
        <v>64.40000000000001</v>
      </c>
      <c r="BA69" s="2" t="n">
        <v>576</v>
      </c>
      <c r="BB69" s="2" t="n"/>
      <c r="BC69" s="2" t="n"/>
      <c r="BD69" s="2" t="n">
        <v>5868</v>
      </c>
      <c r="BE69" s="2" t="inlineStr">
        <is>
          <t>cumulative over Q5-Q6 (months 13-18, NDNH)</t>
        </is>
      </c>
      <c r="BF69" s="2" t="n"/>
      <c r="BG69" s="2" t="n"/>
      <c r="BH69" s="2" t="n"/>
      <c r="BI69" s="2" t="n"/>
      <c r="BP69" t="inlineStr">
        <is>
          <t>Martinson, Stanczyk, and Eyster (2016), 'The Green Jobs and Health Care Impact Evaluation: Findings from the Impact Study of Four Training Programs for Unemployed and Underemployed Workers,' Abt Associates for ACF/OPRE. Exhibit 4.9 for impacts, Exhibit 4.3 for baseline demographics.</t>
        </is>
      </c>
      <c r="BQ69" t="inlineStr">
        <is>
          <t>NDNH data, Q5+Q6 (months 13-18). Neither earnings nor employment impact significant. Smallest sample among the four grantees (N=274). 2:1 randomization ratio (183T, 91C). Oldest average age (40.4) among the four sites. Race/ethnicity percentages may sum to &gt;100% due to Hispanic ethnicity being counted separately. V13 UPDATE: ST from Exhibit 4.9. Emp = avg quarterly 'ever employed' Q1-Q4. Earn = cumulative Q1-Q4. No SEs for individual quarters.</t>
        </is>
      </c>
      <c r="BU69" t="inlineStr">
        <is>
          <t>MI</t>
        </is>
      </c>
      <c r="BV69" t="inlineStr">
        <is>
          <t>urban</t>
        </is>
      </c>
      <c r="BW69" t="n">
        <v>0</v>
      </c>
      <c r="BX69" t="n">
        <v>0</v>
      </c>
      <c r="BY69" t="n">
        <v>0</v>
      </c>
      <c r="BZ69" t="n">
        <v>1</v>
      </c>
      <c r="CA69" t="n">
        <v>1</v>
      </c>
      <c r="CB69" t="n">
        <v>1</v>
      </c>
      <c r="CC69" t="n">
        <v>1</v>
      </c>
      <c r="CD69" t="n">
        <v>1</v>
      </c>
      <c r="CE69" t="n">
        <v>33.1</v>
      </c>
      <c r="CF69" t="n">
        <v>15.9</v>
      </c>
      <c r="CG69" t="n">
        <v>50.9</v>
      </c>
      <c r="CH69" t="n">
        <v>38.9</v>
      </c>
      <c r="CI69" t="n">
        <v>3.3</v>
      </c>
    </row>
    <row r="70" ht="44.1" customHeight="1">
      <c r="A70" s="2" t="inlineStr">
        <is>
          <t>Green Jobs and Health Care</t>
        </is>
      </c>
      <c r="B70" s="2" t="inlineStr">
        <is>
          <t>KCCD (Bakersfield)</t>
        </is>
      </c>
      <c r="C70" s="2" t="inlineStr">
        <is>
          <t>GJHC-KCCD (Bakersfield)</t>
        </is>
      </c>
      <c r="D70" s="2" t="inlineStr">
        <is>
          <t>Kern Community College District: green jobs training (solar installation, energy efficiency, HVAC) in Bakersfield, CA. Includes classroom training, certification preparation, and job placement.</t>
        </is>
      </c>
      <c r="E70" s="2" t="inlineStr">
        <is>
          <t>primary</t>
        </is>
      </c>
      <c r="F70" s="2" t="n">
        <v>1</v>
      </c>
      <c r="G70" s="2" t="n">
        <v>0</v>
      </c>
      <c r="H70" s="2" t="n">
        <v>1</v>
      </c>
      <c r="I70" s="2" t="n">
        <v>1</v>
      </c>
      <c r="J70" s="2" t="inlineStr">
        <is>
          <t>Support services, certification preparation</t>
        </is>
      </c>
      <c r="K70" s="2" t="inlineStr">
        <is>
          <t>voluntary</t>
        </is>
      </c>
      <c r="L70" s="2" t="inlineStr">
        <is>
          <t>public</t>
        </is>
      </c>
      <c r="M70" s="2" t="inlineStr">
        <is>
          <t>public</t>
        </is>
      </c>
      <c r="N70" s="2" t="inlineStr">
        <is>
          <t>August 2011 – May 2013</t>
        </is>
      </c>
      <c r="O70" t="n">
        <v>2012.5</v>
      </c>
      <c r="P70" s="2" t="inlineStr">
        <is>
          <t>Unemployed and underemployed workers in Bakersfield; ~90% male, ~45% Hispanic, 72.9% White</t>
        </is>
      </c>
      <c r="Q70" s="2" t="n">
        <v>32</v>
      </c>
      <c r="R70" s="2" t="n">
        <v>90</v>
      </c>
      <c r="S70" s="2" t="n">
        <v>72.90000000000001</v>
      </c>
      <c r="T70" s="2" t="n">
        <v>10.9</v>
      </c>
      <c r="U70" s="2" t="n">
        <v>45</v>
      </c>
      <c r="V70" s="2" t="n">
        <v>2.7</v>
      </c>
      <c r="W70" s="2" t="n"/>
      <c r="X70" s="2" t="inlineStr">
        <is>
          <t>Not reported</t>
        </is>
      </c>
      <c r="Y70" s="2" t="n"/>
      <c r="Z70" s="2" t="n">
        <v>407</v>
      </c>
      <c r="AA70" s="2" t="n">
        <v>409</v>
      </c>
      <c r="AB70" s="2" t="n"/>
      <c r="AC70" s="2" t="n"/>
      <c r="AD70" s="2" t="n"/>
      <c r="AE70" s="2" t="n"/>
      <c r="AF70" s="2" t="n"/>
      <c r="AG70" s="2" t="n"/>
      <c r="AH70" s="2" t="n"/>
      <c r="AI70" s="2" t="n"/>
      <c r="AJ70" s="2" t="n"/>
      <c r="AK70" s="2" t="inlineStr">
        <is>
          <t>NDNH</t>
        </is>
      </c>
      <c r="AL70" s="2" t="n">
        <v>1</v>
      </c>
      <c r="AM70" s="2" t="n">
        <v>1</v>
      </c>
      <c r="AN70" s="2" t="n"/>
      <c r="AO70" s="2" t="n"/>
      <c r="AP70" s="2" t="n">
        <v>58.2</v>
      </c>
      <c r="AQ70" s="2" t="n">
        <v>1338</v>
      </c>
      <c r="AR70" s="2" t="n"/>
      <c r="AS70" s="2" t="n"/>
      <c r="AT70" s="2" t="n">
        <v>10892</v>
      </c>
      <c r="AU70" s="2" t="inlineStr">
        <is>
          <t>cumulative over Q1-Q4 (Year 1, NDNH)</t>
        </is>
      </c>
      <c r="AV70" s="2" t="n">
        <v>1.5</v>
      </c>
      <c r="AW70" s="2" t="n">
        <v>4.7</v>
      </c>
      <c r="AX70" s="2" t="n"/>
      <c r="AY70" s="2" t="n"/>
      <c r="AZ70" s="2" t="n">
        <v>61.7</v>
      </c>
      <c r="BA70" s="2" t="n">
        <v>1520</v>
      </c>
      <c r="BB70" s="2" t="n"/>
      <c r="BC70" s="2" t="inlineStr">
        <is>
          <t>**</t>
        </is>
      </c>
      <c r="BD70" s="2" t="n">
        <v>7709</v>
      </c>
      <c r="BE70" s="2" t="inlineStr">
        <is>
          <t>cumulative over Q5-Q6 (months 13-18, NDNH)</t>
        </is>
      </c>
      <c r="BF70" s="2" t="n"/>
      <c r="BG70" s="2" t="n"/>
      <c r="BH70" s="2" t="n"/>
      <c r="BI70" s="2" t="n"/>
      <c r="BP70" t="inlineStr">
        <is>
          <t>Martinson, Stanczyk, and Eyster (2016), 'The Green Jobs and Health Care Impact Evaluation: Findings from the Impact Study of Four Training Programs for Unemployed and Underemployed Workers,' Abt Associates for ACF/OPRE. Exhibit 5.9 for impacts, Exhibit 5.3 for baseline demographics.</t>
        </is>
      </c>
      <c r="BQ70" t="inlineStr">
        <is>
          <t>NDNH data, Q5+Q6 (months 13-18). Earnings impact $1,520 significant at p&lt;0.05 after multiple comparison adjustment (## in original report). Employment impact not significant. Largest sample among four grantees (N=816). Race/ethnicity: ~45% Hispanic is approximate from prior session data. White percentage (72.9%) and Hispanic (45%) overlap because Hispanic ethnicity counted separately from race. V13 UPDATE: ST from Exhibit 5.9. Emp = avg quarterly 'ever employed' Q1-Q4. Earn = cumulative Q1-Q4. No SEs for individual quarters.</t>
        </is>
      </c>
      <c r="BU70" t="inlineStr">
        <is>
          <t>CA</t>
        </is>
      </c>
      <c r="BV70" t="inlineStr">
        <is>
          <t>urban</t>
        </is>
      </c>
      <c r="BW70" t="n">
        <v>0</v>
      </c>
      <c r="BX70" t="n">
        <v>0</v>
      </c>
      <c r="BY70" t="n">
        <v>0</v>
      </c>
      <c r="BZ70" t="n">
        <v>0</v>
      </c>
      <c r="CA70" t="n">
        <v>1</v>
      </c>
      <c r="CB70" t="n">
        <v>0</v>
      </c>
      <c r="CC70" t="n">
        <v>1</v>
      </c>
      <c r="CD70" t="n">
        <v>0</v>
      </c>
      <c r="CE70" t="n">
        <v>54.1</v>
      </c>
      <c r="CF70" t="n">
        <v>29.5</v>
      </c>
      <c r="CG70" t="n">
        <v>51.2</v>
      </c>
      <c r="CH70" t="n">
        <v>43.8</v>
      </c>
      <c r="CI70" t="n">
        <v>2.5</v>
      </c>
    </row>
    <row r="71" ht="44.1" customHeight="1">
      <c r="A71" s="2" t="inlineStr">
        <is>
          <t>Green Jobs and Health Care</t>
        </is>
      </c>
      <c r="B71" s="2" t="inlineStr">
        <is>
          <t>NCTC (Gainesville, TX)</t>
        </is>
      </c>
      <c r="C71" s="2" t="inlineStr">
        <is>
          <t>GJHC-Gainesville, TX)</t>
        </is>
      </c>
      <c r="D71" s="2" t="inlineStr">
        <is>
          <t>North Central Texas College: health care training (CNA, pharmacy tech, phlebotomy) in Gainesville, TX. Includes classroom training and job placement in health care sector.</t>
        </is>
      </c>
      <c r="E71" s="2" t="inlineStr">
        <is>
          <t>primary</t>
        </is>
      </c>
      <c r="F71" s="2" t="n">
        <v>1</v>
      </c>
      <c r="G71" s="2" t="n">
        <v>0</v>
      </c>
      <c r="H71" s="2" t="n">
        <v>1</v>
      </c>
      <c r="I71" s="2" t="n">
        <v>1</v>
      </c>
      <c r="J71" s="2" t="inlineStr">
        <is>
          <t>Support services</t>
        </is>
      </c>
      <c r="K71" s="2" t="inlineStr">
        <is>
          <t>voluntary</t>
        </is>
      </c>
      <c r="L71" s="2" t="inlineStr">
        <is>
          <t>public</t>
        </is>
      </c>
      <c r="M71" s="2" t="inlineStr">
        <is>
          <t>public</t>
        </is>
      </c>
      <c r="N71" s="2" t="inlineStr">
        <is>
          <t>July 2011 – April 2013</t>
        </is>
      </c>
      <c r="O71" t="n">
        <v>2012.417</v>
      </c>
      <c r="P71" s="2" t="inlineStr">
        <is>
          <t>Unemployed and underemployed workers in North Central Texas; 85.1% female, 69.1% White</t>
        </is>
      </c>
      <c r="Q71" s="2" t="n">
        <v>31.1</v>
      </c>
      <c r="R71" s="2" t="n">
        <v>14.9</v>
      </c>
      <c r="S71" s="2" t="n">
        <v>69.09999999999999</v>
      </c>
      <c r="T71" s="2" t="n">
        <v>18.3</v>
      </c>
      <c r="U71" s="2" t="n">
        <v>19.8</v>
      </c>
      <c r="V71" s="2" t="n">
        <v>3.8</v>
      </c>
      <c r="W71" s="2" t="n"/>
      <c r="X71" s="2" t="inlineStr">
        <is>
          <t>Not reported</t>
        </is>
      </c>
      <c r="Y71" s="2" t="n"/>
      <c r="Z71" s="2" t="n">
        <v>550</v>
      </c>
      <c r="AA71" s="2" t="n">
        <v>434</v>
      </c>
      <c r="AB71" s="2" t="n"/>
      <c r="AC71" s="2" t="n"/>
      <c r="AD71" s="2" t="n"/>
      <c r="AE71" s="2" t="n"/>
      <c r="AF71" s="2" t="n"/>
      <c r="AG71" s="2" t="n"/>
      <c r="AH71" s="2" t="n"/>
      <c r="AI71" s="2" t="n"/>
      <c r="AJ71" s="2" t="n"/>
      <c r="AK71" s="2" t="inlineStr">
        <is>
          <t>NDNH</t>
        </is>
      </c>
      <c r="AL71" s="2" t="n">
        <v>1</v>
      </c>
      <c r="AM71" s="2" t="n">
        <v>-2.8</v>
      </c>
      <c r="AN71" s="2" t="n"/>
      <c r="AO71" s="2" t="n"/>
      <c r="AP71" s="2" t="n">
        <v>69.5</v>
      </c>
      <c r="AQ71" s="2" t="n">
        <v>-202</v>
      </c>
      <c r="AR71" s="2" t="n"/>
      <c r="AS71" s="2" t="n"/>
      <c r="AT71" s="2" t="n">
        <v>11937</v>
      </c>
      <c r="AU71" s="2" t="inlineStr">
        <is>
          <t>cumulative over Q1-Q4 (Year 1, NDNH)</t>
        </is>
      </c>
      <c r="AV71" s="2" t="n">
        <v>1.5</v>
      </c>
      <c r="AW71" s="2" t="n">
        <v>-2.3</v>
      </c>
      <c r="AX71" s="2" t="n"/>
      <c r="AY71" s="2" t="n"/>
      <c r="AZ71" s="2" t="n">
        <v>82.3</v>
      </c>
      <c r="BA71" s="2" t="n">
        <v>-345</v>
      </c>
      <c r="BB71" s="2" t="n"/>
      <c r="BC71" s="2" t="n"/>
      <c r="BD71" s="2" t="n">
        <v>7945</v>
      </c>
      <c r="BE71" s="2" t="inlineStr">
        <is>
          <t>cumulative over Q5-Q6 (months 13-18, NDNH)</t>
        </is>
      </c>
      <c r="BF71" s="2" t="n"/>
      <c r="BG71" s="2" t="n"/>
      <c r="BH71" s="2" t="n"/>
      <c r="BI71" s="2" t="n"/>
      <c r="BP71" t="inlineStr">
        <is>
          <t>Martinson, Stanczyk, and Eyster (2016), 'The Green Jobs and Health Care Impact Evaluation: Findings from the Impact Study of Four Training Programs for Unemployed and Underemployed Workers,' Abt Associates for ACF/OPRE. Exhibit 6.10 for impacts, Exhibit 6.3 for baseline demographics.</t>
        </is>
      </c>
      <c r="BQ71" t="inlineStr">
        <is>
          <t>NDNH data, Q5+Q6 (months 13-18). Neither earnings nor employment impact significant. Second largest sample (N=984). Predominantly female (85.1%) and white (69.1%), consistent with rural Texas health care training population. Negative point estimates suggest possible null or slightly harmful effect. V13 UPDATE: ST from Exhibit 6.10. Emp = avg quarterly 'ever employed' Q1-Q4. Earn = cumulative Q1-Q4. No SEs for individual quarters.</t>
        </is>
      </c>
      <c r="BU71" t="inlineStr">
        <is>
          <t>TX</t>
        </is>
      </c>
      <c r="BV71" t="inlineStr">
        <is>
          <t>rural</t>
        </is>
      </c>
      <c r="BW71" t="n">
        <v>0</v>
      </c>
      <c r="BX71" t="n">
        <v>0</v>
      </c>
      <c r="BY71" t="n">
        <v>0</v>
      </c>
      <c r="BZ71" t="n">
        <v>0</v>
      </c>
      <c r="CA71" t="n">
        <v>1</v>
      </c>
      <c r="CB71" t="n">
        <v>1</v>
      </c>
      <c r="CC71" t="n">
        <v>0</v>
      </c>
      <c r="CD71" t="n">
        <v>0</v>
      </c>
      <c r="CE71" t="n">
        <v>29.3</v>
      </c>
      <c r="CF71" t="n">
        <v>44</v>
      </c>
      <c r="CG71" t="n">
        <v>29.8</v>
      </c>
      <c r="CH71" t="n">
        <v>64.40000000000001</v>
      </c>
      <c r="CI71" t="n">
        <v>2.4</v>
      </c>
    </row>
    <row r="72" ht="44.1" customHeight="1">
      <c r="A72" t="inlineStr">
        <is>
          <t>AFDC Homemaker-Home Health Aide Demonstrations</t>
        </is>
      </c>
      <c r="B72" t="inlineStr">
        <is>
          <t>Arkansas</t>
        </is>
      </c>
      <c r="C72" s="13" t="inlineStr">
        <is>
          <t>AFDC Homemaker-Home Health Aide-AR</t>
        </is>
      </c>
      <c r="D72"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2" t="inlineStr">
        <is>
          <t>secondary</t>
        </is>
      </c>
      <c r="F72" t="n">
        <v>1</v>
      </c>
      <c r="G72" t="n">
        <v>1</v>
      </c>
      <c r="H72" t="n">
        <v>0</v>
      </c>
      <c r="I72" t="n">
        <v>1</v>
      </c>
      <c r="J72" t="inlineStr">
        <is>
          <t>Subsidized employment (up to 12 months at market wages, paid by demonstrations)</t>
        </is>
      </c>
      <c r="K72" t="inlineStr">
        <is>
          <t>voluntary</t>
        </is>
      </c>
      <c r="L72" t="inlineStr">
        <is>
          <t>public</t>
        </is>
      </c>
      <c r="M72" t="inlineStr">
        <is>
          <t>public</t>
        </is>
      </c>
      <c r="N72" t="inlineStr">
        <is>
          <t>January 1983 – June 1986</t>
        </is>
      </c>
      <c r="O72" t="n">
        <v>1984.75</v>
      </c>
      <c r="P72" t="inlineStr">
        <is>
          <t>AFDC recipients (female heads of household)</t>
        </is>
      </c>
      <c r="Q72" t="n">
        <v>31</v>
      </c>
      <c r="R72" t="n">
        <v>0</v>
      </c>
      <c r="S72" t="n">
        <v>27</v>
      </c>
      <c r="T72" t="n">
        <v>62</v>
      </c>
      <c r="V72" t="n">
        <v>44</v>
      </c>
      <c r="X72" t="inlineStr">
        <is>
          <t>Volunteers from AFDC caseload who met eligibility criteria (continuous AFDC receipt for 3+ months, not currently employed as HHA). Demonstration staff screened applicants for potential as homemaker-home health aides.</t>
        </is>
      </c>
      <c r="Z72" t="n">
        <v>491</v>
      </c>
      <c r="AA72" t="n">
        <v>491</v>
      </c>
      <c r="AG72" t="n">
        <v>0.65</v>
      </c>
      <c r="AK72" t="inlineStr">
        <is>
          <t>self-report (survey) and staff records</t>
        </is>
      </c>
      <c r="AL72" t="n">
        <v>1.5</v>
      </c>
      <c r="AQ72" t="n">
        <v>9.1</v>
      </c>
      <c r="AR72" t="n">
        <v>11.9</v>
      </c>
      <c r="AT72" t="n">
        <v>189</v>
      </c>
      <c r="AU72" t="inlineStr">
        <is>
          <t>monthly (December 1984 dollars)</t>
        </is>
      </c>
      <c r="AV72" t="n">
        <v>2.5</v>
      </c>
      <c r="BA72" t="n">
        <v>91.90000000000001</v>
      </c>
      <c r="BB72" t="n">
        <v>31.9</v>
      </c>
      <c r="BC72" t="inlineStr">
        <is>
          <t>***</t>
        </is>
      </c>
      <c r="BD72" t="n">
        <v>211</v>
      </c>
      <c r="BE72" t="inlineStr">
        <is>
          <t>monthly (December 1984 dollars)</t>
        </is>
      </c>
      <c r="BP72"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2"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+$10 (SE=13.1), not significant. Post-demo year 2 is the significant long-run effect.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(0.91) from Bell et al. 1987 Table III.1.</t>
        </is>
      </c>
      <c r="BR72" t="n">
        <v>7867</v>
      </c>
      <c r="BS72" t="n">
        <v>14450</v>
      </c>
      <c r="BT72" t="inlineStr">
        <is>
          <t>Bell and Orr 1994, Table 3 (pp.56-57). Total gross social benefit = Row 1a (post-demonstration earnings, 7% decay/discount) + Row 2 (value of output during subsidized employment) = 9,679 + 4,771 = 14,450 (1984$). Net social benefit (6a, 7% discount, 25% leisure value) shown in same table.</t>
        </is>
      </c>
      <c r="BU72" t="inlineStr">
        <is>
          <t>AR</t>
        </is>
      </c>
      <c r="BV72" t="inlineStr">
        <is>
          <t>rural</t>
        </is>
      </c>
      <c r="BW72" t="n">
        <v>1</v>
      </c>
      <c r="BX72" t="n">
        <v>0</v>
      </c>
      <c r="BY72" t="n">
        <v>0</v>
      </c>
      <c r="BZ72" t="n">
        <v>0</v>
      </c>
      <c r="CA72" t="n">
        <v>0</v>
      </c>
      <c r="CB72" t="n">
        <v>0</v>
      </c>
      <c r="CC72" t="n">
        <v>0</v>
      </c>
      <c r="CD72" t="n">
        <v>0</v>
      </c>
      <c r="CE72" t="n">
        <v>91</v>
      </c>
      <c r="CF72" t="n">
        <v>0</v>
      </c>
      <c r="CH72" t="n">
        <v>20</v>
      </c>
    </row>
    <row r="73" ht="44.1" customHeight="1">
      <c r="A73" t="inlineStr">
        <is>
          <t>AFDC Homemaker-Home Health Aide Demonstrations</t>
        </is>
      </c>
      <c r="B73" t="inlineStr">
        <is>
          <t>Kentucky</t>
        </is>
      </c>
      <c r="C73" s="13" t="inlineStr">
        <is>
          <t>AFDC Homemaker-Home Health Aide-KY</t>
        </is>
      </c>
      <c r="D73"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3" t="inlineStr">
        <is>
          <t>secondary</t>
        </is>
      </c>
      <c r="F73" t="n">
        <v>1</v>
      </c>
      <c r="G73" t="n">
        <v>1</v>
      </c>
      <c r="H73" t="n">
        <v>0</v>
      </c>
      <c r="I73" t="n">
        <v>1</v>
      </c>
      <c r="J73" t="inlineStr">
        <is>
          <t>Subsidized employment (up to 12 months at market wages, paid by demonstrations)</t>
        </is>
      </c>
      <c r="K73" t="inlineStr">
        <is>
          <t>voluntary</t>
        </is>
      </c>
      <c r="L73" t="inlineStr">
        <is>
          <t>public</t>
        </is>
      </c>
      <c r="M73" t="inlineStr">
        <is>
          <t>public</t>
        </is>
      </c>
      <c r="N73" t="inlineStr">
        <is>
          <t>February 1983 – June 1986</t>
        </is>
      </c>
      <c r="O73" t="n">
        <v>1984.83</v>
      </c>
      <c r="P73" t="inlineStr">
        <is>
          <t>AFDC recipients (female heads of household)</t>
        </is>
      </c>
      <c r="Q73" t="n">
        <v>31</v>
      </c>
      <c r="R73" t="n">
        <v>0</v>
      </c>
      <c r="S73" t="n">
        <v>27</v>
      </c>
      <c r="T73" t="n">
        <v>62</v>
      </c>
      <c r="V73" t="n">
        <v>44</v>
      </c>
      <c r="X73" t="inlineStr">
        <is>
          <t>Volunteers from AFDC caseload who met eligibility criteria (continuous AFDC receipt for 3+ months, not currently employed as HHA). Demonstration staff screened applicants for potential as homemaker-home health aides.</t>
        </is>
      </c>
      <c r="Z73" t="n">
        <v>449</v>
      </c>
      <c r="AA73" t="n">
        <v>449</v>
      </c>
      <c r="AG73" t="n">
        <v>0.65</v>
      </c>
      <c r="AK73" t="inlineStr">
        <is>
          <t>self-report (survey) and staff records</t>
        </is>
      </c>
      <c r="AL73" t="n">
        <v>1.5</v>
      </c>
      <c r="AQ73" t="n">
        <v>26.9</v>
      </c>
      <c r="AR73" t="n">
        <v>13</v>
      </c>
      <c r="AS73" t="inlineStr">
        <is>
          <t>**</t>
        </is>
      </c>
      <c r="AT73" t="n">
        <v>270</v>
      </c>
      <c r="AU73" t="inlineStr">
        <is>
          <t>monthly (December 1984 dollars)</t>
        </is>
      </c>
      <c r="AV73" t="n">
        <v>2.5</v>
      </c>
      <c r="BA73" t="n">
        <v>154.6</v>
      </c>
      <c r="BB73" t="n">
        <v>43.3</v>
      </c>
      <c r="BC73" t="inlineStr">
        <is>
          <t>***</t>
        </is>
      </c>
      <c r="BD73" t="n">
        <v>337</v>
      </c>
      <c r="BE73" t="inlineStr">
        <is>
          <t>monthly (December 1984 dollars)</t>
        </is>
      </c>
      <c r="BP73"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3"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+$28** (SE=13.5). Significant earnings gains in both post-demo years.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(0.96) from Bell et al. 1987 Table III.1.</t>
        </is>
      </c>
      <c r="BR73" t="n">
        <v>8688</v>
      </c>
      <c r="BS73" t="n">
        <v>17089</v>
      </c>
      <c r="BT73" t="inlineStr">
        <is>
          <t>Bell and Orr 1994, Table 3 (pp.56-57). Total gross social benefit = Row 1a (post-demonstration earnings, 7% decay/discount) + Row 2 (value of output during subsidized employment) = 9,539 + 7,550 = 17,089 (1984$). Net social benefit (6a, 7% discount, 25% leisure value) shown in same table.</t>
        </is>
      </c>
      <c r="BU73" t="inlineStr">
        <is>
          <t>KY</t>
        </is>
      </c>
      <c r="BV73" t="inlineStr">
        <is>
          <t>rural</t>
        </is>
      </c>
      <c r="BW73" t="n">
        <v>1</v>
      </c>
      <c r="BX73" t="n">
        <v>0</v>
      </c>
      <c r="BY73" t="n">
        <v>0</v>
      </c>
      <c r="BZ73" t="n">
        <v>0</v>
      </c>
      <c r="CA73" t="n">
        <v>0</v>
      </c>
      <c r="CB73" t="n">
        <v>0</v>
      </c>
      <c r="CC73" t="n">
        <v>0</v>
      </c>
      <c r="CD73" t="n">
        <v>0</v>
      </c>
      <c r="CE73" t="n">
        <v>96</v>
      </c>
      <c r="CF73" t="n">
        <v>0</v>
      </c>
      <c r="CH73" t="n">
        <v>20</v>
      </c>
    </row>
    <row r="74" ht="44.1" customHeight="1">
      <c r="A74" t="inlineStr">
        <is>
          <t>AFDC Homemaker-Home Health Aide Demonstrations</t>
        </is>
      </c>
      <c r="B74" t="inlineStr">
        <is>
          <t>New Jersey</t>
        </is>
      </c>
      <c r="C74" s="13" t="inlineStr">
        <is>
          <t>AFDC Homemaker-Home Health Aide-NJ</t>
        </is>
      </c>
      <c r="D74"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4" t="inlineStr">
        <is>
          <t>secondary</t>
        </is>
      </c>
      <c r="F74" t="n">
        <v>1</v>
      </c>
      <c r="G74" t="n">
        <v>1</v>
      </c>
      <c r="H74" t="n">
        <v>0</v>
      </c>
      <c r="I74" t="n">
        <v>1</v>
      </c>
      <c r="J74" t="inlineStr">
        <is>
          <t>Subsidized employment (up to 12 months at market wages, paid by demonstrations)</t>
        </is>
      </c>
      <c r="K74" t="inlineStr">
        <is>
          <t>voluntary</t>
        </is>
      </c>
      <c r="L74" t="inlineStr">
        <is>
          <t>public</t>
        </is>
      </c>
      <c r="M74" t="inlineStr">
        <is>
          <t>public</t>
        </is>
      </c>
      <c r="N74" t="inlineStr">
        <is>
          <t>February 1983 – June 1986</t>
        </is>
      </c>
      <c r="O74" t="n">
        <v>1984.83</v>
      </c>
      <c r="P74" t="inlineStr">
        <is>
          <t>AFDC recipients (female heads of household)</t>
        </is>
      </c>
      <c r="Q74" t="n">
        <v>31</v>
      </c>
      <c r="R74" t="n">
        <v>0</v>
      </c>
      <c r="S74" t="n">
        <v>27</v>
      </c>
      <c r="T74" t="n">
        <v>62</v>
      </c>
      <c r="V74" t="n">
        <v>44</v>
      </c>
      <c r="X74" t="inlineStr">
        <is>
          <t>Volunteers from AFDC caseload who met eligibility criteria (continuous AFDC receipt for 3+ months, not currently employed as HHA). Demonstration staff screened applicants for potential as homemaker-home health aides.</t>
        </is>
      </c>
      <c r="Z74" t="n">
        <v>997</v>
      </c>
      <c r="AA74" t="n">
        <v>997</v>
      </c>
      <c r="AG74" t="n">
        <v>0.65</v>
      </c>
      <c r="AK74" t="inlineStr">
        <is>
          <t>self-report (survey) and staff records</t>
        </is>
      </c>
      <c r="AL74" t="n">
        <v>1.5</v>
      </c>
      <c r="AQ74" t="n">
        <v>72.09999999999999</v>
      </c>
      <c r="AR74" t="n">
        <v>12.2</v>
      </c>
      <c r="AS74" t="inlineStr">
        <is>
          <t>***</t>
        </is>
      </c>
      <c r="AT74" t="n">
        <v>191</v>
      </c>
      <c r="AU74" t="inlineStr">
        <is>
          <t>monthly (December 1984 dollars)</t>
        </is>
      </c>
      <c r="AV74" t="n">
        <v>2.5</v>
      </c>
      <c r="BA74" t="n">
        <v>112.1</v>
      </c>
      <c r="BB74" t="n">
        <v>28.7</v>
      </c>
      <c r="BC74" t="inlineStr">
        <is>
          <t>***</t>
        </is>
      </c>
      <c r="BD74" t="n">
        <v>269</v>
      </c>
      <c r="BE74" t="inlineStr">
        <is>
          <t>monthly (December 1984 dollars)</t>
        </is>
      </c>
      <c r="BP74"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4"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+$81*** (SE=12.7). NJ is a high-benefit state; welfare reductions large but temporary (p.53). SE reading somewhat uncertain from landscape table.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(0.89) from Bell et al. 1987 Table III.1.</t>
        </is>
      </c>
      <c r="BR74" t="n">
        <v>7343</v>
      </c>
      <c r="BS74" t="n">
        <v>28355</v>
      </c>
      <c r="BT74" t="inlineStr">
        <is>
          <t>Bell and Orr 1994, Table 3 (pp.56-57). Total gross social benefit = Row 1a (post-demonstration earnings, 7% decay/discount) + Row 2 (value of output during subsidized employment) = 18,962 + 9,393 = 28,355 (1984$). Net social benefit (6a, 7% discount, 25% leisure value) shown in same table.</t>
        </is>
      </c>
      <c r="BU74" t="inlineStr">
        <is>
          <t>NJ</t>
        </is>
      </c>
      <c r="BV74" t="inlineStr">
        <is>
          <t>urban</t>
        </is>
      </c>
      <c r="BW74" t="n">
        <v>1</v>
      </c>
      <c r="BX74" t="n">
        <v>0</v>
      </c>
      <c r="BY74" t="n">
        <v>0</v>
      </c>
      <c r="BZ74" t="n">
        <v>0</v>
      </c>
      <c r="CA74" t="n">
        <v>0</v>
      </c>
      <c r="CB74" t="n">
        <v>0</v>
      </c>
      <c r="CC74" t="n">
        <v>0</v>
      </c>
      <c r="CD74" t="n">
        <v>0</v>
      </c>
      <c r="CE74" t="n">
        <v>89</v>
      </c>
      <c r="CF74" t="n">
        <v>0</v>
      </c>
      <c r="CH74" t="n">
        <v>20</v>
      </c>
    </row>
    <row r="75" ht="44.1" customHeight="1">
      <c r="A75" t="inlineStr">
        <is>
          <t>AFDC Homemaker-Home Health Aide Demonstrations</t>
        </is>
      </c>
      <c r="B75" t="inlineStr">
        <is>
          <t>New York</t>
        </is>
      </c>
      <c r="C75" s="13" t="inlineStr">
        <is>
          <t>AFDC Homemaker-Home Health Aide-NY</t>
        </is>
      </c>
      <c r="D75"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5" t="inlineStr">
        <is>
          <t>secondary</t>
        </is>
      </c>
      <c r="F75" t="n">
        <v>1</v>
      </c>
      <c r="G75" t="n">
        <v>1</v>
      </c>
      <c r="H75" t="n">
        <v>0</v>
      </c>
      <c r="I75" t="n">
        <v>1</v>
      </c>
      <c r="J75" t="inlineStr">
        <is>
          <t>Subsidized employment (up to 12 months at market wages, paid by demonstrations)</t>
        </is>
      </c>
      <c r="K75" t="inlineStr">
        <is>
          <t>voluntary</t>
        </is>
      </c>
      <c r="L75" t="inlineStr">
        <is>
          <t>public</t>
        </is>
      </c>
      <c r="M75" t="inlineStr">
        <is>
          <t>public</t>
        </is>
      </c>
      <c r="N75" t="inlineStr">
        <is>
          <t>August 1983 – June 1986</t>
        </is>
      </c>
      <c r="O75" t="n">
        <v>1985.04</v>
      </c>
      <c r="P75" t="inlineStr">
        <is>
          <t>AFDC recipients (female heads of household)</t>
        </is>
      </c>
      <c r="Q75" t="n">
        <v>31</v>
      </c>
      <c r="R75" t="n">
        <v>0</v>
      </c>
      <c r="S75" t="n">
        <v>27</v>
      </c>
      <c r="T75" t="n">
        <v>62</v>
      </c>
      <c r="V75" t="n">
        <v>44</v>
      </c>
      <c r="X75" t="inlineStr">
        <is>
          <t>Volunteers from AFDC caseload who met eligibility criteria (continuous AFDC receipt for 3+ months, not currently employed as HHA). Demonstration staff screened applicants for potential as homemaker-home health aides.</t>
        </is>
      </c>
      <c r="Z75" t="n">
        <v>386</v>
      </c>
      <c r="AA75" t="n">
        <v>386</v>
      </c>
      <c r="AG75" t="n">
        <v>0.65</v>
      </c>
      <c r="AK75" t="inlineStr">
        <is>
          <t>self-report (survey) and staff records</t>
        </is>
      </c>
      <c r="AL75" t="n">
        <v>1.5</v>
      </c>
      <c r="AQ75" t="n">
        <v>-33.1</v>
      </c>
      <c r="AR75" t="n">
        <v>21.6</v>
      </c>
      <c r="AT75" t="n">
        <v>265</v>
      </c>
      <c r="AU75" t="inlineStr">
        <is>
          <t>monthly (December 1984 dollars)</t>
        </is>
      </c>
      <c r="AV75" t="n">
        <v>2.5</v>
      </c>
      <c r="BA75" t="n">
        <v>11</v>
      </c>
      <c r="BB75" t="n">
        <v>74.2</v>
      </c>
      <c r="BD75" t="n">
        <v>256</v>
      </c>
      <c r="BE75" t="inlineStr">
        <is>
          <t>monthly (December 1984 dollars)</t>
        </is>
      </c>
      <c r="BP75"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5"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-$36 (SE=23.5), also not significant. Text (p.52): 'Neither of the two-demonstration years showed significant earnings effects in New York.' New York is a high-benefit state. Large SE due to small state sample.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(0.92) from Bell et al. 1987 Table III.1.</t>
        </is>
      </c>
      <c r="BR75" t="n">
        <v>5230</v>
      </c>
      <c r="BS75" t="n">
        <v>3295</v>
      </c>
      <c r="BT75" t="inlineStr">
        <is>
          <t>Bell and Orr 1994, Table 3 (pp.56-57). Total gross social benefit = Row 1a (post-demonstration earnings, 7% decay/discount) + Row 2 (value of output during subsidized employment) = 2,181 + 1,114 = 3,295 (1984$). Net social benefit (6a, 7% discount, 25% leisure value) shown in same table.</t>
        </is>
      </c>
      <c r="BU75" t="inlineStr">
        <is>
          <t>NY</t>
        </is>
      </c>
      <c r="BV75" t="inlineStr">
        <is>
          <t>urban</t>
        </is>
      </c>
      <c r="BW75" t="n">
        <v>1</v>
      </c>
      <c r="BX75" t="n">
        <v>0</v>
      </c>
      <c r="BY75" t="n">
        <v>0</v>
      </c>
      <c r="BZ75" t="n">
        <v>0</v>
      </c>
      <c r="CA75" t="n">
        <v>0</v>
      </c>
      <c r="CB75" t="n">
        <v>0</v>
      </c>
      <c r="CC75" t="n">
        <v>0</v>
      </c>
      <c r="CD75" t="n">
        <v>0</v>
      </c>
      <c r="CE75" t="n">
        <v>92</v>
      </c>
      <c r="CF75" t="n">
        <v>0</v>
      </c>
      <c r="CH75" t="n">
        <v>20</v>
      </c>
    </row>
    <row r="76" ht="44.1" customHeight="1">
      <c r="A76" t="inlineStr">
        <is>
          <t>AFDC Homemaker-Home Health Aide Demonstrations</t>
        </is>
      </c>
      <c r="B76" t="inlineStr">
        <is>
          <t>Ohio</t>
        </is>
      </c>
      <c r="C76" s="13" t="inlineStr">
        <is>
          <t>AFDC Homemaker-Home Health Aide-OH</t>
        </is>
      </c>
      <c r="D76"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6" t="inlineStr">
        <is>
          <t>secondary</t>
        </is>
      </c>
      <c r="F76" t="n">
        <v>1</v>
      </c>
      <c r="G76" t="n">
        <v>1</v>
      </c>
      <c r="H76" t="n">
        <v>0</v>
      </c>
      <c r="I76" t="n">
        <v>1</v>
      </c>
      <c r="J76" t="inlineStr">
        <is>
          <t>Subsidized employment (up to 12 months at market wages, paid by demonstrations)</t>
        </is>
      </c>
      <c r="K76" t="inlineStr">
        <is>
          <t>voluntary</t>
        </is>
      </c>
      <c r="L76" t="inlineStr">
        <is>
          <t>public</t>
        </is>
      </c>
      <c r="M76" t="inlineStr">
        <is>
          <t>public</t>
        </is>
      </c>
      <c r="N76" t="inlineStr">
        <is>
          <t>March 1983 – June 1986</t>
        </is>
      </c>
      <c r="O76" t="n">
        <v>1984.88</v>
      </c>
      <c r="P76" t="inlineStr">
        <is>
          <t>AFDC recipients (female heads of household)</t>
        </is>
      </c>
      <c r="Q76" t="n">
        <v>31</v>
      </c>
      <c r="R76" t="n">
        <v>0</v>
      </c>
      <c r="S76" t="n">
        <v>27</v>
      </c>
      <c r="T76" t="n">
        <v>62</v>
      </c>
      <c r="V76" t="n">
        <v>44</v>
      </c>
      <c r="X76" t="inlineStr">
        <is>
          <t>Volunteers from AFDC caseload who met eligibility criteria (continuous AFDC receipt for 3+ months, not currently employed as HHA). Demonstration staff screened applicants for potential as homemaker-home health aides.</t>
        </is>
      </c>
      <c r="Z76" t="n">
        <v>789</v>
      </c>
      <c r="AA76" t="n">
        <v>789</v>
      </c>
      <c r="AG76" t="n">
        <v>0.65</v>
      </c>
      <c r="AK76" t="inlineStr">
        <is>
          <t>self-report (survey) and staff records</t>
        </is>
      </c>
      <c r="AL76" t="n">
        <v>1.5</v>
      </c>
      <c r="AQ76" t="n">
        <v>60.7</v>
      </c>
      <c r="AR76" t="n">
        <v>13.6</v>
      </c>
      <c r="AS76" t="inlineStr">
        <is>
          <t>***</t>
        </is>
      </c>
      <c r="AT76" t="n">
        <v>248</v>
      </c>
      <c r="AU76" t="inlineStr">
        <is>
          <t>monthly (December 1984 dollars)</t>
        </is>
      </c>
      <c r="AV76" t="n">
        <v>2.5</v>
      </c>
      <c r="BA76" t="n">
        <v>92.40000000000001</v>
      </c>
      <c r="BB76" t="n">
        <v>31</v>
      </c>
      <c r="BC76" t="inlineStr">
        <is>
          <t>***</t>
        </is>
      </c>
      <c r="BD76" t="n">
        <v>278</v>
      </c>
      <c r="BE76" t="inlineStr">
        <is>
          <t>monthly (December 1984 dollars)</t>
        </is>
      </c>
      <c r="BP76"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6"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+$69*** (SE=15.5). Significant gains in both post-demo years. Ohio has the lowest program cost ($4,299).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(0.88) from Bell et al. 1987 Table III.1.</t>
        </is>
      </c>
      <c r="BR76" t="n">
        <v>4299</v>
      </c>
      <c r="BS76" t="n">
        <v>23376</v>
      </c>
      <c r="BT76" t="inlineStr">
        <is>
          <t>Bell and Orr 1994, Table 3 (pp.56-57). Total gross social benefit = Row 1a (post-demonstration earnings, 7% decay/discount) + Row 2 (value of output during subsidized employment) = 14,861 + 8,515 = 23,376 (1984$). Net social benefit (6a, 7% discount, 25% leisure value) shown in same table.</t>
        </is>
      </c>
      <c r="BU76" t="inlineStr">
        <is>
          <t>OH</t>
        </is>
      </c>
      <c r="BV76" t="inlineStr">
        <is>
          <t>urban</t>
        </is>
      </c>
      <c r="BW76" t="n">
        <v>1</v>
      </c>
      <c r="BX76" t="n">
        <v>0</v>
      </c>
      <c r="BY76" t="n">
        <v>0</v>
      </c>
      <c r="BZ76" t="n">
        <v>0</v>
      </c>
      <c r="CA76" t="n">
        <v>0</v>
      </c>
      <c r="CB76" t="n">
        <v>0</v>
      </c>
      <c r="CC76" t="n">
        <v>0</v>
      </c>
      <c r="CD76" t="n">
        <v>0</v>
      </c>
      <c r="CE76" t="n">
        <v>88</v>
      </c>
      <c r="CF76" t="n">
        <v>0</v>
      </c>
      <c r="CH76" t="n">
        <v>20</v>
      </c>
    </row>
    <row r="77" ht="44.1" customHeight="1">
      <c r="A77" t="inlineStr">
        <is>
          <t>AFDC Homemaker-Home Health Aide Demonstrations</t>
        </is>
      </c>
      <c r="B77" t="inlineStr">
        <is>
          <t>South Carolina</t>
        </is>
      </c>
      <c r="C77" s="13" t="inlineStr">
        <is>
          <t>AFDC Homemaker-Home Health Aide-SC</t>
        </is>
      </c>
      <c r="D77"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7" t="inlineStr">
        <is>
          <t>secondary</t>
        </is>
      </c>
      <c r="F77" t="n">
        <v>1</v>
      </c>
      <c r="G77" t="n">
        <v>1</v>
      </c>
      <c r="H77" t="n">
        <v>0</v>
      </c>
      <c r="I77" t="n">
        <v>1</v>
      </c>
      <c r="J77" t="inlineStr">
        <is>
          <t>Subsidized employment (up to 12 months at market wages, paid by demonstrations)</t>
        </is>
      </c>
      <c r="K77" t="inlineStr">
        <is>
          <t>voluntary</t>
        </is>
      </c>
      <c r="L77" t="inlineStr">
        <is>
          <t>public</t>
        </is>
      </c>
      <c r="M77" t="inlineStr">
        <is>
          <t>public</t>
        </is>
      </c>
      <c r="N77" t="inlineStr">
        <is>
          <t>March 1983 – June 1986</t>
        </is>
      </c>
      <c r="O77" t="n">
        <v>1984.88</v>
      </c>
      <c r="P77" t="inlineStr">
        <is>
          <t>AFDC recipients (female heads of household)</t>
        </is>
      </c>
      <c r="Q77" t="n">
        <v>31</v>
      </c>
      <c r="R77" t="n">
        <v>0</v>
      </c>
      <c r="S77" t="n">
        <v>27</v>
      </c>
      <c r="T77" t="n">
        <v>62</v>
      </c>
      <c r="V77" t="n">
        <v>44</v>
      </c>
      <c r="X77" t="inlineStr">
        <is>
          <t>Volunteers from AFDC caseload who met eligibility criteria (continuous AFDC receipt for 3+ months, not currently employed as HHA). Demonstration staff screened applicants for potential as homemaker-home health aides.</t>
        </is>
      </c>
      <c r="Z77" t="n">
        <v>489</v>
      </c>
      <c r="AA77" t="n">
        <v>489</v>
      </c>
      <c r="AG77" t="n">
        <v>0.65</v>
      </c>
      <c r="AK77" t="inlineStr">
        <is>
          <t>self-report (survey) and staff records</t>
        </is>
      </c>
      <c r="AL77" t="n">
        <v>1.5</v>
      </c>
      <c r="AQ77" t="n">
        <v>24.2</v>
      </c>
      <c r="AR77" t="n">
        <v>11.2</v>
      </c>
      <c r="AS77" t="inlineStr">
        <is>
          <t>**</t>
        </is>
      </c>
      <c r="AT77" t="n">
        <v>139</v>
      </c>
      <c r="AU77" t="inlineStr">
        <is>
          <t>monthly (December 1984 dollars)</t>
        </is>
      </c>
      <c r="AV77" t="n">
        <v>2.5</v>
      </c>
      <c r="BA77" t="n">
        <v>20.5</v>
      </c>
      <c r="BB77" t="n">
        <v>22.3</v>
      </c>
      <c r="BD77" t="n">
        <v>182</v>
      </c>
      <c r="BE77" t="inlineStr">
        <is>
          <t>monthly (December 1984 dollars)</t>
        </is>
      </c>
      <c r="BP77"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7"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+$26* (SE=12.0), significant at 10%. Text (p.52): 'significant gain of $26 per month in post-demonstration year 1 was followed by an insignificant change in post-demonstration year 2.' Original yr 2 dollar impact (12) was a misread from rotated Bell &amp; Orr 1994 Table 2; corrected to 22 based on Bell et al. 1987 Tables III.2 (p.37) and III.3 (p.39), both showing post-demo year 2 = 22 (not significant).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(0.93) from Bell et al. 1987 Table III.1.</t>
        </is>
      </c>
      <c r="BR77" t="n">
        <v>4902</v>
      </c>
      <c r="BS77" t="n">
        <v>17267</v>
      </c>
      <c r="BT77" t="inlineStr">
        <is>
          <t>Bell and Orr 1994, Table 3 (pp.56-57). Total gross social benefit = Row 1a (post-demonstration earnings, 7% decay/discount) + Row 2 (value of output during subsidized employment) = 4,624 + 12,643 = 17,267 (1984$). Net social benefit (6a, 7% discount, 25% leisure value) shown in same table.</t>
        </is>
      </c>
      <c r="BU77" t="inlineStr">
        <is>
          <t>SC</t>
        </is>
      </c>
      <c r="BV77" t="inlineStr">
        <is>
          <t>rural</t>
        </is>
      </c>
      <c r="BW77" t="n">
        <v>1</v>
      </c>
      <c r="BX77" t="n">
        <v>0</v>
      </c>
      <c r="BY77" t="n">
        <v>0</v>
      </c>
      <c r="BZ77" t="n">
        <v>0</v>
      </c>
      <c r="CA77" t="n">
        <v>0</v>
      </c>
      <c r="CB77" t="n">
        <v>0</v>
      </c>
      <c r="CC77" t="n">
        <v>0</v>
      </c>
      <c r="CD77" t="n">
        <v>0</v>
      </c>
      <c r="CE77" t="n">
        <v>93</v>
      </c>
      <c r="CF77" t="n">
        <v>0</v>
      </c>
      <c r="CH77" t="n">
        <v>20</v>
      </c>
    </row>
    <row r="78" ht="44.1" customHeight="1">
      <c r="A78" t="inlineStr">
        <is>
          <t>AFDC Homemaker-Home Health Aide Demonstrations</t>
        </is>
      </c>
      <c r="B78" t="inlineStr">
        <is>
          <t>Texas</t>
        </is>
      </c>
      <c r="C78" s="13" t="inlineStr">
        <is>
          <t>AFDC Homemaker-Home Health Aide-TX</t>
        </is>
      </c>
      <c r="D78"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8" t="inlineStr">
        <is>
          <t>secondary</t>
        </is>
      </c>
      <c r="F78" t="n">
        <v>1</v>
      </c>
      <c r="G78" t="n">
        <v>1</v>
      </c>
      <c r="H78" t="n">
        <v>0</v>
      </c>
      <c r="I78" t="n">
        <v>1</v>
      </c>
      <c r="J78" t="inlineStr">
        <is>
          <t>Subsidized employment (up to 12 months at market wages, paid by demonstrations)</t>
        </is>
      </c>
      <c r="K78" t="inlineStr">
        <is>
          <t>voluntary</t>
        </is>
      </c>
      <c r="L78" t="inlineStr">
        <is>
          <t>public</t>
        </is>
      </c>
      <c r="M78" t="inlineStr">
        <is>
          <t>public</t>
        </is>
      </c>
      <c r="N78" t="inlineStr">
        <is>
          <t>February 1983 – June 1986</t>
        </is>
      </c>
      <c r="O78" t="n">
        <v>1984.83</v>
      </c>
      <c r="P78" t="inlineStr">
        <is>
          <t>AFDC recipients (female heads of household)</t>
        </is>
      </c>
      <c r="Q78" t="n">
        <v>31</v>
      </c>
      <c r="R78" t="n">
        <v>0</v>
      </c>
      <c r="S78" t="n">
        <v>27</v>
      </c>
      <c r="T78" t="n">
        <v>62</v>
      </c>
      <c r="V78" t="n">
        <v>44</v>
      </c>
      <c r="X78" t="inlineStr">
        <is>
          <t>Volunteers from AFDC caseload who met eligibility criteria (continuous AFDC receipt for 3+ months, not currently employed as HHA). Demonstration staff screened applicants for potential as homemaker-home health aides.</t>
        </is>
      </c>
      <c r="Z78" t="n">
        <v>1001</v>
      </c>
      <c r="AA78" t="n">
        <v>1001</v>
      </c>
      <c r="AG78" t="n">
        <v>0.65</v>
      </c>
      <c r="AK78" t="inlineStr">
        <is>
          <t>self-report (survey) and staff records</t>
        </is>
      </c>
      <c r="AL78" t="n">
        <v>1.5</v>
      </c>
      <c r="AQ78" t="n">
        <v>6</v>
      </c>
      <c r="AR78" t="n">
        <v>7.9</v>
      </c>
      <c r="AT78" t="n">
        <v>230</v>
      </c>
      <c r="AU78" t="inlineStr">
        <is>
          <t>monthly (December 1984 dollars)</t>
        </is>
      </c>
      <c r="AV78" t="n">
        <v>2.5</v>
      </c>
      <c r="BA78" t="n">
        <v>161.2</v>
      </c>
      <c r="BB78" t="n">
        <v>26.4</v>
      </c>
      <c r="BC78" t="inlineStr">
        <is>
          <t>***</t>
        </is>
      </c>
      <c r="BD78" t="n">
        <v>208</v>
      </c>
      <c r="BE78" t="inlineStr">
        <is>
          <t>monthly (December 1984 dollars)</t>
        </is>
      </c>
      <c r="BP78"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8"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+$8, not significant. Text (p.52): 'in Arkansas and Texas significant gains were confined to the second post-demonstration year.' Texas has the largest earnings impact and largest cost ($8,592). SE may be approximate; flagged for review.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(0.75) from Bell et al. 1987 Table III.1.</t>
        </is>
      </c>
      <c r="BR78" t="n">
        <v>8592</v>
      </c>
      <c r="BS78" t="n">
        <v>18736</v>
      </c>
      <c r="BT78" t="inlineStr">
        <is>
          <t>Bell and Orr 1994, Table 3 (pp.56-57). Total gross social benefit = Row 1a (post-demonstration earnings, 7% decay/discount) + Row 2 (value of output during subsidized employment) = 10,353 + 8,383 = 18,736 (1984$). Net social benefit (6a, 7% discount, 25% leisure value) shown in same table.</t>
        </is>
      </c>
      <c r="BU78" t="inlineStr">
        <is>
          <t>TX</t>
        </is>
      </c>
      <c r="BV78" t="inlineStr">
        <is>
          <t>urban</t>
        </is>
      </c>
      <c r="BW78" t="n">
        <v>1</v>
      </c>
      <c r="BX78" t="n">
        <v>0</v>
      </c>
      <c r="BY78" t="n">
        <v>0</v>
      </c>
      <c r="BZ78" t="n">
        <v>0</v>
      </c>
      <c r="CA78" t="n">
        <v>0</v>
      </c>
      <c r="CB78" t="n">
        <v>0</v>
      </c>
      <c r="CC78" t="n">
        <v>0</v>
      </c>
      <c r="CD78" t="n">
        <v>0</v>
      </c>
      <c r="CE78" t="n">
        <v>75</v>
      </c>
      <c r="CF78" t="n">
        <v>0</v>
      </c>
      <c r="CH78" t="n">
        <v>20</v>
      </c>
    </row>
    <row r="79" ht="44.1" customHeight="1">
      <c r="A79" t="inlineStr">
        <is>
          <t>Minority Female Single Parent Demonstration</t>
        </is>
      </c>
      <c r="B79" t="inlineStr">
        <is>
          <t>AUL (Atlanta Urban League)</t>
        </is>
      </c>
      <c r="C79" s="13" t="inlineStr">
        <is>
          <t>MFSPD-Urban League)</t>
        </is>
      </c>
      <c r="D79"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79" t="inlineStr">
        <is>
          <t>primary</t>
        </is>
      </c>
      <c r="F79" t="n">
        <v>1</v>
      </c>
      <c r="G79" t="n">
        <v>0</v>
      </c>
      <c r="H79" t="n">
        <v>1</v>
      </c>
      <c r="I79" t="n">
        <v>1</v>
      </c>
      <c r="J79" t="inlineStr">
        <is>
          <t>Child care assistance, counseling, remedial education (basic skills)</t>
        </is>
      </c>
      <c r="K79" t="inlineStr">
        <is>
          <t>voluntary</t>
        </is>
      </c>
      <c r="L79" t="inlineStr">
        <is>
          <t>private</t>
        </is>
      </c>
      <c r="M79" t="inlineStr">
        <is>
          <t>private</t>
        </is>
      </c>
      <c r="N79" t="inlineStr">
        <is>
          <t>November 1984 – December 1987</t>
        </is>
      </c>
      <c r="O79" t="n">
        <v>1986.417</v>
      </c>
      <c r="P79" t="inlineStr">
        <is>
          <t>Low-income minority single mothers</t>
        </is>
      </c>
      <c r="Q79" t="n">
        <v>28</v>
      </c>
      <c r="R79" t="n">
        <v>0</v>
      </c>
      <c r="S79" t="n">
        <v>0</v>
      </c>
      <c r="T79" t="n">
        <v>97</v>
      </c>
      <c r="U79" t="n">
        <v>2</v>
      </c>
      <c r="V79" t="n">
        <v>56</v>
      </c>
      <c r="X79" t="inlineStr">
        <is>
          <t>Volunteers: minority single mothers who applied for training at CBOs. Over two-thirds had received welfare in the year prior to applying.</t>
        </is>
      </c>
      <c r="Z79" t="n">
        <v>299</v>
      </c>
      <c r="AA79" t="n">
        <v>373</v>
      </c>
      <c r="AE79" t="n">
        <v>0.737</v>
      </c>
      <c r="AF79" t="n">
        <v>0.719</v>
      </c>
      <c r="AG79" t="n">
        <v>0.727</v>
      </c>
      <c r="AK79" t="inlineStr">
        <is>
          <t>self-report (survey)</t>
        </is>
      </c>
      <c r="AV79" t="n">
        <v>2</v>
      </c>
      <c r="AW79" t="n">
        <v>1.2</v>
      </c>
      <c r="AX79" t="n">
        <v>3.2</v>
      </c>
      <c r="AZ79" t="n">
        <v>49.7</v>
      </c>
      <c r="BA79" t="n">
        <v>6</v>
      </c>
      <c r="BB79" t="n">
        <v>37</v>
      </c>
      <c r="BD79" t="n">
        <v>425</v>
      </c>
      <c r="BE79" t="inlineStr">
        <is>
          <t>monthly (1986 dollars)</t>
        </is>
      </c>
      <c r="BP79"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79"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AUL used a sequential approach: remedial education first, then job-skill training. Nearly half of participants never made it to job-skill training. No significant impacts on earnings, employment, or welfare receipt at any time horizon.</t>
        </is>
      </c>
      <c r="BR79" t="n">
        <v>3791</v>
      </c>
      <c r="BU79" t="inlineStr">
        <is>
          <t>GA</t>
        </is>
      </c>
      <c r="BV79" t="inlineStr">
        <is>
          <t>urban</t>
        </is>
      </c>
      <c r="BW79" t="n">
        <v>0</v>
      </c>
      <c r="BX79" t="n">
        <v>0</v>
      </c>
      <c r="BY79" t="n">
        <v>1</v>
      </c>
      <c r="BZ79" t="n">
        <v>0</v>
      </c>
      <c r="CA79" t="n">
        <v>0</v>
      </c>
      <c r="CB79" t="n">
        <v>0</v>
      </c>
      <c r="CC79" t="n">
        <v>0</v>
      </c>
      <c r="CD79" t="n">
        <v>0</v>
      </c>
      <c r="CF79" t="n">
        <v>0</v>
      </c>
      <c r="CG79" t="n">
        <v>33.4</v>
      </c>
      <c r="CH79" t="n">
        <v>48.2</v>
      </c>
      <c r="CI79" t="n">
        <v>3</v>
      </c>
    </row>
    <row r="80" ht="44.1" customHeight="1">
      <c r="A80" t="inlineStr">
        <is>
          <t>Minority Female Single Parent Demonstration</t>
        </is>
      </c>
      <c r="B80" t="inlineStr">
        <is>
          <t>CET (Center for Employment Training)</t>
        </is>
      </c>
      <c r="C80" s="13" t="inlineStr">
        <is>
          <t>MFSPD-Employment Training)</t>
        </is>
      </c>
      <c r="D80"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80" t="inlineStr">
        <is>
          <t>primary</t>
        </is>
      </c>
      <c r="F80" t="n">
        <v>1</v>
      </c>
      <c r="G80" t="n">
        <v>0</v>
      </c>
      <c r="H80" t="n">
        <v>1</v>
      </c>
      <c r="I80" t="n">
        <v>1</v>
      </c>
      <c r="J80" t="inlineStr">
        <is>
          <t>Child care assistance, counseling, remedial education (basic skills)</t>
        </is>
      </c>
      <c r="K80" t="inlineStr">
        <is>
          <t>voluntary</t>
        </is>
      </c>
      <c r="L80" t="inlineStr">
        <is>
          <t>private</t>
        </is>
      </c>
      <c r="M80" t="inlineStr">
        <is>
          <t>private</t>
        </is>
      </c>
      <c r="N80" t="inlineStr">
        <is>
          <t>November 1984 – December 1987</t>
        </is>
      </c>
      <c r="O80" t="n">
        <v>1986.417</v>
      </c>
      <c r="P80" t="inlineStr">
        <is>
          <t>Low-income minority single mothers</t>
        </is>
      </c>
      <c r="Q80" t="n">
        <v>29</v>
      </c>
      <c r="R80" t="n">
        <v>0</v>
      </c>
      <c r="S80" t="n">
        <v>0</v>
      </c>
      <c r="T80" t="n">
        <v>14</v>
      </c>
      <c r="U80" t="n">
        <v>78</v>
      </c>
      <c r="V80" t="n">
        <v>68</v>
      </c>
      <c r="X80" t="inlineStr">
        <is>
          <t>Volunteers: minority single mothers who applied for training at CBOs. Over two-thirds had received welfare in the year prior to applying.</t>
        </is>
      </c>
      <c r="Z80" t="n">
        <v>329</v>
      </c>
      <c r="AA80" t="n">
        <v>440</v>
      </c>
      <c r="AE80" t="n">
        <v>0.797</v>
      </c>
      <c r="AF80" t="n">
        <v>0.802</v>
      </c>
      <c r="AG80" t="n">
        <v>0.799</v>
      </c>
      <c r="AK80" t="inlineStr">
        <is>
          <t>self-report (survey)</t>
        </is>
      </c>
      <c r="AV80" t="n">
        <v>2</v>
      </c>
      <c r="AW80" t="n">
        <v>4.1</v>
      </c>
      <c r="AX80" t="n">
        <v>2.9</v>
      </c>
      <c r="AZ80" t="n">
        <v>42</v>
      </c>
      <c r="BA80" t="n">
        <v>101</v>
      </c>
      <c r="BB80" t="n">
        <v>38</v>
      </c>
      <c r="BC80" t="inlineStr">
        <is>
          <t>**</t>
        </is>
      </c>
      <c r="BD80" t="n">
        <v>405</v>
      </c>
      <c r="BE80" t="inlineStr">
        <is>
          <t>monthly (1986 dollars)</t>
        </is>
      </c>
      <c r="BP80"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80"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CET used an open-access, integrated training design: job training immediately, with remedial education integrated into vocational curriculum. CET is the only MFSP site with significant earnings gains. Earnings impact at CET averaged ~$100/month over the entire 30-month follow-up.</t>
        </is>
      </c>
      <c r="BR80" t="n">
        <v>3888</v>
      </c>
      <c r="BU80" t="inlineStr">
        <is>
          <t>CA</t>
        </is>
      </c>
      <c r="BV80" t="inlineStr">
        <is>
          <t>urban</t>
        </is>
      </c>
      <c r="BW80" t="n">
        <v>0</v>
      </c>
      <c r="BX80" t="n">
        <v>1</v>
      </c>
      <c r="BY80" t="n">
        <v>1</v>
      </c>
      <c r="BZ80" t="n">
        <v>0</v>
      </c>
      <c r="CA80" t="n">
        <v>1</v>
      </c>
      <c r="CB80" t="n">
        <v>1</v>
      </c>
      <c r="CC80" t="n">
        <v>1</v>
      </c>
      <c r="CD80" t="n">
        <v>0</v>
      </c>
      <c r="CF80" t="n">
        <v>0</v>
      </c>
      <c r="CG80" t="n">
        <v>30.6</v>
      </c>
      <c r="CH80" t="n">
        <v>55.7</v>
      </c>
    </row>
    <row r="81" ht="44.1" customHeight="1">
      <c r="A81" t="inlineStr">
        <is>
          <t>Minority Female Single Parent Demonstration</t>
        </is>
      </c>
      <c r="B81" t="inlineStr">
        <is>
          <t>OIC (Opportunities Industrialization Center)</t>
        </is>
      </c>
      <c r="C81" s="13" t="inlineStr">
        <is>
          <t>MFSPD-Industrialization Center)</t>
        </is>
      </c>
      <c r="D81"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81" t="inlineStr">
        <is>
          <t>primary</t>
        </is>
      </c>
      <c r="F81" t="n">
        <v>1</v>
      </c>
      <c r="G81" t="n">
        <v>0</v>
      </c>
      <c r="H81" t="n">
        <v>1</v>
      </c>
      <c r="I81" t="n">
        <v>1</v>
      </c>
      <c r="J81" t="inlineStr">
        <is>
          <t>Child care assistance, counseling, remedial education (basic skills)</t>
        </is>
      </c>
      <c r="K81" t="inlineStr">
        <is>
          <t>voluntary</t>
        </is>
      </c>
      <c r="L81" t="inlineStr">
        <is>
          <t>private</t>
        </is>
      </c>
      <c r="M81" t="inlineStr">
        <is>
          <t>private</t>
        </is>
      </c>
      <c r="N81" t="inlineStr">
        <is>
          <t>November 1984 – December 1987</t>
        </is>
      </c>
      <c r="O81" t="n">
        <v>1986.417</v>
      </c>
      <c r="P81" t="inlineStr">
        <is>
          <t>Low-income minority single mothers</t>
        </is>
      </c>
      <c r="Q81" t="n">
        <v>27</v>
      </c>
      <c r="R81" t="n">
        <v>0</v>
      </c>
      <c r="S81" t="n">
        <v>0</v>
      </c>
      <c r="T81" t="n">
        <v>60</v>
      </c>
      <c r="U81" t="n">
        <v>29</v>
      </c>
      <c r="V81" t="n">
        <v>56</v>
      </c>
      <c r="X81" t="inlineStr">
        <is>
          <t>Volunteers: minority single mothers who applied for training at CBOs. Over two-thirds had received welfare in the year prior to applying.</t>
        </is>
      </c>
      <c r="Z81" t="n">
        <v>163</v>
      </c>
      <c r="AA81" t="n">
        <v>346</v>
      </c>
      <c r="AE81" t="n">
        <v>0.795</v>
      </c>
      <c r="AF81" t="n">
        <v>0.756</v>
      </c>
      <c r="AG81" t="n">
        <v>0.768</v>
      </c>
      <c r="AK81" t="inlineStr">
        <is>
          <t>self-report (survey)</t>
        </is>
      </c>
      <c r="AV81" t="n">
        <v>2</v>
      </c>
      <c r="AW81" t="n">
        <v>-1.1</v>
      </c>
      <c r="AX81" t="n">
        <v>3.7</v>
      </c>
      <c r="AZ81" t="n">
        <v>38.9</v>
      </c>
      <c r="BA81" t="n">
        <v>20</v>
      </c>
      <c r="BB81" t="n">
        <v>40</v>
      </c>
      <c r="BD81" t="n">
        <v>323</v>
      </c>
      <c r="BE81" t="inlineStr">
        <is>
          <t>monthly (1986 dollars)</t>
        </is>
      </c>
      <c r="BP81"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81"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OIC used sequential approach similar to AUL. Had exceptionally high administrative and child-care costs. No significant impacts on earnings, employment, or welfare at any time horizon. Unequal randomization: control group much larger than treatment group.</t>
        </is>
      </c>
      <c r="BR81" t="n">
        <v>5692</v>
      </c>
      <c r="BU81" t="inlineStr">
        <is>
          <t>PA</t>
        </is>
      </c>
      <c r="BV81" t="inlineStr">
        <is>
          <t>urban</t>
        </is>
      </c>
      <c r="BW81" t="n">
        <v>0</v>
      </c>
      <c r="BX81" t="n">
        <v>0</v>
      </c>
      <c r="BY81" t="n">
        <v>1</v>
      </c>
      <c r="BZ81" t="n">
        <v>0</v>
      </c>
      <c r="CA81" t="n">
        <v>0</v>
      </c>
      <c r="CB81" t="n">
        <v>0</v>
      </c>
      <c r="CC81" t="n">
        <v>0</v>
      </c>
      <c r="CD81" t="n">
        <v>0</v>
      </c>
      <c r="CF81" t="n">
        <v>0</v>
      </c>
      <c r="CG81" t="n">
        <v>34.7</v>
      </c>
      <c r="CH81" t="n">
        <v>50.3</v>
      </c>
      <c r="CI81" t="n">
        <v>2</v>
      </c>
    </row>
    <row r="82" ht="44.1" customHeight="1">
      <c r="A82" t="inlineStr">
        <is>
          <t>Minority Female Single Parent Demonstration</t>
        </is>
      </c>
      <c r="B82" t="inlineStr">
        <is>
          <t>WOW (Wider Opportunities for Women)</t>
        </is>
      </c>
      <c r="C82" s="13" t="inlineStr">
        <is>
          <t>MFSPD-For Women)</t>
        </is>
      </c>
      <c r="D82"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82" t="inlineStr">
        <is>
          <t>primary</t>
        </is>
      </c>
      <c r="F82" t="n">
        <v>1</v>
      </c>
      <c r="G82" t="n">
        <v>0</v>
      </c>
      <c r="H82" t="n">
        <v>1</v>
      </c>
      <c r="I82" t="n">
        <v>1</v>
      </c>
      <c r="J82" t="inlineStr">
        <is>
          <t>Child care assistance, counseling, remedial education (basic skills)</t>
        </is>
      </c>
      <c r="K82" t="inlineStr">
        <is>
          <t>voluntary</t>
        </is>
      </c>
      <c r="L82" t="inlineStr">
        <is>
          <t>private</t>
        </is>
      </c>
      <c r="M82" t="inlineStr">
        <is>
          <t>private</t>
        </is>
      </c>
      <c r="N82" t="inlineStr">
        <is>
          <t>November 1984 – December 1987</t>
        </is>
      </c>
      <c r="O82" t="n">
        <v>1986.417</v>
      </c>
      <c r="P82" t="inlineStr">
        <is>
          <t>Low-income minority single mothers</t>
        </is>
      </c>
      <c r="Q82" t="n">
        <v>28</v>
      </c>
      <c r="R82" t="n">
        <v>0</v>
      </c>
      <c r="S82" t="n">
        <v>0</v>
      </c>
      <c r="T82" t="n">
        <v>94</v>
      </c>
      <c r="U82" t="n">
        <v>4</v>
      </c>
      <c r="V82" t="n">
        <v>57</v>
      </c>
      <c r="X82" t="inlineStr">
        <is>
          <t>Volunteers: minority single mothers who applied for training at CBOs. Over two-thirds had received welfare in the year prior to applying.</t>
        </is>
      </c>
      <c r="Z82" t="n">
        <v>543</v>
      </c>
      <c r="AA82" t="n">
        <v>682</v>
      </c>
      <c r="AE82" t="n">
        <v>0.848</v>
      </c>
      <c r="AF82" t="n">
        <v>0.88</v>
      </c>
      <c r="AG82" t="n">
        <v>0.866</v>
      </c>
      <c r="AK82" t="inlineStr">
        <is>
          <t>self-report (survey)</t>
        </is>
      </c>
      <c r="AV82" t="n">
        <v>2</v>
      </c>
      <c r="AW82" t="n">
        <v>5.1</v>
      </c>
      <c r="AX82" t="n">
        <v>2.4</v>
      </c>
      <c r="AY82" t="inlineStr">
        <is>
          <t>**</t>
        </is>
      </c>
      <c r="AZ82" t="n">
        <v>49.7</v>
      </c>
      <c r="BA82" t="n">
        <v>43</v>
      </c>
      <c r="BB82" t="n">
        <v>28</v>
      </c>
      <c r="BD82" t="n">
        <v>477</v>
      </c>
      <c r="BE82" t="inlineStr">
        <is>
          <t>monthly (1986 dollars)</t>
        </is>
      </c>
      <c r="BP82"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82"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WOW used a general employability model (motivation, basic reading/math, job-search skills) with short-duration courses. Modest employment gains (+5.1**pp) but no significant earnings impacts. Employment impacts were concentrated in 2 of 13 cohorts; WOW findings should be interpreted with caution. Lowest program cost ($2,448) due to short training duration.</t>
        </is>
      </c>
      <c r="BR82" t="n">
        <v>2448</v>
      </c>
      <c r="BU82" t="inlineStr">
        <is>
          <t>DC</t>
        </is>
      </c>
      <c r="BV82" t="inlineStr">
        <is>
          <t>urban</t>
        </is>
      </c>
      <c r="BW82" t="n">
        <v>0</v>
      </c>
      <c r="BX82" t="n">
        <v>0</v>
      </c>
      <c r="BY82" t="n">
        <v>1</v>
      </c>
      <c r="BZ82" t="n">
        <v>0</v>
      </c>
      <c r="CA82" t="n">
        <v>0</v>
      </c>
      <c r="CB82" t="n">
        <v>0</v>
      </c>
      <c r="CC82" t="n">
        <v>0</v>
      </c>
      <c r="CD82" t="n">
        <v>0</v>
      </c>
      <c r="CF82" t="n">
        <v>0</v>
      </c>
      <c r="CG82" t="n">
        <v>33.5</v>
      </c>
      <c r="CH82" t="n">
        <v>48.6</v>
      </c>
    </row>
    <row r="83" ht="44.1" customHeight="1">
      <c r="A83" t="inlineStr">
        <is>
          <t>CET Replication</t>
        </is>
      </c>
      <c r="B83" t="inlineStr">
        <is>
          <t>High-fidelity sites</t>
        </is>
      </c>
      <c r="C83" s="13" t="inlineStr">
        <is>
          <t>CETR-Fidelity sites</t>
        </is>
      </c>
      <c r="D83" t="inlineStr">
        <is>
          <t>Replication of the Center for Employment Training (CET) model at 12 sites across the U.S.: occupational skills training in a worklike setting, integrated remedial education, employer involvement in curriculum design and job placement, open-access enrollment (no educational prerequisites), full-time intensive participation. Control group barred from CET services for 24 months but could seek training elsewhere.</t>
        </is>
      </c>
      <c r="E83" t="inlineStr">
        <is>
          <t>primary</t>
        </is>
      </c>
      <c r="F83" t="n">
        <v>1</v>
      </c>
      <c r="G83" t="n">
        <v>0</v>
      </c>
      <c r="H83" t="n">
        <v>1</v>
      </c>
      <c r="I83" t="n">
        <v>1</v>
      </c>
      <c r="J83" t="inlineStr">
        <is>
          <t>Integrated remedial education, job placement assistance, support services</t>
        </is>
      </c>
      <c r="K83" t="inlineStr">
        <is>
          <t>voluntary</t>
        </is>
      </c>
      <c r="L83" t="inlineStr">
        <is>
          <t>public</t>
        </is>
      </c>
      <c r="M83" t="inlineStr">
        <is>
          <t>private</t>
        </is>
      </c>
      <c r="N83" t="inlineStr">
        <is>
          <t>1995 – 1999</t>
        </is>
      </c>
      <c r="O83" t="n">
        <v>1997.5</v>
      </c>
      <c r="P83" t="inlineStr">
        <is>
          <t>Economically disadvantaged out-of-school youth, ages 16-21</t>
        </is>
      </c>
      <c r="Q83" t="n">
        <v>19</v>
      </c>
      <c r="R83" t="n">
        <v>51.6</v>
      </c>
      <c r="S83" t="n">
        <v>4.8</v>
      </c>
      <c r="T83" t="n">
        <v>1.9</v>
      </c>
      <c r="U83" t="n">
        <v>91</v>
      </c>
      <c r="V83" t="n">
        <v>60.1</v>
      </c>
      <c r="X83" t="inlineStr">
        <is>
          <t>Volunteers: out-of-school youth ages 16-21 who applied to CET replication sites. Extensive preenrollment orientation designed to screen out less-motivated applicants (return visits over 2-5 consecutive days required). JTPA definition of 'economically disadvantaged.'</t>
        </is>
      </c>
      <c r="Z83" t="n">
        <v>174</v>
      </c>
      <c r="AA83" t="n">
        <v>158</v>
      </c>
      <c r="AH83" t="n">
        <v>0.8</v>
      </c>
      <c r="AI83" t="n">
        <v>0.74</v>
      </c>
      <c r="AJ83" t="n">
        <v>0.77</v>
      </c>
      <c r="AK83" t="inlineStr">
        <is>
          <t>self-report (survey)</t>
        </is>
      </c>
      <c r="BF83" t="n">
        <v>5</v>
      </c>
      <c r="BK83" t="n">
        <v>1331.5</v>
      </c>
      <c r="BL83" t="n">
        <v>1599.3</v>
      </c>
      <c r="BN83" t="n">
        <v>14671</v>
      </c>
      <c r="BO83" t="inlineStr">
        <is>
          <t>annual (nominal dollars)</t>
        </is>
      </c>
      <c r="BP83" t="inlineStr">
        <is>
          <t>Miller, Bos, Porter, Tseng, and Abe (2005), 'The Challenge of Repeating Success in a Changing World: Final Report on the Center for Employment Training Replication Sites,' MDRC. Table 3.2 (p.64) and Table 3.5 (p.69) for earnings impacts; Table 1.2 (p.14) for demographics; Table 1.1 (p.11) for site fidelity classification. Walsh, Goldsmith, Abe, and Cann (2000), Evaluation of the Center for Employment Training Replication Sites: Interim Report. Figure 4.2 (Characteristics of Program Group Sample Members at the Time of Random Assignment, By Site), pp. 4-7 to 4-9 (per-site % with per-site program-group sample sizes). Fidelity classification per Miller et al. 2005 Table 1.1, p. 11.</t>
        </is>
      </c>
      <c r="BQ83" t="inlineStr">
        <is>
          <t>Annual earnings from 54-month follow-up survey (survey data, self-reported). Year 5 = months 49-54 after random assignment. SE derived from two-sided p-value. n_treatment and n_control estimated from overall T/C ratio (595/541); exact split by fidelity group not reported in Table 3.5. Mean age (~19) estimated from age at 30-month survey (21.9) minus 2.5 years. Demographics from Table 1.2 (p.14) are for full sample (all sites combined); high-fidelity sites are 93% Hispanic per fn.24. pct_no_hs_diploma not available at baseline from report. No formal benefit-cost analysis was conducted for this study (p.99 fn.5). High-fidelity sites are all older CET-run programs in rural California, predominantly serving Hispanic youth from farm-worker backgrounds. 93% Hispanic per footnote 24. No significant employment or earnings effects at any time horizon. Year 5 earnings difference (+$1,332) is the largest but p=0.405 (not significant). Cost per treated not reported (formal benefit-cost analysis was not part of this evaluation). Demographics aggregated from Walsh et al. (2000) Figure 4.2 per-site program-group percentages, weighted by per-site program-group sample sizes (El Centro n=57, Oxnard n=52, Riverside n=84, Santa Maria n=18; pooled program-group N=211).</t>
        </is>
      </c>
      <c r="BU83" t="inlineStr">
        <is>
          <t>multiple</t>
        </is>
      </c>
      <c r="BV83" t="inlineStr">
        <is>
          <t>urban</t>
        </is>
      </c>
      <c r="BW83" t="n">
        <v>0</v>
      </c>
      <c r="BX83" t="n">
        <v>1</v>
      </c>
      <c r="BY83" t="n">
        <v>1</v>
      </c>
      <c r="BZ83" t="n">
        <v>0</v>
      </c>
      <c r="CA83" t="n">
        <v>1</v>
      </c>
      <c r="CB83" t="n">
        <v>1</v>
      </c>
      <c r="CC83" t="n">
        <v>1</v>
      </c>
      <c r="CD83" t="n">
        <v>0</v>
      </c>
      <c r="CE83" t="n">
        <v>12.9</v>
      </c>
      <c r="CF83" t="n">
        <v>28.2</v>
      </c>
      <c r="CI83" t="n">
        <v>6.5</v>
      </c>
    </row>
    <row r="84" ht="44.1" customHeight="1">
      <c r="A84" t="inlineStr">
        <is>
          <t>CET Replication</t>
        </is>
      </c>
      <c r="B84" t="inlineStr">
        <is>
          <t>Medium/low-fidelity sites</t>
        </is>
      </c>
      <c r="C84" s="13" t="inlineStr">
        <is>
          <t>CETR-Fidelity sites</t>
        </is>
      </c>
      <c r="D84" t="inlineStr">
        <is>
          <t>Replication of the Center for Employment Training (CET) model at 12 sites across the U.S.: occupational skills training in a worklike setting, integrated remedial education, employer involvement in curriculum design and job placement, open-access enrollment (no educational prerequisites), full-time intensive participation. Control group barred from CET services for 24 months but could seek training elsewhere.</t>
        </is>
      </c>
      <c r="E84" t="inlineStr">
        <is>
          <t>primary</t>
        </is>
      </c>
      <c r="F84" t="n">
        <v>1</v>
      </c>
      <c r="G84" t="n">
        <v>0</v>
      </c>
      <c r="H84" t="n">
        <v>1</v>
      </c>
      <c r="I84" t="n">
        <v>1</v>
      </c>
      <c r="J84" t="inlineStr">
        <is>
          <t>Integrated remedial education, job placement assistance, support services</t>
        </is>
      </c>
      <c r="K84" t="inlineStr">
        <is>
          <t>voluntary</t>
        </is>
      </c>
      <c r="L84" t="inlineStr">
        <is>
          <t>public</t>
        </is>
      </c>
      <c r="M84" t="inlineStr">
        <is>
          <t>private</t>
        </is>
      </c>
      <c r="N84" t="inlineStr">
        <is>
          <t>1995 – 1999</t>
        </is>
      </c>
      <c r="O84" t="n">
        <v>1997.5</v>
      </c>
      <c r="P84" t="inlineStr">
        <is>
          <t>Economically disadvantaged out-of-school youth, ages 16-21</t>
        </is>
      </c>
      <c r="Q84" t="n">
        <v>19.2</v>
      </c>
      <c r="R84" t="n">
        <v>37</v>
      </c>
      <c r="S84" t="n">
        <v>7.5</v>
      </c>
      <c r="T84" t="n">
        <v>71.5</v>
      </c>
      <c r="U84" t="n">
        <v>18.2</v>
      </c>
      <c r="V84" t="n">
        <v>55.2</v>
      </c>
      <c r="X84" t="inlineStr">
        <is>
          <t>Volunteers: out-of-school youth ages 16-21 who applied to CET replication sites. Extensive preenrollment orientation designed to screen out less-motivated applicants (return visits over 2-5 consecutive days required). JTPA definition of 'economically disadvantaged.'</t>
        </is>
      </c>
      <c r="Z84" t="n">
        <v>421</v>
      </c>
      <c r="AA84" t="n">
        <v>383</v>
      </c>
      <c r="AH84" t="n">
        <v>0.8</v>
      </c>
      <c r="AI84" t="n">
        <v>0.74</v>
      </c>
      <c r="AJ84" t="n">
        <v>0.77</v>
      </c>
      <c r="AK84" t="inlineStr">
        <is>
          <t>self-report (survey)</t>
        </is>
      </c>
      <c r="BF84" t="n">
        <v>5</v>
      </c>
      <c r="BK84" t="n">
        <v>-719</v>
      </c>
      <c r="BL84" t="n">
        <v>997.8</v>
      </c>
      <c r="BN84" t="n">
        <v>12078</v>
      </c>
      <c r="BO84" t="inlineStr">
        <is>
          <t>annual (nominal dollars)</t>
        </is>
      </c>
      <c r="BP84" t="inlineStr">
        <is>
          <t>Miller, Bos, Porter, Tseng, and Abe (2005), 'The Challenge of Repeating Success in a Changing World: Final Report on the Center for Employment Training Replication Sites,' MDRC. Table 3.2 (p.64) and Table 3.5 (p.69) for earnings impacts; Table 1.2 (p.14) for demographics; Table 1.1 (p.11) for site fidelity classification. Walsh, Goldsmith, Abe, and Cann (2000), Evaluation of the Center for Employment Training Replication Sites: Interim Report. Figure 4.2 (Characteristics of Program Group Sample Members at the Time of Random Assignment, By Site), pp. 4-7 to 4-9 (per-site % with per-site program-group sample sizes). Fidelity classification per Miller et al. 2005 Table 1.1, p. 11.</t>
        </is>
      </c>
      <c r="BQ84" t="inlineStr">
        <is>
          <t>Annual earnings from 54-month follow-up survey (survey data, self-reported). Year 5 = months 49-54 after random assignment. SE derived from two-sided p-value. n_treatment and n_control estimated from overall T/C ratio (595/541); exact split by fidelity group not reported in Table 3.5. Mean age (~19) estimated from age at 30-month survey (21.9) minus 2.5 years. Demographics from Table 1.2 (p.14) are for full sample (all sites combined); high-fidelity sites are 93% Hispanic per fn.24. pct_no_hs_diploma not available at baseline from report. No formal benefit-cost analysis was conducted for this study (p.99 fn.5). Medium/low-fidelity sites had difficulty implementing the CET model. Four of the 12 sites closed before the replication study was completed. Very small program-control difference in service receipt. No significant employment or earnings effects at any time horizon. Demographics aggregated from Walsh et al. (2000) Figure 4.2 per-site program-group percentages, weighted by per-site program-group sample sizes (Chicago 113, Reidsville 27, Newark 101, Camden 11, New York 119, Orlando 30, Reno 11, San Francisco 51; pooled program-group N=463).</t>
        </is>
      </c>
      <c r="BU84" t="inlineStr">
        <is>
          <t>multiple</t>
        </is>
      </c>
      <c r="BV84" t="inlineStr">
        <is>
          <t>urban</t>
        </is>
      </c>
      <c r="BW84" t="n">
        <v>0</v>
      </c>
      <c r="BX84" t="n">
        <v>1</v>
      </c>
      <c r="BY84" t="n">
        <v>1</v>
      </c>
      <c r="BZ84" t="n">
        <v>0</v>
      </c>
      <c r="CA84" t="n">
        <v>1</v>
      </c>
      <c r="CB84" t="n">
        <v>1</v>
      </c>
      <c r="CC84" t="n">
        <v>1</v>
      </c>
      <c r="CD84" t="n">
        <v>0</v>
      </c>
      <c r="CE84" t="n">
        <v>3</v>
      </c>
      <c r="CF84" t="n">
        <v>34</v>
      </c>
      <c r="CI84" t="n">
        <v>6</v>
      </c>
    </row>
    <row r="85" ht="44.1" customHeight="1">
      <c r="A85" t="inlineStr">
        <is>
          <t>Baltimore Options Program</t>
        </is>
      </c>
      <c r="B85" t="inlineStr">
        <is>
          <t>AFDC applicants and recipients</t>
        </is>
      </c>
      <c r="C85" s="13" t="inlineStr">
        <is>
          <t>BOP-And recipients</t>
        </is>
      </c>
      <c r="D85" t="inlineStr">
        <is>
          <t>Comprehensive mandatory welfare employment program (Options) offering job search workshops (~30% of registrants), work experience (~20%), education and skills training (~20%), and placement assistance. Participants received a $30/week stipend tied to attendance. Options functioned as a 'switching station' dispatching enrollees to existing JTPA-funded services in Baltimore.</t>
        </is>
      </c>
      <c r="E85" t="inlineStr">
        <is>
          <t>secondary</t>
        </is>
      </c>
      <c r="F85" t="n">
        <v>1</v>
      </c>
      <c r="G85" t="n">
        <v>0</v>
      </c>
      <c r="H85" t="n">
        <v>1</v>
      </c>
      <c r="I85" t="n">
        <v>1</v>
      </c>
      <c r="J85" t="inlineStr">
        <is>
          <t>Work experience (~20% of registrants), $30/week stipend</t>
        </is>
      </c>
      <c r="K85" t="inlineStr">
        <is>
          <t>mandatory</t>
        </is>
      </c>
      <c r="L85" t="inlineStr">
        <is>
          <t>public</t>
        </is>
      </c>
      <c r="M85" t="inlineStr">
        <is>
          <t>public</t>
        </is>
      </c>
      <c r="N85" t="inlineStr">
        <is>
          <t>November 1982 – December 1983</t>
        </is>
      </c>
      <c r="O85" t="n">
        <v>1983.417</v>
      </c>
      <c r="P85" t="inlineStr">
        <is>
          <t>AFDC applicants and recipients (mandatory WIN registrants)</t>
        </is>
      </c>
      <c r="Q85" t="n">
        <v>31.9</v>
      </c>
      <c r="R85" t="n">
        <v>10.1</v>
      </c>
      <c r="S85" t="n">
        <v>29.5</v>
      </c>
      <c r="T85" t="n">
        <v>69.2</v>
      </c>
      <c r="U85" t="n">
        <v>0.3</v>
      </c>
      <c r="V85" t="n">
        <v>56.4</v>
      </c>
      <c r="W85" t="n">
        <v>10.5</v>
      </c>
      <c r="X85" t="inlineStr">
        <is>
          <t>All WIN-mandatory AFDC applicants and recipients in Baltimore; no additional screening beyond welfare eligibility and WIN registration.</t>
        </is>
      </c>
      <c r="Z85" t="n">
        <v>1331</v>
      </c>
      <c r="AA85" t="n">
        <v>1372</v>
      </c>
      <c r="AK85" t="inlineStr">
        <is>
          <t>UI wage records</t>
        </is>
      </c>
      <c r="AL85" t="n">
        <v>1.25</v>
      </c>
      <c r="AM85" t="n">
        <v>5</v>
      </c>
      <c r="AO85" t="inlineStr">
        <is>
          <t>***</t>
        </is>
      </c>
      <c r="AP85" t="n">
        <v>31.6</v>
      </c>
      <c r="AQ85" t="n">
        <v>176.41</v>
      </c>
      <c r="AT85" t="n">
        <v>1758.74</v>
      </c>
      <c r="AU85" t="inlineStr">
        <is>
          <t>cumulative over quarters 2-5 (nominal dollars)</t>
        </is>
      </c>
      <c r="AV85" t="n">
        <v>2</v>
      </c>
      <c r="AW85" t="n">
        <v>2.4</v>
      </c>
      <c r="AZ85" t="n">
        <v>34.9</v>
      </c>
      <c r="BA85" t="n">
        <v>668.22</v>
      </c>
      <c r="BC85" t="inlineStr">
        <is>
          <t>*</t>
        </is>
      </c>
      <c r="BD85" t="n">
        <v>3223.29</v>
      </c>
      <c r="BE85" t="inlineStr">
        <is>
          <t>cumulative over quarters 2-8 (nominal dollars)</t>
        </is>
      </c>
      <c r="BP85" t="inlineStr">
        <is>
          <t>Friedlander et al. (1985), 'Maryland: Final Report on the Employment Initiatives Evaluation,' MDRC. Table 5.1 (pp.107-109) for Q2-5 impacts; Table 5.3 (pp.117-119) for Q2-8 impacts; Table 2.2 (pp.33-35) for demographics; Executive summary (p.xxxv) for cost.</t>
        </is>
      </c>
      <c r="BQ85" t="inlineStr">
        <is>
          <t>Short-term from Table 5.1 uses full sample (N=1,331 T, 1,372 C). Medium-term from Table 5.3 uses early subsample (N=499 T, 518 C) with 8-quarter follow-up. SEs not reported in this 1980s MDRC report — only significance stars from two-tailed t-tests. Cost approximately $1,000 per experimental ($800 operating + $200 stipends/support), nominal dollars. Regression-adjusted impacts using OLS with pre-RA characteristics. Earnings from UI wage records include zero values for non-employed.</t>
        </is>
      </c>
      <c r="BR85" t="n">
        <v>1000</v>
      </c>
      <c r="BU85" t="inlineStr">
        <is>
          <t>MD</t>
        </is>
      </c>
      <c r="BV85" t="inlineStr">
        <is>
          <t>urban</t>
        </is>
      </c>
      <c r="BW85" t="n">
        <v>0</v>
      </c>
      <c r="BX85" t="n">
        <v>0</v>
      </c>
      <c r="BY85" t="n">
        <v>0</v>
      </c>
      <c r="BZ85" t="n">
        <v>0</v>
      </c>
      <c r="CA85" t="n">
        <v>0</v>
      </c>
      <c r="CB85" t="n">
        <v>0</v>
      </c>
      <c r="CC85" t="n">
        <v>0</v>
      </c>
      <c r="CD85" t="n">
        <v>0</v>
      </c>
      <c r="CE85" t="n">
        <v>41.1</v>
      </c>
      <c r="CF85" t="n">
        <v>3.4</v>
      </c>
      <c r="CG85" t="n">
        <v>17.6</v>
      </c>
      <c r="CH85" t="n">
        <v>1</v>
      </c>
      <c r="CI85" t="n">
        <v>4</v>
      </c>
    </row>
    <row r="86" ht="44.1" customHeight="1">
      <c r="A86" t="inlineStr">
        <is>
          <t>Maine TOPS</t>
        </is>
      </c>
      <c r="B86" t="inlineStr">
        <is>
          <t>Maine</t>
        </is>
      </c>
      <c r="C86" s="13" t="inlineStr">
        <is>
          <t>Maine TOPS-Maine</t>
        </is>
      </c>
      <c r="D86" t="inlineStr">
        <is>
          <t>Training Opportunities in the Private Sector (TOPS): pre-vocational classroom training followed by on-the-job training (OJT) at private employers with 50% wage subsidies. Nearly 70% of experimentals participated in at least two TOPS components; about 30% participated in OJT combined with another activity. 32% were active in job search.</t>
        </is>
      </c>
      <c r="E86" t="inlineStr">
        <is>
          <t>primary</t>
        </is>
      </c>
      <c r="F86" t="n">
        <v>1</v>
      </c>
      <c r="G86" t="n">
        <v>1</v>
      </c>
      <c r="H86" t="n">
        <v>1</v>
      </c>
      <c r="I86" t="n">
        <v>1</v>
      </c>
      <c r="J86" t="inlineStr">
        <is>
          <t>OJT wage subsidies (50% of new employee's wages), JTPA-funded services</t>
        </is>
      </c>
      <c r="K86" t="inlineStr">
        <is>
          <t>voluntary</t>
        </is>
      </c>
      <c r="L86" t="inlineStr">
        <is>
          <t>public</t>
        </is>
      </c>
      <c r="M86" t="inlineStr">
        <is>
          <t>public</t>
        </is>
      </c>
      <c r="N86" t="inlineStr">
        <is>
          <t>1983 – 1984 (15-month enrollment period)</t>
        </is>
      </c>
      <c r="O86" t="n">
        <v>1984</v>
      </c>
      <c r="P86" t="inlineStr">
        <is>
          <t>AFDC recipients in Maine (female, long-term welfare recipients)</t>
        </is>
      </c>
      <c r="Q86" t="n">
        <v>30.1</v>
      </c>
      <c r="R86" t="n">
        <v>0</v>
      </c>
      <c r="S86" t="n">
        <v>97.90000000000001</v>
      </c>
      <c r="T86" t="n">
        <v>1.2</v>
      </c>
      <c r="U86" t="n">
        <v>0.5</v>
      </c>
      <c r="V86" t="n">
        <v>25.5</v>
      </c>
      <c r="W86" t="n">
        <v>11.3</v>
      </c>
      <c r="X86" t="inlineStr">
        <is>
          <t>Volunteers from AFDC caseload recruited by WEET staff; staff screened applicants for suitability. Small sample reflects staff selectivity and limited interest among AFDC recipients. 2:1 T:C randomization ratio.</t>
        </is>
      </c>
      <c r="Z86" t="n">
        <v>297</v>
      </c>
      <c r="AA86" t="n">
        <v>147</v>
      </c>
      <c r="AK86" t="inlineStr">
        <is>
          <t>UI wage records</t>
        </is>
      </c>
      <c r="AL86" t="n">
        <v>1.5</v>
      </c>
      <c r="AQ86" t="n">
        <v>555</v>
      </c>
      <c r="AT86" t="n">
        <v>2300</v>
      </c>
      <c r="AU86" t="inlineStr">
        <is>
          <t>cumulative over quarters 2-6 (1985 dollars)</t>
        </is>
      </c>
      <c r="AV86" t="n">
        <v>2.75</v>
      </c>
      <c r="BA86" t="n">
        <v>1190</v>
      </c>
      <c r="BC86" t="inlineStr">
        <is>
          <t>**</t>
        </is>
      </c>
      <c r="BD86" t="n">
        <v>3298</v>
      </c>
      <c r="BE86" t="inlineStr">
        <is>
          <t>cumulative over quarters 7-11 (1985 dollars)</t>
        </is>
      </c>
      <c r="BP86" t="inlineStr">
        <is>
          <t>Auspos, Cave, and Long (1988), 'Maine: Final Report on the Training Opportunities in the Private Sector Program,' MDRC. Table 1 (exec summary pp.xix-xx) for impacts; exec summary pp.xvii-xviii for earnings text; Table 2.3 (pp.24-25) for demographics; exec summary p.xxvi for cost.</t>
        </is>
      </c>
      <c r="BQ86" t="inlineStr">
        <is>
          <t>Earnings from UI wage records in 1985 dollars, including zeros for non-employed. ST Q2-6 is in-program period ($555, not significant); MT Q7-11 is post-program period ($1,190**). Full follow-up Q2-11: $1,745 total ($1,745/$5,599 = 31.2% of control mean). Employment impacts not entered because paper reports only 'ever employed' cumulative rates and quarterly rates without clear significance for summary measures. Quarterly employment diffs: Q5=+8.6*, Q10=+11.1**. N=444 total (297 T, 147 C) with 2:1 randomization ratio. SEs not reported in this 1980s MDRC report — only significance stars. Cost is total program cost per experimental in 1985 dollars; net cost after subtracting control group services = $2,244. Nearly all sample members white (98%), reflecting Maine demographics. Displaced homemaker population: relatively well-educated but limited recent employment history.</t>
        </is>
      </c>
      <c r="BR86" t="n">
        <v>2627</v>
      </c>
      <c r="BU86" t="inlineStr">
        <is>
          <t>ME</t>
        </is>
      </c>
      <c r="BV86" t="inlineStr">
        <is>
          <t>rural</t>
        </is>
      </c>
      <c r="BW86" t="n">
        <v>0</v>
      </c>
      <c r="BX86" t="n">
        <v>0</v>
      </c>
      <c r="BY86" t="n">
        <v>0</v>
      </c>
      <c r="BZ86" t="n">
        <v>0</v>
      </c>
      <c r="CA86" t="n">
        <v>0</v>
      </c>
      <c r="CB86" t="n">
        <v>0</v>
      </c>
      <c r="CC86" t="n">
        <v>0</v>
      </c>
      <c r="CD86" t="n">
        <v>0</v>
      </c>
      <c r="CE86" t="n">
        <v>67.2</v>
      </c>
      <c r="CF86" t="n">
        <v>22.4</v>
      </c>
      <c r="CG86" t="n">
        <v>41.2</v>
      </c>
      <c r="CH86" t="n">
        <v>51.7</v>
      </c>
      <c r="CI86" t="n">
        <v>8</v>
      </c>
    </row>
    <row r="87" ht="44.1" customHeight="1">
      <c r="A87" t="inlineStr">
        <is>
          <t>New Jersey Grant Diversion</t>
        </is>
      </c>
      <c r="B87" t="inlineStr">
        <is>
          <t>New Jersey</t>
        </is>
      </c>
      <c r="C87" s="13" t="inlineStr">
        <is>
          <t>NJGD-New Jersey</t>
        </is>
      </c>
      <c r="D87" t="inlineStr">
        <is>
          <t>On-the-job training (OJT) program using grant diversion: AFDC grants were diverted to subsidize wages for OJT positions at private employers. Approximately 43% of experimentals worked in an OJT position. Both groups had access to standard WIN/JTPA services.</t>
        </is>
      </c>
      <c r="E87" t="inlineStr">
        <is>
          <t>primary</t>
        </is>
      </c>
      <c r="F87" t="n">
        <v>0</v>
      </c>
      <c r="G87" t="n">
        <v>1</v>
      </c>
      <c r="H87" t="n">
        <v>0</v>
      </c>
      <c r="I87" t="n">
        <v>0</v>
      </c>
      <c r="J87" t="inlineStr">
        <is>
          <t>AFDC grant diversion mechanism (welfare grants redirected to subsidize OJT wages)</t>
        </is>
      </c>
      <c r="K87" t="inlineStr">
        <is>
          <t>voluntary</t>
        </is>
      </c>
      <c r="L87" t="inlineStr">
        <is>
          <t>public</t>
        </is>
      </c>
      <c r="M87" t="inlineStr">
        <is>
          <t>public</t>
        </is>
      </c>
      <c r="N87" t="inlineStr">
        <is>
          <t>October 1984 – June 1986</t>
        </is>
      </c>
      <c r="O87" t="n">
        <v>1985.625</v>
      </c>
      <c r="P87" t="inlineStr">
        <is>
          <t>AFDC recipients</t>
        </is>
      </c>
      <c r="Q87" t="n">
        <v>32.1</v>
      </c>
      <c r="R87" t="n">
        <v>3.9</v>
      </c>
      <c r="S87" t="n">
        <v>16.2</v>
      </c>
      <c r="T87" t="n">
        <v>70.3</v>
      </c>
      <c r="U87" t="n">
        <v>13.1</v>
      </c>
      <c r="V87" t="n">
        <v>40.1</v>
      </c>
      <c r="W87" t="n">
        <v>11.3</v>
      </c>
      <c r="X87" t="inlineStr">
        <is>
          <t>Volunteers from AFDC caseload. Almost entirely Black and Hispanic single mothers. 60% had HS diploma or GED.</t>
        </is>
      </c>
      <c r="Z87" t="n">
        <v>814</v>
      </c>
      <c r="AA87" t="n">
        <v>790</v>
      </c>
      <c r="AK87" t="inlineStr">
        <is>
          <t>UI wage records</t>
        </is>
      </c>
      <c r="AL87" t="n">
        <v>1</v>
      </c>
      <c r="AM87" t="n">
        <v>7.4</v>
      </c>
      <c r="AO87" t="inlineStr">
        <is>
          <t>***</t>
        </is>
      </c>
      <c r="AP87" t="n">
        <v>74.7</v>
      </c>
      <c r="AQ87" t="n">
        <v>634.28</v>
      </c>
      <c r="AS87" t="inlineStr">
        <is>
          <t>***</t>
        </is>
      </c>
      <c r="AT87" t="n">
        <v>2865.78</v>
      </c>
      <c r="AU87" t="inlineStr">
        <is>
          <t>cumulative over quarters 1-4 (1986 dollars)</t>
        </is>
      </c>
      <c r="AV87" t="n">
        <v>1.75</v>
      </c>
      <c r="BA87" t="n">
        <v>468.32</v>
      </c>
      <c r="BC87" t="inlineStr">
        <is>
          <t>*</t>
        </is>
      </c>
      <c r="BD87" t="n">
        <v>3159.1</v>
      </c>
      <c r="BE87" t="inlineStr">
        <is>
          <t>cumulative over quarters 5-7 (1986 dollars)</t>
        </is>
      </c>
      <c r="BP87" t="inlineStr">
        <is>
          <t>Freedman, Bryant, and Cave (1988), 'New Jersey: Final Report on the Grant Diversion Project,' MDRC. Table 1 (p.11) for ST impacts; Table 2 (p.13) for MT impacts; Table 3 (p.15) for costs; Executive summary for demographics. Table 2.3 (Selected Characteristics of the Early, Later and Full Samples), pp. 22-24, Full Sample column (N=1,943).</t>
        </is>
      </c>
      <c r="BQ87" t="inlineStr">
        <is>
          <t>Earnings from UI wage records in 1986 dollars, including zeros. ST sample (N=1,604: 814 T, 790 C) has 4-quarter follow-up. MT sample (N=994: 508 T, 486 C) is early cohort with 7-8 quarter follow-up. SEs not reported — only significance stars from two-tailed t-tests. Cost: net cost $860 per experimental; gross cost $1,642 per experimental (1986 dollars). Net cost used (deducts control group service costs). Employment impact is 'ever employed' rate Q1-4. Demographics approximate: almost entirely Black/Hispanic single mothers, ~60% HS diploma/GED, 83% had worked before. Precise race/age breakdowns not extracted due to OCR quality of scanned PDF. Demographics from Freedman, Bryant &amp; Cave 1988 Table 2.3 Full Sample (N=1,943): Female 96.1%, Avg Age 32.1, White non-Hisp 16.2%, Black non-Hisp 70.3%, Hispanic 13.1%, Degree None 40.1%, Avg Highest Grade Completed 11.3. Randomization period corrected to October 1984 – June 1986 per Table 2.2, p. 20.</t>
        </is>
      </c>
      <c r="BR87" t="n">
        <v>860</v>
      </c>
      <c r="BU87" t="inlineStr">
        <is>
          <t>NJ</t>
        </is>
      </c>
      <c r="BV87" t="inlineStr">
        <is>
          <t>urban</t>
        </is>
      </c>
      <c r="BW87" t="n">
        <v>0</v>
      </c>
      <c r="BX87" t="n">
        <v>0</v>
      </c>
      <c r="BY87" t="n">
        <v>0</v>
      </c>
      <c r="BZ87" t="n">
        <v>0</v>
      </c>
      <c r="CA87" t="n">
        <v>0</v>
      </c>
      <c r="CB87" t="n">
        <v>0</v>
      </c>
      <c r="CC87" t="n">
        <v>0</v>
      </c>
      <c r="CD87" t="n">
        <v>0</v>
      </c>
      <c r="CE87" t="n">
        <v>43</v>
      </c>
      <c r="CF87" t="n">
        <v>0</v>
      </c>
      <c r="CG87" t="n">
        <v>10.9</v>
      </c>
      <c r="CH87" t="n">
        <v>73</v>
      </c>
      <c r="CI87" t="n">
        <v>6</v>
      </c>
    </row>
    <row r="88" ht="44.1" customHeight="1">
      <c r="A88" t="inlineStr">
        <is>
          <t>Virginia Employment Services Program</t>
        </is>
      </c>
      <c r="B88" t="inlineStr">
        <is>
          <t>Virginia (statewide)</t>
        </is>
      </c>
      <c r="C88" s="13" t="inlineStr">
        <is>
          <t>VESP-Virginia (statewide)</t>
        </is>
      </c>
      <c r="D88" t="inlineStr">
        <is>
          <t>Statewide mandatory welfare employment program (ESP) emphasizing job search as the primary activity (~50% participated). Also included work experience (~10%) and education/vocational training referrals (~12%). Training referrals did not differ between experimental and control groups.</t>
        </is>
      </c>
      <c r="E88" t="inlineStr">
        <is>
          <t>secondary</t>
        </is>
      </c>
      <c r="F88" t="n">
        <v>1</v>
      </c>
      <c r="G88" t="n">
        <v>0</v>
      </c>
      <c r="H88" t="n">
        <v>1</v>
      </c>
      <c r="I88" t="n">
        <v>1</v>
      </c>
      <c r="J88" t="inlineStr">
        <is>
          <t>Work experience (~10%)</t>
        </is>
      </c>
      <c r="K88" t="inlineStr">
        <is>
          <t>mandatory</t>
        </is>
      </c>
      <c r="L88" t="inlineStr">
        <is>
          <t>public</t>
        </is>
      </c>
      <c r="M88" t="inlineStr">
        <is>
          <t>public</t>
        </is>
      </c>
      <c r="N88" t="inlineStr">
        <is>
          <t>1983 – 1984</t>
        </is>
      </c>
      <c r="O88" t="n">
        <v>1984</v>
      </c>
      <c r="P88" t="inlineStr">
        <is>
          <t>AFDC applicants and recipients</t>
        </is>
      </c>
      <c r="S88" t="n">
        <v>33</v>
      </c>
      <c r="T88" t="n">
        <v>67</v>
      </c>
      <c r="V88" t="n">
        <v>50</v>
      </c>
      <c r="X88" t="inlineStr">
        <is>
          <t>All WIN-mandatory AFDC applicants (40%) and recipients (60%) statewide.</t>
        </is>
      </c>
      <c r="Z88" t="n">
        <v>1592</v>
      </c>
      <c r="AA88" t="n">
        <v>1592</v>
      </c>
      <c r="AK88" t="inlineStr">
        <is>
          <t>UI wage records</t>
        </is>
      </c>
      <c r="AL88" t="n">
        <v>0.75</v>
      </c>
      <c r="AM88" t="n">
        <v>3.3</v>
      </c>
      <c r="AO88" t="inlineStr">
        <is>
          <t>*</t>
        </is>
      </c>
      <c r="AP88" t="n">
        <v>40.5</v>
      </c>
      <c r="AQ88" t="n">
        <v>80.89</v>
      </c>
      <c r="AT88" t="n">
        <v>1038.16</v>
      </c>
      <c r="AU88" t="inlineStr">
        <is>
          <t>cumulative over quarters 2-4 (nominal dollars)</t>
        </is>
      </c>
      <c r="BP88" t="inlineStr">
        <is>
          <t>Riccio et al. (1986), 'Virginia: Final Report on the Virginia Employment Services Program,' MDRC. Table 1 (exec summary p.11) for impacts; Table 2 (p.12) for subgroup impacts; exec summary for demographics and cost.</t>
        </is>
      </c>
      <c r="BQ88" t="inlineStr">
        <is>
          <t>Earnings from UI wage records, nominal dollars, including zeros. Only 9-month (3-quarter) follow-up available — classified as short-term. Earnings impact not statistically significant ($80.89, p&gt;0.10). Employment impact significant at 10% level (+3.3*). SEs not reported — only significance stars. N=3,184 total (1,592 T, 1,592 C). N estimated as half of total. Cost: $388 per experimental, gross (nominal dollars). Demographics approximate: primarily single female heads of household, two-thirds nonwhite (Black), 80% age 25-44, over half HS dropouts. Training referral rates did not differ between groups — training was not an effective distinguishing feature of the treatment.</t>
        </is>
      </c>
      <c r="BR88" t="n">
        <v>388</v>
      </c>
      <c r="BU88" t="inlineStr">
        <is>
          <t>VA</t>
        </is>
      </c>
      <c r="BV88" t="inlineStr">
        <is>
          <t>urban</t>
        </is>
      </c>
      <c r="BW88" t="n">
        <v>0</v>
      </c>
      <c r="BX88" t="n">
        <v>0</v>
      </c>
      <c r="BY88" t="n">
        <v>0</v>
      </c>
      <c r="BZ88" t="n">
        <v>0</v>
      </c>
      <c r="CA88" t="n">
        <v>0</v>
      </c>
      <c r="CB88" t="n">
        <v>0</v>
      </c>
      <c r="CC88" t="n">
        <v>0</v>
      </c>
      <c r="CD88" t="n">
        <v>0</v>
      </c>
      <c r="CE88" t="n">
        <v>58.3</v>
      </c>
      <c r="CF88" t="n">
        <v>0</v>
      </c>
      <c r="CG88" t="n">
        <v>3.1</v>
      </c>
      <c r="CH88" t="n">
        <v>12.7</v>
      </c>
    </row>
    <row r="89" ht="44.1" customHeight="1">
      <c r="A89" t="inlineStr">
        <is>
          <t>Project QUEST</t>
        </is>
      </c>
      <c r="B89" t="inlineStr">
        <is>
          <t>San Antonio</t>
        </is>
      </c>
      <c r="C89" s="13" t="inlineStr">
        <is>
          <t>QUEST</t>
        </is>
      </c>
      <c r="D89" t="inlineStr">
        <is>
          <t>Sectoral training program: financial assistance for community college health-care career track programs (licensed vocational nursing 60%, medical records coding 25%, registered nursing/technician 15%). Services include tuition support, remedial instruction in math and reading, academic and personal counseling, referrals for support services, weekly life-skills workshops, and job placement assistance. Program duration typically 1-2 years.</t>
        </is>
      </c>
      <c r="E89" t="inlineStr">
        <is>
          <t>primary</t>
        </is>
      </c>
      <c r="F89" t="n">
        <v>1</v>
      </c>
      <c r="G89" t="n">
        <v>0</v>
      </c>
      <c r="H89" t="n">
        <v>1</v>
      </c>
      <c r="I89" t="n">
        <v>1</v>
      </c>
      <c r="J89" t="inlineStr">
        <is>
          <t>Financial assistance (tuition, books, transportation, certification exams), remedial education, academic/personal counseling, support service referrals, life skills workshops</t>
        </is>
      </c>
      <c r="K89" t="inlineStr">
        <is>
          <t>voluntary</t>
        </is>
      </c>
      <c r="L89" t="inlineStr">
        <is>
          <t>mixed</t>
        </is>
      </c>
      <c r="M89" t="inlineStr">
        <is>
          <t>private</t>
        </is>
      </c>
      <c r="N89" t="inlineStr">
        <is>
          <t>April 2006 – October 2008</t>
        </is>
      </c>
      <c r="O89" t="n">
        <v>2007.542</v>
      </c>
      <c r="P89" t="inlineStr">
        <is>
          <t>Low-income adults pursuing healthcare careers</t>
        </is>
      </c>
      <c r="R89" t="n">
        <v>11.7</v>
      </c>
      <c r="S89" t="n">
        <v>9.5</v>
      </c>
      <c r="T89" t="n">
        <v>13.9</v>
      </c>
      <c r="U89" t="n">
        <v>74.09999999999999</v>
      </c>
      <c r="V89" t="n">
        <v>0</v>
      </c>
      <c r="X89" t="inlineStr">
        <is>
          <t>Thorough screening by QUEST staff: applicants evaluated for eligibility, aptitudes, and interests; developed academic and budget plans; staff recommended for enrollment after interview. Only recommended applicants submitted for random assignment.</t>
        </is>
      </c>
      <c r="Z89" t="n">
        <v>207</v>
      </c>
      <c r="AA89" t="n">
        <v>203</v>
      </c>
      <c r="AK89" t="inlineStr">
        <is>
          <t>Texas Workforce Commission UI wage records</t>
        </is>
      </c>
      <c r="AL89" t="n">
        <v>1</v>
      </c>
      <c r="AM89" t="n">
        <v>-2.4</v>
      </c>
      <c r="AN89" t="n">
        <v>3.5</v>
      </c>
      <c r="AQ89" t="n">
        <v>-2905</v>
      </c>
      <c r="AR89" t="n">
        <v>962</v>
      </c>
      <c r="AS89" t="inlineStr">
        <is>
          <t>***</t>
        </is>
      </c>
      <c r="AT89" t="n">
        <v>13575</v>
      </c>
      <c r="AU89" t="inlineStr">
        <is>
          <t>annual (constant 2019 dollars)</t>
        </is>
      </c>
      <c r="AV89" t="n">
        <v>2</v>
      </c>
      <c r="AW89" t="n">
        <v>-2.8</v>
      </c>
      <c r="AX89" t="n">
        <v>3.8</v>
      </c>
      <c r="BA89" t="n">
        <v>-2866</v>
      </c>
      <c r="BB89" t="n">
        <v>1238</v>
      </c>
      <c r="BC89" t="inlineStr">
        <is>
          <t>**</t>
        </is>
      </c>
      <c r="BD89" t="n">
        <v>16215</v>
      </c>
      <c r="BE89" t="inlineStr">
        <is>
          <t>annual (constant 2019 dollars)</t>
        </is>
      </c>
      <c r="BF89" t="n">
        <v>6</v>
      </c>
      <c r="BG89" t="n">
        <v>3.5</v>
      </c>
      <c r="BH89" t="n">
        <v>3.6</v>
      </c>
      <c r="BK89" t="n">
        <v>5754</v>
      </c>
      <c r="BL89" t="n">
        <v>2132</v>
      </c>
      <c r="BM89" t="inlineStr">
        <is>
          <t>***</t>
        </is>
      </c>
      <c r="BN89" t="n">
        <v>22400</v>
      </c>
      <c r="BO89" t="inlineStr">
        <is>
          <t>annual (constant 2019 dollars)</t>
        </is>
      </c>
      <c r="BP89" t="inlineStr">
        <is>
          <t>Roder and Elliott (2021), 'Eleven Year Gains: Project QUEST's Investment Continues to Pay Dividends,' Economic Mobility Corporation. Table A3 (p.25) for regression-adjusted impacts with SEs and p-values; Table 1 (p.6) for demographics; Table 2 (p.18) for costs; Figure 3 (p.7) for annual earnings levels.</t>
        </is>
      </c>
      <c r="BQ89" t="inlineStr">
        <is>
          <t>Annual earnings from Texas Workforce Commission UI wage records in constant 2019 dollars. SEs and p-values reported directly in Table A3. Years 1-2 show negative earnings impacts (lock-in effect: participants reducing work to attend training). Positive impacts emerge Year 3+. Year 6 chosen for LT as highest significant impact ($5,754***). 11-year cumulative impact: $31,395* (SE=$17,112, p=0.067). Employment impacts generally not significant except Years 5 (6.6%*), 10 (9.2%**), and 11 (10.1%**). Employment control means not available from report. Cost: $12,464 per participant (QUEST program cost, 2019 dollars); net total cost including differential college costs = $13,979. pct_no_hs_diploma=0: 25.1% had GED, 70.2% had HS diploma, 4.6% had college degree — essentially all had at least HS credential. Mean age not reported precisely; distribution: 31% age 18-24, 69% age 25-64.</t>
        </is>
      </c>
      <c r="BR89" t="n">
        <v>12464</v>
      </c>
      <c r="BS89" t="n">
        <v>31395</v>
      </c>
      <c r="BT89" t="inlineStr">
        <is>
          <t>Roder and Elliott 2021, Table 2 (p.17). Net earnings benefit = $31,395 (2019$, 11-year cumulative, not discounted). Net costs = $13,979 (QUEST program + differential college costs). Net benefit = $17,416. Fringe benefits not quantified but noted as additional.</t>
        </is>
      </c>
      <c r="BU89" t="inlineStr">
        <is>
          <t>TX</t>
        </is>
      </c>
      <c r="BV89" t="inlineStr">
        <is>
          <t>urban</t>
        </is>
      </c>
      <c r="BW89" t="n">
        <v>0</v>
      </c>
      <c r="BX89" t="n">
        <v>1</v>
      </c>
      <c r="BY89" t="n">
        <v>1</v>
      </c>
      <c r="BZ89" t="n">
        <v>0</v>
      </c>
      <c r="CA89" t="n">
        <v>1</v>
      </c>
      <c r="CB89" t="n">
        <v>1</v>
      </c>
      <c r="CC89" t="n">
        <v>1</v>
      </c>
      <c r="CD89" t="n">
        <v>0</v>
      </c>
      <c r="CF89" t="n">
        <v>0</v>
      </c>
      <c r="CG89" t="n">
        <v>8.1</v>
      </c>
      <c r="CH89" t="n">
        <v>66.7</v>
      </c>
      <c r="CI89" t="n">
        <v>12.4</v>
      </c>
    </row>
    <row r="90" ht="44.1" customHeight="1">
      <c r="A90" t="inlineStr">
        <is>
          <t>WIA Gold Standard</t>
        </is>
      </c>
      <c r="B90" t="inlineStr">
        <is>
          <t>Adults</t>
        </is>
      </c>
      <c r="C90" s="13" t="inlineStr">
        <is>
          <t>WIA-Adult</t>
        </is>
      </c>
      <c r="D90" t="inlineStr">
        <is>
          <t>Full WIA services (core + intensive + training) vs core-and-intensive services. The key difference is WIA-funded occupational training at community colleges and training providers, funded through Individual Training Accounts (ITAs). Full-WIA customers also received workshops, assessments, one-on-one counseling, and supportive services, but so did the core-and-intensive group.</t>
        </is>
      </c>
      <c r="E90" t="inlineStr">
        <is>
          <t>primary</t>
        </is>
      </c>
      <c r="F90" t="n">
        <v>1</v>
      </c>
      <c r="G90" t="n">
        <v>0</v>
      </c>
      <c r="H90" t="n">
        <v>1</v>
      </c>
      <c r="I90" t="n">
        <v>1</v>
      </c>
      <c r="J90" t="inlineStr">
        <is>
          <t>Intensive services (assessments, counseling), supportive services (transportation assistance)</t>
        </is>
      </c>
      <c r="K90" t="inlineStr">
        <is>
          <t>voluntary</t>
        </is>
      </c>
      <c r="L90" t="inlineStr">
        <is>
          <t>public</t>
        </is>
      </c>
      <c r="M90" t="inlineStr">
        <is>
          <t>public</t>
        </is>
      </c>
      <c r="N90" t="inlineStr">
        <is>
          <t>2011 – 2013</t>
        </is>
      </c>
      <c r="O90" t="n">
        <v>2012.5</v>
      </c>
      <c r="P90" t="inlineStr">
        <is>
          <t>WIA Adult program customers eligible for intensive services</t>
        </is>
      </c>
      <c r="R90" t="n">
        <v>39</v>
      </c>
      <c r="S90" t="n">
        <v>34</v>
      </c>
      <c r="T90" t="n">
        <v>44</v>
      </c>
      <c r="U90" t="n">
        <v>14</v>
      </c>
      <c r="V90" t="n">
        <v>10</v>
      </c>
      <c r="X90" t="inlineStr">
        <is>
          <t>Customers who had been found eligible for intensive services at American Job Centers, many of whom were unsuccessful in finding jobs with core services alone. More disadvantaged than typical WIA customers.</t>
        </is>
      </c>
      <c r="Z90" t="n">
        <v>18558</v>
      </c>
      <c r="AA90" t="n">
        <v>1214</v>
      </c>
      <c r="AK90" t="inlineStr">
        <is>
          <t>National Directory of New Hires (NDNH)</t>
        </is>
      </c>
      <c r="AL90" t="n">
        <v>1</v>
      </c>
      <c r="AM90" t="n">
        <v>-4.3</v>
      </c>
      <c r="AP90" t="n">
        <v>63.7</v>
      </c>
      <c r="AQ90" t="n">
        <v>-323</v>
      </c>
      <c r="AR90" t="n">
        <v>194.6</v>
      </c>
      <c r="AT90" t="n">
        <v>3209</v>
      </c>
      <c r="AU90" t="inlineStr">
        <is>
          <t>quarterly</t>
        </is>
      </c>
      <c r="AV90" t="n">
        <v>2</v>
      </c>
      <c r="AW90" t="n">
        <v>-1.5</v>
      </c>
      <c r="AZ90" t="n">
        <v>67.09999999999999</v>
      </c>
      <c r="BA90" t="n">
        <v>-420</v>
      </c>
      <c r="BB90" t="n">
        <v>207.5</v>
      </c>
      <c r="BC90" t="inlineStr">
        <is>
          <t>*</t>
        </is>
      </c>
      <c r="BD90" t="n">
        <v>4125</v>
      </c>
      <c r="BE90" t="inlineStr">
        <is>
          <t>quarterly</t>
        </is>
      </c>
      <c r="BF90" t="n">
        <v>3</v>
      </c>
      <c r="BG90" t="n">
        <v>0.7</v>
      </c>
      <c r="BJ90" t="n">
        <v>67.7</v>
      </c>
      <c r="BK90" t="n">
        <v>-143</v>
      </c>
      <c r="BL90" t="n">
        <v>272.2</v>
      </c>
      <c r="BN90" t="n">
        <v>4432</v>
      </c>
      <c r="BO90" t="inlineStr">
        <is>
          <t>quarterly</t>
        </is>
      </c>
      <c r="BP90" t="inlineStr">
        <is>
          <t>Rotz et al. (2017), Technical Supplement to 'Providing Public Workforce Services to Job Seekers: 30-Month Impact Findings on the WIA Adult and Dislocated Worker Programs.' Table G.VI.1 (NDNH earnings, adults), Table G.VI.2 (NDNH employment, adults). Fortson et al. (2017), main report, for demographics, cost, and training enrollment rates.</t>
        </is>
      </c>
      <c r="BQ90" t="inlineStr">
        <is>
          <t>NDNH quarterly earnings and employment in 2012 dollars. Three-arm design: Full-WIA vs Core-and-Intensive vs Core. Reported comparison is Full-WIA vs Core-and-Intensive (F-C&amp;I), isolating effect of WIA-funded training. Earnings: Q4, Q8, Q12 mapped to ST, MT, LT. Employment: average of quarterly F-C&amp;I impacts over Q1-4, Q5-8, Q9-12 mapped to ST, MT, LT; SEs not computed for averaged employment. All point estimates negative or null: training access did not improve NDNH earnings or employment for adults. N: F=18,558, C&amp;I=1,214 (NDNH full sample, not restricted to survey respondents). Cost: net cost $980 per customer = Full-WIA ($4,111) minus Core ($3,131) from Table VIII.1 (2012 dollars); C&amp;I cost not separately reported so F-C differential used as approximation.</t>
        </is>
      </c>
      <c r="BR90" t="n">
        <v>980</v>
      </c>
      <c r="BS90" t="n">
        <v>6660</v>
      </c>
      <c r="BT90" t="inlineStr">
        <is>
          <t>Fortson et al. 2017, Table VIII.7 (p.165). Social perspective, Full-WIA vs Core: earnings $5,100 + fringe benefits $1,560 = $6,660 (2012$, 30-month). Net social benefit = $5,808.</t>
        </is>
      </c>
      <c r="BU90" t="inlineStr">
        <is>
          <t>multiple</t>
        </is>
      </c>
      <c r="BV90" t="inlineStr">
        <is>
          <t>urban</t>
        </is>
      </c>
      <c r="BW90" t="n">
        <v>0</v>
      </c>
      <c r="BX90" t="n">
        <v>0</v>
      </c>
      <c r="BY90" t="n">
        <v>0</v>
      </c>
      <c r="BZ90" t="n">
        <v>0</v>
      </c>
      <c r="CA90" t="n">
        <v>0</v>
      </c>
      <c r="CB90" t="n">
        <v>0</v>
      </c>
      <c r="CC90" t="n">
        <v>0</v>
      </c>
      <c r="CD90" t="n">
        <v>0</v>
      </c>
      <c r="CG90" t="n">
        <v>7</v>
      </c>
      <c r="CH90" t="n">
        <v>40</v>
      </c>
      <c r="CI90" t="n">
        <v>5</v>
      </c>
    </row>
    <row r="91" ht="44.1" customHeight="1">
      <c r="A91" t="inlineStr">
        <is>
          <t>WIA Gold Standard</t>
        </is>
      </c>
      <c r="B91" t="inlineStr">
        <is>
          <t>Dislocated Workers</t>
        </is>
      </c>
      <c r="C91" s="13" t="inlineStr">
        <is>
          <t>WIA-Dislocated</t>
        </is>
      </c>
      <c r="D91" t="inlineStr">
        <is>
          <t>Full WIA services (core + intensive + training) vs core-and-intensive services. Same intervention structure as WIA Adults but targeting dislocated workers. The key difference is WIA-funded occupational training.</t>
        </is>
      </c>
      <c r="E91" t="inlineStr">
        <is>
          <t>primary</t>
        </is>
      </c>
      <c r="F91" t="n">
        <v>1</v>
      </c>
      <c r="G91" t="n">
        <v>0</v>
      </c>
      <c r="H91" t="n">
        <v>1</v>
      </c>
      <c r="I91" t="n">
        <v>1</v>
      </c>
      <c r="J91" t="inlineStr">
        <is>
          <t>Intensive services (assessments, counseling), supportive services (transportation assistance)</t>
        </is>
      </c>
      <c r="K91" t="inlineStr">
        <is>
          <t>voluntary</t>
        </is>
      </c>
      <c r="L91" t="inlineStr">
        <is>
          <t>public</t>
        </is>
      </c>
      <c r="M91" t="inlineStr">
        <is>
          <t>public</t>
        </is>
      </c>
      <c r="N91" t="inlineStr">
        <is>
          <t>2011 – 2013</t>
        </is>
      </c>
      <c r="O91" t="n">
        <v>2012.5</v>
      </c>
      <c r="P91" t="inlineStr">
        <is>
          <t>WIA Dislocated Worker program customers eligible for intensive services</t>
        </is>
      </c>
      <c r="R91" t="n">
        <v>40</v>
      </c>
      <c r="S91" t="n">
        <v>42</v>
      </c>
      <c r="T91" t="n">
        <v>44</v>
      </c>
      <c r="U91" t="n">
        <v>9</v>
      </c>
      <c r="V91" t="n">
        <v>4</v>
      </c>
      <c r="X91" t="inlineStr">
        <is>
          <t>Dislocated workers who had been found eligible for intensive services at American Job Centers. More educated and with more recent work experience than adult customers.</t>
        </is>
      </c>
      <c r="Z91" t="n">
        <v>11152</v>
      </c>
      <c r="AA91" t="n">
        <v>820</v>
      </c>
      <c r="AK91" t="inlineStr">
        <is>
          <t>National Directory of New Hires (NDNH)</t>
        </is>
      </c>
      <c r="AL91" t="n">
        <v>1</v>
      </c>
      <c r="AM91" t="n">
        <v>-2.3</v>
      </c>
      <c r="AP91" t="n">
        <v>57.6</v>
      </c>
      <c r="AQ91" t="n">
        <v>95</v>
      </c>
      <c r="AR91" t="n">
        <v>184.3</v>
      </c>
      <c r="AT91" t="n">
        <v>4184</v>
      </c>
      <c r="AU91" t="inlineStr">
        <is>
          <t>quarterly</t>
        </is>
      </c>
      <c r="AV91" t="n">
        <v>2</v>
      </c>
      <c r="AW91" t="n">
        <v>-1.9</v>
      </c>
      <c r="AZ91" t="n">
        <v>72.59999999999999</v>
      </c>
      <c r="BA91" t="n">
        <v>360</v>
      </c>
      <c r="BB91" t="n">
        <v>348.1</v>
      </c>
      <c r="BD91" t="n">
        <v>4932</v>
      </c>
      <c r="BE91" t="inlineStr">
        <is>
          <t>quarterly</t>
        </is>
      </c>
      <c r="BF91" t="n">
        <v>3</v>
      </c>
      <c r="BG91" t="n">
        <v>-2.2</v>
      </c>
      <c r="BJ91" t="n">
        <v>76.40000000000001</v>
      </c>
      <c r="BK91" t="n">
        <v>526</v>
      </c>
      <c r="BL91" t="n">
        <v>439.1</v>
      </c>
      <c r="BN91" t="n">
        <v>5374</v>
      </c>
      <c r="BO91" t="inlineStr">
        <is>
          <t>quarterly</t>
        </is>
      </c>
      <c r="BP91" t="inlineStr">
        <is>
          <t>Rotz et al. (2017), Technical Supplement. Table H.VI.1 (NDNH earnings, dislocated workers), Table H.VI.2 (NDNH employment, dislocated workers). Fortson et al. (2017), main report, for demographics, cost, and training enrollment rates.</t>
        </is>
      </c>
      <c r="BQ91" t="inlineStr">
        <is>
          <t>NDNH quarterly earnings and employment in 2012 dollars. Three-arm design: Full-WIA vs Core-and-Intensive vs Core. Reported comparison is Full-WIA vs Core-and-Intensive (F-C&amp;I), isolating effect of WIA-funded training. Earnings: Q4, Q8, Q12 mapped to ST, MT, LT. Employment: average of quarterly F-C&amp;I impacts over Q1-4, Q5-8, Q9-12 mapped to ST, MT, LT; SEs not computed for averaged employment. All earnings impacts positive but none significant. N: F=11,152, C&amp;I=820 (NDNH full sample). Cost: net cost $980 per customer (same as adults — costs reported for all customers combined). DW were more educated and had more recent work history than adults.</t>
        </is>
      </c>
      <c r="BR91" t="n">
        <v>980</v>
      </c>
      <c r="BS91" t="n">
        <v>1217</v>
      </c>
      <c r="BT91" t="inlineStr">
        <is>
          <t>Fortson et al. 2017, Table VIII.7 (p.165). Social perspective, Full-WIA vs Core: earnings $932 + fringe benefits $285 = $1,217 (2012$, 30-month). Net social benefit = $92.</t>
        </is>
      </c>
      <c r="BU91" t="inlineStr">
        <is>
          <t>multiple</t>
        </is>
      </c>
      <c r="BV91" t="inlineStr">
        <is>
          <t>urban</t>
        </is>
      </c>
      <c r="BW91" t="n">
        <v>0</v>
      </c>
      <c r="BX91" t="n">
        <v>0</v>
      </c>
      <c r="BY91" t="n">
        <v>0</v>
      </c>
      <c r="BZ91" t="n">
        <v>0</v>
      </c>
      <c r="CA91" t="n">
        <v>0</v>
      </c>
      <c r="CB91" t="n">
        <v>0</v>
      </c>
      <c r="CC91" t="n">
        <v>0</v>
      </c>
      <c r="CD91" t="n">
        <v>0</v>
      </c>
      <c r="CG91" t="n">
        <v>11</v>
      </c>
      <c r="CH91" t="n">
        <v>43</v>
      </c>
      <c r="CI91" t="n">
        <v>5</v>
      </c>
    </row>
    <row r="92" ht="44.1" customHeight="1">
      <c r="A92" t="inlineStr">
        <is>
          <t>Employment Retention and Advancement (ERA)</t>
        </is>
      </c>
      <c r="B92" t="inlineStr">
        <is>
          <t>Chicago</t>
        </is>
      </c>
      <c r="C92" s="13" t="inlineStr">
        <is>
          <t>ERA-Chicago</t>
        </is>
      </c>
      <c r="D92" t="inlineStr">
        <is>
          <t>Mandatory work-focused advancement program offering targeted job search assistance and help to identify and access career ladders; provided by staff in a private, for-profit firm. Services included individualized career plans, referrals to education/training, and employer outreach (Hendra et al. 2010, Table 1.1, p. 3).</t>
        </is>
      </c>
      <c r="E92" t="inlineStr">
        <is>
          <t>secondary</t>
        </is>
      </c>
      <c r="F92" t="n">
        <v>0</v>
      </c>
      <c r="G92" t="n">
        <v>0</v>
      </c>
      <c r="H92" t="n">
        <v>1</v>
      </c>
      <c r="I92" t="n">
        <v>1</v>
      </c>
      <c r="J92" t="inlineStr">
        <is>
          <t>Career counseling, career ladder identification, employer outreach</t>
        </is>
      </c>
      <c r="K92" t="inlineStr">
        <is>
          <t>mandatory</t>
        </is>
      </c>
      <c r="L92" t="inlineStr">
        <is>
          <t>public</t>
        </is>
      </c>
      <c r="M92" t="inlineStr">
        <is>
          <t>private</t>
        </is>
      </c>
      <c r="N92" t="inlineStr">
        <is>
          <t>June 2002 – June 2003</t>
        </is>
      </c>
      <c r="O92" t="n">
        <v>2002.958</v>
      </c>
      <c r="P92" t="inlineStr">
        <is>
          <t>TANF recipients employed at least 30 hours/week for at least 6 consecutive months</t>
        </is>
      </c>
      <c r="Q92" t="n">
        <v>33.3</v>
      </c>
      <c r="R92" t="n">
        <v>0.7</v>
      </c>
      <c r="S92" t="n">
        <v>3.9</v>
      </c>
      <c r="T92" t="n">
        <v>87.5</v>
      </c>
      <c r="U92" t="n">
        <v>8</v>
      </c>
      <c r="V92" t="n">
        <v>55.8</v>
      </c>
      <c r="X92" t="inlineStr">
        <is>
          <t>TANF recipients meeting employment threshold</t>
        </is>
      </c>
      <c r="Z92" t="n">
        <v>854</v>
      </c>
      <c r="AA92" t="n">
        <v>874</v>
      </c>
      <c r="AK92" t="inlineStr">
        <is>
          <t>UI wage records</t>
        </is>
      </c>
      <c r="AL92" t="n">
        <v>1</v>
      </c>
      <c r="AM92" t="n">
        <v>2.4</v>
      </c>
      <c r="AN92" t="n">
        <v>1.4</v>
      </c>
      <c r="AO92" t="inlineStr">
        <is>
          <t>*</t>
        </is>
      </c>
      <c r="AP92" t="n">
        <v>55.3</v>
      </c>
      <c r="AQ92" t="n">
        <v>214</v>
      </c>
      <c r="AR92" t="n">
        <v>231</v>
      </c>
      <c r="AT92" t="n">
        <v>6008</v>
      </c>
      <c r="AU92" t="inlineStr">
        <is>
          <t>annual</t>
        </is>
      </c>
      <c r="AV92" t="n">
        <v>2</v>
      </c>
      <c r="AW92" t="n">
        <v>4.9</v>
      </c>
      <c r="AX92" t="n">
        <v>1.8</v>
      </c>
      <c r="AY92" t="inlineStr">
        <is>
          <t>***</t>
        </is>
      </c>
      <c r="AZ92" t="n">
        <v>50.1</v>
      </c>
      <c r="BA92" t="n">
        <v>591</v>
      </c>
      <c r="BB92" t="n">
        <v>298</v>
      </c>
      <c r="BC92" t="inlineStr">
        <is>
          <t>**</t>
        </is>
      </c>
      <c r="BD92" t="n">
        <v>5973</v>
      </c>
      <c r="BE92" t="inlineStr">
        <is>
          <t>annual</t>
        </is>
      </c>
      <c r="BF92" t="n">
        <v>4</v>
      </c>
      <c r="BG92" t="n">
        <v>1.7</v>
      </c>
      <c r="BH92" t="n">
        <v>1.9</v>
      </c>
      <c r="BJ92" t="n">
        <v>53.8</v>
      </c>
      <c r="BK92" t="n">
        <v>624</v>
      </c>
      <c r="BL92" t="n">
        <v>387</v>
      </c>
      <c r="BN92" t="n">
        <v>7511</v>
      </c>
      <c r="BO92" t="inlineStr">
        <is>
          <t>annual</t>
        </is>
      </c>
      <c r="BP92" t="inlineStr">
        <is>
          <t>Hendra, Dillman, Hamilton, Lundquist, Martinson, and Wavelet 2010 (MDRC), How Effective Are Different Approaches Aiming to Increase Employment Retention and Advancement?, Appendix Table B.2 (pp. 309-310); Table 4.2 (p. 110).</t>
        </is>
      </c>
      <c r="BQ92" t="inlineStr">
        <is>
          <t>Employment impact is average quarterly employment (percentage points). Year 1 = Q2-Q5 after RA. Cost data in separate publication (Redcross, Deitch, and Farrell 2009).</t>
        </is>
      </c>
      <c r="BS92" t="n">
        <v>2566</v>
      </c>
      <c r="BT92" t="inlineStr">
        <is>
          <t>Redcross, Deitch, and Farrell 2010, Table 5.1 (p.75). Social perspective: net earnings and fringe benefits = $2,566 (2008$, 5-year NPV at 5% discount rate). Net social value = $822.</t>
        </is>
      </c>
      <c r="BU92" t="inlineStr">
        <is>
          <t>IL</t>
        </is>
      </c>
      <c r="BV92" t="inlineStr">
        <is>
          <t>urban</t>
        </is>
      </c>
      <c r="BW92" t="n">
        <v>0</v>
      </c>
      <c r="BX92" t="n">
        <v>0</v>
      </c>
      <c r="BY92" t="n">
        <v>0</v>
      </c>
      <c r="BZ92" t="n">
        <v>0</v>
      </c>
      <c r="CA92" t="n">
        <v>0</v>
      </c>
      <c r="CB92" t="n">
        <v>0</v>
      </c>
      <c r="CC92" t="n">
        <v>0</v>
      </c>
      <c r="CD92" t="n">
        <v>0</v>
      </c>
      <c r="CE92" t="n">
        <v>24.5</v>
      </c>
      <c r="CF92" t="n">
        <v>12.6</v>
      </c>
      <c r="CG92" t="n">
        <v>-1.6</v>
      </c>
      <c r="CH92" t="n">
        <v>24.9</v>
      </c>
    </row>
    <row r="93" ht="44.1" customHeight="1">
      <c r="A93" t="inlineStr">
        <is>
          <t>Employment Retention and Advancement (ERA)</t>
        </is>
      </c>
      <c r="B93" t="inlineStr">
        <is>
          <t>Los Angeles RFS</t>
        </is>
      </c>
      <c r="C93" s="13" t="inlineStr">
        <is>
          <t>ERA-LA</t>
        </is>
      </c>
      <c r="D93" t="inlineStr">
        <is>
          <t>Voluntary, intensely marketed, individualized retention and advancement program; administered by welfare agency staff. Included individualized career plans, retention services, and referrals to education and training (Hendra et al. 2010, Table 1.1, p. 3).</t>
        </is>
      </c>
      <c r="E93" t="inlineStr">
        <is>
          <t>secondary</t>
        </is>
      </c>
      <c r="F93" t="n">
        <v>0</v>
      </c>
      <c r="G93" t="n">
        <v>0</v>
      </c>
      <c r="H93" t="n">
        <v>1</v>
      </c>
      <c r="I93" t="n">
        <v>1</v>
      </c>
      <c r="J93" t="inlineStr">
        <is>
          <t>Individualized retention services, career planning</t>
        </is>
      </c>
      <c r="K93" t="inlineStr">
        <is>
          <t>voluntary</t>
        </is>
      </c>
      <c r="L93" t="inlineStr">
        <is>
          <t>public</t>
        </is>
      </c>
      <c r="M93" t="inlineStr">
        <is>
          <t>public</t>
        </is>
      </c>
      <c r="N93" t="inlineStr">
        <is>
          <t>July 2002 – June 2004</t>
        </is>
      </c>
      <c r="O93" t="n">
        <v>2003.5</v>
      </c>
      <c r="P93" t="inlineStr">
        <is>
          <t>TANF recipients employed at least 32 hours/week for at least 30 days</t>
        </is>
      </c>
      <c r="Q93" t="n">
        <v>30.8</v>
      </c>
      <c r="R93" t="n">
        <v>5.9</v>
      </c>
      <c r="S93" t="n">
        <v>5.2</v>
      </c>
      <c r="T93" t="n">
        <v>50.5</v>
      </c>
      <c r="U93" t="n">
        <v>40.7</v>
      </c>
      <c r="V93" t="n">
        <v>50</v>
      </c>
      <c r="X93" t="inlineStr">
        <is>
          <t>TANF recipients meeting employment threshold</t>
        </is>
      </c>
      <c r="Z93" t="n">
        <v>2857</v>
      </c>
      <c r="AA93" t="n">
        <v>2843</v>
      </c>
      <c r="AK93" t="inlineStr">
        <is>
          <t>UI wage records</t>
        </is>
      </c>
      <c r="AL93" t="n">
        <v>1</v>
      </c>
      <c r="AM93" t="n">
        <v>0.5</v>
      </c>
      <c r="AN93" t="n">
        <v>0.9</v>
      </c>
      <c r="AP93" t="n">
        <v>67.5</v>
      </c>
      <c r="AQ93" t="n">
        <v>103</v>
      </c>
      <c r="AR93" t="n">
        <v>202</v>
      </c>
      <c r="AT93" t="n">
        <v>9037</v>
      </c>
      <c r="AU93" t="inlineStr">
        <is>
          <t>annual</t>
        </is>
      </c>
      <c r="AV93" t="n">
        <v>2</v>
      </c>
      <c r="AW93" t="n">
        <v>-1.1</v>
      </c>
      <c r="AX93" t="n">
        <v>1</v>
      </c>
      <c r="AZ93" t="n">
        <v>62.9</v>
      </c>
      <c r="BA93" t="n">
        <v>-200</v>
      </c>
      <c r="BB93" t="n">
        <v>246</v>
      </c>
      <c r="BD93" t="n">
        <v>9799</v>
      </c>
      <c r="BE93" t="inlineStr">
        <is>
          <t>annual</t>
        </is>
      </c>
      <c r="BF93" t="n">
        <v>3</v>
      </c>
      <c r="BG93" t="n">
        <v>-1.2</v>
      </c>
      <c r="BH93" t="n">
        <v>1.1</v>
      </c>
      <c r="BJ93" t="n">
        <v>62.2</v>
      </c>
      <c r="BK93" t="n">
        <v>85</v>
      </c>
      <c r="BL93" t="n">
        <v>282</v>
      </c>
      <c r="BN93" t="n">
        <v>10677</v>
      </c>
      <c r="BO93" t="inlineStr">
        <is>
          <t>annual</t>
        </is>
      </c>
      <c r="BP93" t="inlineStr">
        <is>
          <t>Hendra, Dillman, Hamilton, Lundquist, Martinson, and Wavelet 2010 (MDRC), How Effective Are Different Approaches Aiming to Increase Employment Retention and Advancement?, Appendix Table B.9 (p. 323); Table 4.2 (p. 110).</t>
        </is>
      </c>
      <c r="BQ93" t="inlineStr">
        <is>
          <t>3-year follow-up only. Employment = avg quarterly employment (pp). All earnings/employment impacts statistically insignificant.</t>
        </is>
      </c>
      <c r="BT93" t="inlineStr">
        <is>
          <t>No B-C analysis. Redcross, Deitch, and Farrell 2010 covers only Texas, Chicago, and Riverside PASS. No B-C for Los Angeles RFS.</t>
        </is>
      </c>
      <c r="BU93" t="inlineStr">
        <is>
          <t>CA</t>
        </is>
      </c>
      <c r="BV93" t="inlineStr">
        <is>
          <t>urban</t>
        </is>
      </c>
      <c r="BW93" t="n">
        <v>0</v>
      </c>
      <c r="BX93" t="n">
        <v>0</v>
      </c>
      <c r="BY93" t="n">
        <v>0</v>
      </c>
      <c r="BZ93" t="n">
        <v>0</v>
      </c>
      <c r="CA93" t="n">
        <v>0</v>
      </c>
      <c r="CB93" t="n">
        <v>0</v>
      </c>
      <c r="CC93" t="n">
        <v>0</v>
      </c>
      <c r="CD93" t="n">
        <v>0</v>
      </c>
      <c r="CE93" t="n">
        <v>4.1</v>
      </c>
      <c r="CF93" t="n">
        <v>17.5</v>
      </c>
      <c r="CG93" t="n">
        <v>1.7</v>
      </c>
      <c r="CH93" t="n">
        <v>34.2</v>
      </c>
    </row>
    <row r="94" ht="44.1" customHeight="1">
      <c r="A94" t="inlineStr">
        <is>
          <t>Employment Retention and Advancement (ERA)</t>
        </is>
      </c>
      <c r="B94" t="inlineStr">
        <is>
          <t>Riverside Training Focused</t>
        </is>
      </c>
      <c r="C94" s="13" t="inlineStr">
        <is>
          <t>ERA-Riverside-Training</t>
        </is>
      </c>
      <c r="D94" t="inlineStr">
        <is>
          <t>Education/training-focused advancement program with flexibility to reduce or eliminate required work hours if participating in education or training; operated by workforce agency. Services started September 2000 (Hendra et al. 2010, Table 1.1, p. 3; text p. 137).</t>
        </is>
      </c>
      <c r="E94" t="inlineStr">
        <is>
          <t>secondary</t>
        </is>
      </c>
      <c r="F94" t="n">
        <v>1</v>
      </c>
      <c r="G94" t="n">
        <v>0</v>
      </c>
      <c r="H94" t="n">
        <v>1</v>
      </c>
      <c r="I94" t="n">
        <v>1</v>
      </c>
      <c r="J94" t="inlineStr">
        <is>
          <t>Reduced work requirements for education/training participation</t>
        </is>
      </c>
      <c r="K94" t="inlineStr">
        <is>
          <t>mandatory</t>
        </is>
      </c>
      <c r="L94" t="inlineStr">
        <is>
          <t>public</t>
        </is>
      </c>
      <c r="M94" t="inlineStr">
        <is>
          <t>public</t>
        </is>
      </c>
      <c r="N94" t="inlineStr">
        <is>
          <t>January 2001 – October 2003</t>
        </is>
      </c>
      <c r="O94" t="n">
        <v>2002.417</v>
      </c>
      <c r="P94" t="inlineStr">
        <is>
          <t>TANF recipients employed at least 20 hours/week for at least 30 days</t>
        </is>
      </c>
      <c r="Q94" t="n">
        <v>30.2</v>
      </c>
      <c r="R94" t="n">
        <v>7.8</v>
      </c>
      <c r="S94" t="n">
        <v>31.2</v>
      </c>
      <c r="T94" t="n">
        <v>20.5</v>
      </c>
      <c r="U94" t="n">
        <v>45.4</v>
      </c>
      <c r="V94" t="n">
        <v>41.8</v>
      </c>
      <c r="X94" t="inlineStr">
        <is>
          <t>TANF recipients meeting employment threshold</t>
        </is>
      </c>
      <c r="Z94" t="n">
        <v>744</v>
      </c>
      <c r="AA94" t="n">
        <v>753</v>
      </c>
      <c r="AK94" t="inlineStr">
        <is>
          <t>UI wage records</t>
        </is>
      </c>
      <c r="AL94" t="n">
        <v>1</v>
      </c>
      <c r="AM94" t="n">
        <v>-4.5</v>
      </c>
      <c r="AN94" t="n">
        <v>1.8</v>
      </c>
      <c r="AO94" t="inlineStr">
        <is>
          <t>**</t>
        </is>
      </c>
      <c r="AP94" t="n">
        <v>72.5</v>
      </c>
      <c r="AQ94" t="n">
        <v>-263</v>
      </c>
      <c r="AR94" t="n">
        <v>355</v>
      </c>
      <c r="AT94" t="n">
        <v>8344</v>
      </c>
      <c r="AU94" t="inlineStr">
        <is>
          <t>annual</t>
        </is>
      </c>
      <c r="AV94" t="n">
        <v>2</v>
      </c>
      <c r="AW94" t="n">
        <v>-2</v>
      </c>
      <c r="AX94" t="n">
        <v>2.1</v>
      </c>
      <c r="AZ94" t="n">
        <v>61.5</v>
      </c>
      <c r="BA94" t="n">
        <v>452</v>
      </c>
      <c r="BB94" t="n">
        <v>445</v>
      </c>
      <c r="BD94" t="n">
        <v>8308</v>
      </c>
      <c r="BE94" t="inlineStr">
        <is>
          <t>annual</t>
        </is>
      </c>
      <c r="BF94" t="n">
        <v>4</v>
      </c>
      <c r="BG94" t="n">
        <v>1.1</v>
      </c>
      <c r="BH94" t="n">
        <v>2.2</v>
      </c>
      <c r="BJ94" t="n">
        <v>56</v>
      </c>
      <c r="BK94" t="n">
        <v>222</v>
      </c>
      <c r="BL94" t="n">
        <v>565</v>
      </c>
      <c r="BN94" t="n">
        <v>9736</v>
      </c>
      <c r="BO94" t="inlineStr">
        <is>
          <t>annual</t>
        </is>
      </c>
      <c r="BP94" t="inlineStr">
        <is>
          <t>Hendra, Dillman, Hamilton, Lundquist, Martinson, and Wavelet 2010 (MDRC), How Effective Are Different Approaches Aiming to Increase Employment Retention and Advancement?, Appendix Table B.13 (pp. 331-332); Table 4.2 (p. 110).</t>
        </is>
      </c>
      <c r="BQ94" t="inlineStr">
        <is>
          <t>Three-arm design: Training Focused vs Work Plus vs Control. Negative Year 1 employment suggests lock-in from training participation. Demographics are for Riverside Phase 2 combined.</t>
        </is>
      </c>
      <c r="BT94" t="inlineStr">
        <is>
          <t>No B-C analysis. Redcross, Deitch, and Farrell 2010 covers only Texas, Chicago, and Riverside PASS. No B-C for Riverside Training Focused.</t>
        </is>
      </c>
      <c r="BU94" t="inlineStr">
        <is>
          <t>CA</t>
        </is>
      </c>
      <c r="BV94" t="inlineStr">
        <is>
          <t>urban</t>
        </is>
      </c>
      <c r="BW94" t="n">
        <v>0</v>
      </c>
      <c r="BX94" t="n">
        <v>0</v>
      </c>
      <c r="BY94" t="n">
        <v>0</v>
      </c>
      <c r="BZ94" t="n">
        <v>0</v>
      </c>
      <c r="CA94" t="n">
        <v>0</v>
      </c>
      <c r="CB94" t="n">
        <v>0</v>
      </c>
      <c r="CC94" t="n">
        <v>0</v>
      </c>
      <c r="CD94" t="n">
        <v>0</v>
      </c>
      <c r="CE94" t="n">
        <v>2.6</v>
      </c>
      <c r="CF94" t="n">
        <v>21.5</v>
      </c>
      <c r="CG94" t="n">
        <v>9.5</v>
      </c>
      <c r="CH94" t="n">
        <v>31.9</v>
      </c>
    </row>
    <row r="95" ht="44.1" customHeight="1">
      <c r="A95" t="inlineStr">
        <is>
          <t>Employment Retention and Advancement (ERA)</t>
        </is>
      </c>
      <c r="B95" t="inlineStr">
        <is>
          <t>Riverside Work Plus</t>
        </is>
      </c>
      <c r="C95" s="13" t="inlineStr">
        <is>
          <t>ERA-Riverside-Work Plus</t>
        </is>
      </c>
      <c r="D95" t="inlineStr">
        <is>
          <t>Education/training-focused advancement program with less flexibility (compared to Training Focused) to reduce or eliminate required work hours if participating in education or training; operated by county welfare agency. Program started January 1998 (Hendra et al. 2010, Table 1.1, p. 3).</t>
        </is>
      </c>
      <c r="E95" t="inlineStr">
        <is>
          <t>secondary</t>
        </is>
      </c>
      <c r="F95" t="n">
        <v>1</v>
      </c>
      <c r="G95" t="n">
        <v>0</v>
      </c>
      <c r="H95" t="n">
        <v>1</v>
      </c>
      <c r="I95" t="n">
        <v>1</v>
      </c>
      <c r="J95" t="inlineStr">
        <is>
          <t>Less flexibility than Training Focused for reduced work hours during training</t>
        </is>
      </c>
      <c r="K95" t="inlineStr">
        <is>
          <t>mandatory</t>
        </is>
      </c>
      <c r="L95" t="inlineStr">
        <is>
          <t>public</t>
        </is>
      </c>
      <c r="M95" t="inlineStr">
        <is>
          <t>public</t>
        </is>
      </c>
      <c r="N95" t="inlineStr">
        <is>
          <t>January 2001 – October 2003</t>
        </is>
      </c>
      <c r="O95" t="n">
        <v>2002.417</v>
      </c>
      <c r="P95" t="inlineStr">
        <is>
          <t>TANF recipients employed at least 20 hours/week for at least 30 days</t>
        </is>
      </c>
      <c r="Q95" t="n">
        <v>30.2</v>
      </c>
      <c r="R95" t="n">
        <v>7.8</v>
      </c>
      <c r="S95" t="n">
        <v>31.2</v>
      </c>
      <c r="T95" t="n">
        <v>20.5</v>
      </c>
      <c r="U95" t="n">
        <v>45.4</v>
      </c>
      <c r="V95" t="n">
        <v>41.8</v>
      </c>
      <c r="X95" t="inlineStr">
        <is>
          <t>TANF recipients meeting employment threshold</t>
        </is>
      </c>
      <c r="Z95" t="n">
        <v>1532</v>
      </c>
      <c r="AA95" t="n">
        <v>753</v>
      </c>
      <c r="AK95" t="inlineStr">
        <is>
          <t>UI wage records</t>
        </is>
      </c>
      <c r="AL95" t="n">
        <v>1</v>
      </c>
      <c r="AM95" t="n">
        <v>-2.4</v>
      </c>
      <c r="AN95" t="n">
        <v>1.5</v>
      </c>
      <c r="AP95" t="n">
        <v>72.5</v>
      </c>
      <c r="AQ95" t="n">
        <v>-265</v>
      </c>
      <c r="AR95" t="n">
        <v>306</v>
      </c>
      <c r="AT95" t="n">
        <v>8344</v>
      </c>
      <c r="AU95" t="inlineStr">
        <is>
          <t>annual</t>
        </is>
      </c>
      <c r="AV95" t="n">
        <v>2</v>
      </c>
      <c r="AW95" t="n">
        <v>-1.5</v>
      </c>
      <c r="AX95" t="n">
        <v>1.8</v>
      </c>
      <c r="AZ95" t="n">
        <v>61.5</v>
      </c>
      <c r="BA95" t="n">
        <v>-170</v>
      </c>
      <c r="BB95" t="n">
        <v>383</v>
      </c>
      <c r="BD95" t="n">
        <v>8308</v>
      </c>
      <c r="BE95" t="inlineStr">
        <is>
          <t>annual</t>
        </is>
      </c>
      <c r="BF95" t="n">
        <v>4</v>
      </c>
      <c r="BG95" t="n">
        <v>-2.3</v>
      </c>
      <c r="BH95" t="n">
        <v>1.9</v>
      </c>
      <c r="BJ95" t="n">
        <v>56</v>
      </c>
      <c r="BK95" t="n">
        <v>-502</v>
      </c>
      <c r="BL95" t="n">
        <v>487</v>
      </c>
      <c r="BN95" t="n">
        <v>9736</v>
      </c>
      <c r="BO95" t="inlineStr">
        <is>
          <t>annual</t>
        </is>
      </c>
      <c r="BP95" t="inlineStr">
        <is>
          <t>Hendra, Dillman, Hamilton, Lundquist, Martinson, and Wavelet 2010 (MDRC), How Effective Are Different Approaches Aiming to Increase Employment Retention and Advancement?, Appendix Table B.13 (pp. 331-332); Table 4.2 (p. 110).</t>
        </is>
      </c>
      <c r="BQ95" t="inlineStr">
        <is>
          <t>Three-arm design: shares control group with Training Focused. Demographics for Riverside Phase 2 combined. Consistently negative impacts across all horizons.</t>
        </is>
      </c>
      <c r="BT95" t="inlineStr">
        <is>
          <t>No B-C analysis. Redcross, Deitch, and Farrell 2010 covers only Texas, Chicago, and Riverside PASS. No B-C for Riverside Work Plus.</t>
        </is>
      </c>
      <c r="BU95" t="inlineStr">
        <is>
          <t>CA</t>
        </is>
      </c>
      <c r="BV95" t="inlineStr">
        <is>
          <t>urban</t>
        </is>
      </c>
      <c r="BW95" t="n">
        <v>0</v>
      </c>
      <c r="BX95" t="n">
        <v>0</v>
      </c>
      <c r="BY95" t="n">
        <v>0</v>
      </c>
      <c r="BZ95" t="n">
        <v>0</v>
      </c>
      <c r="CA95" t="n">
        <v>0</v>
      </c>
      <c r="CB95" t="n">
        <v>0</v>
      </c>
      <c r="CC95" t="n">
        <v>0</v>
      </c>
      <c r="CD95" t="n">
        <v>0</v>
      </c>
      <c r="CE95" t="n">
        <v>7.4</v>
      </c>
      <c r="CF95" t="n">
        <v>21.5</v>
      </c>
      <c r="CG95" t="n">
        <v>5.4</v>
      </c>
      <c r="CH95" t="n">
        <v>31.9</v>
      </c>
    </row>
    <row r="96" ht="44.1" customHeight="1">
      <c r="A96" t="inlineStr">
        <is>
          <t>Employment Retention and Advancement (ERA)</t>
        </is>
      </c>
      <c r="B96" t="inlineStr">
        <is>
          <t>Cleveland (Achieve)</t>
        </is>
      </c>
      <c r="C96" s="13" t="inlineStr">
        <is>
          <t>ERA-Cleveland</t>
        </is>
      </c>
      <c r="D96" t="inlineStr">
        <is>
          <t>Voluntary, employer-based employment retention program, including ongoing staff-client relationships, weekly peer support groups, and supervisory trainings; provided by a community-based organization (Hendra et al. 2010, Table 1.1, p. 4).</t>
        </is>
      </c>
      <c r="E96" t="inlineStr">
        <is>
          <t>secondary</t>
        </is>
      </c>
      <c r="F96" t="n">
        <v>0</v>
      </c>
      <c r="G96" t="n">
        <v>0</v>
      </c>
      <c r="H96" t="n">
        <v>0</v>
      </c>
      <c r="I96" t="n">
        <v>1</v>
      </c>
      <c r="J96" t="inlineStr">
        <is>
          <t>Peer support groups, supervisory trainings, employer-based retention services</t>
        </is>
      </c>
      <c r="K96" t="inlineStr">
        <is>
          <t>voluntary</t>
        </is>
      </c>
      <c r="L96" t="inlineStr">
        <is>
          <t>public</t>
        </is>
      </c>
      <c r="M96" t="inlineStr">
        <is>
          <t>private</t>
        </is>
      </c>
      <c r="N96" t="inlineStr">
        <is>
          <t>September 2002 – February 2004</t>
        </is>
      </c>
      <c r="O96" t="n">
        <v>2003.417</v>
      </c>
      <c r="P96" t="inlineStr">
        <is>
          <t>Low-wage workers (&lt;$13/hr) at specific employers, hired within past 6 months</t>
        </is>
      </c>
      <c r="Q96" t="n">
        <v>32.7</v>
      </c>
      <c r="R96" t="n">
        <v>18.1</v>
      </c>
      <c r="S96" t="n">
        <v>34.4</v>
      </c>
      <c r="T96" t="n">
        <v>56.4</v>
      </c>
      <c r="U96" t="n">
        <v>5.7</v>
      </c>
      <c r="V96" t="n">
        <v>26.3</v>
      </c>
      <c r="X96" t="inlineStr">
        <is>
          <t>Workers at 42 long-term care firms and 2 manufacturing firms</t>
        </is>
      </c>
      <c r="Z96" t="n">
        <v>381</v>
      </c>
      <c r="AA96" t="n">
        <v>316</v>
      </c>
      <c r="AK96" t="inlineStr">
        <is>
          <t>UI wage records</t>
        </is>
      </c>
      <c r="AL96" t="n">
        <v>1</v>
      </c>
      <c r="AM96" t="n">
        <v>2.8</v>
      </c>
      <c r="AN96" t="n">
        <v>1.7</v>
      </c>
      <c r="AP96" t="n">
        <v>87.7</v>
      </c>
      <c r="AQ96" t="n">
        <v>317</v>
      </c>
      <c r="AR96" t="n">
        <v>569</v>
      </c>
      <c r="AT96" t="n">
        <v>15018</v>
      </c>
      <c r="AU96" t="inlineStr">
        <is>
          <t>annual</t>
        </is>
      </c>
      <c r="AV96" t="n">
        <v>2</v>
      </c>
      <c r="AW96" t="n">
        <v>-0.2</v>
      </c>
      <c r="AX96" t="n">
        <v>2.5</v>
      </c>
      <c r="AZ96" t="n">
        <v>82.09999999999999</v>
      </c>
      <c r="BA96" t="n">
        <v>-263</v>
      </c>
      <c r="BB96" t="n">
        <v>719</v>
      </c>
      <c r="BD96" t="n">
        <v>14536</v>
      </c>
      <c r="BE96" t="inlineStr">
        <is>
          <t>annual</t>
        </is>
      </c>
      <c r="BF96" t="n">
        <v>3</v>
      </c>
      <c r="BG96" t="n">
        <v>1.4</v>
      </c>
      <c r="BH96" t="n">
        <v>2.8</v>
      </c>
      <c r="BJ96" t="n">
        <v>76</v>
      </c>
      <c r="BK96" t="n">
        <v>-368</v>
      </c>
      <c r="BL96" t="n">
        <v>781</v>
      </c>
      <c r="BN96" t="n">
        <v>14146</v>
      </c>
      <c r="BO96" t="inlineStr">
        <is>
          <t>annual</t>
        </is>
      </c>
      <c r="BP96" t="inlineStr">
        <is>
          <t>Hendra, Dillman, Hamilton, Lundquist, Martinson, and Wavelet 2010 (MDRC), How Effective Are Different Approaches Aiming to Increase Employment Retention and Advancement?, Appendix Table C.2 (p. 359); Table 5.2 (p. 160).</t>
        </is>
      </c>
      <c r="BQ96" t="inlineStr">
        <is>
          <t>Employer-based randomization (firms assigned, then workers within firms). Small sample (n=697). 3-year follow-up. High control group earnings (~$15K/yr) reflect employed population. No significant impacts.</t>
        </is>
      </c>
      <c r="BT96" t="inlineStr">
        <is>
          <t>No B-C analysis. Redcross, Deitch, and Farrell 2010 covers only Texas, Chicago, and Riverside PASS. No B-C for Cleveland (Achieve).</t>
        </is>
      </c>
      <c r="BU96" t="inlineStr">
        <is>
          <t>OH</t>
        </is>
      </c>
      <c r="BV96" t="inlineStr">
        <is>
          <t>urban</t>
        </is>
      </c>
      <c r="BW96" t="n">
        <v>0</v>
      </c>
      <c r="BX96" t="n">
        <v>0</v>
      </c>
      <c r="BY96" t="n">
        <v>1</v>
      </c>
      <c r="BZ96" t="n">
        <v>0</v>
      </c>
      <c r="CA96" t="n">
        <v>0</v>
      </c>
      <c r="CB96" t="n">
        <v>0</v>
      </c>
      <c r="CC96" t="n">
        <v>0</v>
      </c>
      <c r="CD96" t="n">
        <v>0</v>
      </c>
      <c r="CE96" t="n">
        <v>11</v>
      </c>
      <c r="CF96" t="n">
        <v>27.5</v>
      </c>
      <c r="CG96" t="n">
        <v>-8.300000000000001</v>
      </c>
      <c r="CH96" t="n">
        <v>37.3</v>
      </c>
    </row>
    <row r="97" ht="44.1" customHeight="1">
      <c r="A97" t="inlineStr">
        <is>
          <t>Employment Retention and Advancement (ERA)</t>
        </is>
      </c>
      <c r="B97" t="inlineStr">
        <is>
          <t>Eugene, OR</t>
        </is>
      </c>
      <c r="C97" s="13" t="inlineStr">
        <is>
          <t>ERA-Eugene</t>
        </is>
      </c>
      <c r="D97" t="inlineStr">
        <is>
          <t>Voluntary, individualized program, including career counseling and service referrals; provided through a welfare agency partnership with a community college and WIA contractor (Hendra et al. 2010, Table 1.1, p. 4).</t>
        </is>
      </c>
      <c r="E97" t="inlineStr">
        <is>
          <t>secondary</t>
        </is>
      </c>
      <c r="F97" t="n">
        <v>0</v>
      </c>
      <c r="G97" t="n">
        <v>0</v>
      </c>
      <c r="H97" t="n">
        <v>1</v>
      </c>
      <c r="I97" t="n">
        <v>1</v>
      </c>
      <c r="J97" t="inlineStr">
        <is>
          <t>Career counseling, service referrals, community college partnership</t>
        </is>
      </c>
      <c r="K97" t="inlineStr">
        <is>
          <t>voluntary</t>
        </is>
      </c>
      <c r="L97" t="inlineStr">
        <is>
          <t>public</t>
        </is>
      </c>
      <c r="M97" t="inlineStr">
        <is>
          <t>mixed</t>
        </is>
      </c>
      <c r="N97" t="inlineStr">
        <is>
          <t>2001 – 2003 (approximate)</t>
        </is>
      </c>
      <c r="O97" t="n">
        <v>2002.5</v>
      </c>
      <c r="P97" t="inlineStr">
        <is>
          <t>Employed individuals who had left TANF within the year, working &gt;20 hours/week</t>
        </is>
      </c>
      <c r="Q97" t="n">
        <v>29.4</v>
      </c>
      <c r="R97" t="n">
        <v>7.5</v>
      </c>
      <c r="S97" t="n">
        <v>84.8</v>
      </c>
      <c r="T97" t="n">
        <v>3.1</v>
      </c>
      <c r="U97" t="n">
        <v>6.3</v>
      </c>
      <c r="V97" t="n">
        <v>19.5</v>
      </c>
      <c r="X97" t="inlineStr">
        <is>
          <t>Former TANF recipients recently employed</t>
        </is>
      </c>
      <c r="Z97" t="n">
        <v>585</v>
      </c>
      <c r="AA97" t="n">
        <v>594</v>
      </c>
      <c r="AK97" t="inlineStr">
        <is>
          <t>UI wage records</t>
        </is>
      </c>
      <c r="AL97" t="n">
        <v>1</v>
      </c>
      <c r="AM97" t="n">
        <v>2.1</v>
      </c>
      <c r="AN97" t="n">
        <v>2</v>
      </c>
      <c r="AP97" t="n">
        <v>69</v>
      </c>
      <c r="AQ97" t="n">
        <v>40</v>
      </c>
      <c r="AR97" t="n">
        <v>398</v>
      </c>
      <c r="AT97" t="n">
        <v>8365</v>
      </c>
      <c r="AU97" t="inlineStr">
        <is>
          <t>annual</t>
        </is>
      </c>
      <c r="AV97" t="n">
        <v>2</v>
      </c>
      <c r="AW97" t="n">
        <v>-0.1</v>
      </c>
      <c r="AX97" t="n">
        <v>2.3</v>
      </c>
      <c r="AZ97" t="n">
        <v>61.4</v>
      </c>
      <c r="BA97" t="n">
        <v>176</v>
      </c>
      <c r="BB97" t="n">
        <v>474</v>
      </c>
      <c r="BD97" t="n">
        <v>8303</v>
      </c>
      <c r="BE97" t="inlineStr">
        <is>
          <t>annual</t>
        </is>
      </c>
      <c r="BF97" t="n">
        <v>3</v>
      </c>
      <c r="BG97" t="n">
        <v>-6.5</v>
      </c>
      <c r="BH97" t="n">
        <v>2.4</v>
      </c>
      <c r="BI97" t="inlineStr">
        <is>
          <t>***</t>
        </is>
      </c>
      <c r="BJ97" t="n">
        <v>57.8</v>
      </c>
      <c r="BK97" t="n">
        <v>-854</v>
      </c>
      <c r="BL97" t="n">
        <v>526</v>
      </c>
      <c r="BN97" t="n">
        <v>8543</v>
      </c>
      <c r="BO97" t="inlineStr">
        <is>
          <t>annual</t>
        </is>
      </c>
      <c r="BP97" t="inlineStr">
        <is>
          <t>Hendra, Dillman, Hamilton, Lundquist, Martinson, and Wavelet 2010 (MDRC), How Effective Are Different Approaches Aiming to Increase Employment Retention and Advancement?, Appendix Table C.6 (p. 366); Table 5.2 (p. 160).</t>
        </is>
      </c>
      <c r="BQ97" t="inlineStr">
        <is>
          <t>3-year follow-up. Negative Year 3 employment impact (-6.5***, p=0.008) is notable — ERA appears to have harmed employment retention relative to control.</t>
        </is>
      </c>
      <c r="BT97" t="inlineStr">
        <is>
          <t>No B-C analysis. Redcross, Deitch, and Farrell 2010 covers only Texas, Chicago, and Riverside PASS. No B-C for Eugene, OR.</t>
        </is>
      </c>
      <c r="BU97" t="inlineStr">
        <is>
          <t>OR</t>
        </is>
      </c>
      <c r="BV97" t="inlineStr">
        <is>
          <t>urban</t>
        </is>
      </c>
      <c r="BW97" t="n">
        <v>0</v>
      </c>
      <c r="BX97" t="n">
        <v>0</v>
      </c>
      <c r="BY97" t="n">
        <v>0</v>
      </c>
      <c r="BZ97" t="n">
        <v>0</v>
      </c>
      <c r="CA97" t="n">
        <v>0</v>
      </c>
      <c r="CB97" t="n">
        <v>0</v>
      </c>
      <c r="CC97" t="n">
        <v>0</v>
      </c>
      <c r="CD97" t="n">
        <v>0</v>
      </c>
      <c r="CE97" t="n">
        <v>16</v>
      </c>
      <c r="CF97" t="n">
        <v>22</v>
      </c>
      <c r="CG97" t="n">
        <v>-3.4</v>
      </c>
      <c r="CH97" t="n">
        <v>25.1</v>
      </c>
    </row>
    <row r="98" ht="44.1" customHeight="1">
      <c r="A98" t="inlineStr">
        <is>
          <t>Employment Retention and Advancement (ERA)</t>
        </is>
      </c>
      <c r="B98" t="inlineStr">
        <is>
          <t>Medford, OR</t>
        </is>
      </c>
      <c r="C98" s="13" t="inlineStr">
        <is>
          <t>ERA-Medford</t>
        </is>
      </c>
      <c r="D98" t="inlineStr">
        <is>
          <t>Voluntary, individualized retention and advancement program, including career counseling and service referrals; provided through a welfare agency partnership with a nonprofit employment service provider (Hendra et al. 2010, Table 1.1, p. 4).</t>
        </is>
      </c>
      <c r="E98" t="inlineStr">
        <is>
          <t>secondary</t>
        </is>
      </c>
      <c r="F98" t="n">
        <v>0</v>
      </c>
      <c r="G98" t="n">
        <v>0</v>
      </c>
      <c r="H98" t="n">
        <v>1</v>
      </c>
      <c r="I98" t="n">
        <v>1</v>
      </c>
      <c r="J98" t="inlineStr">
        <is>
          <t>Career counseling, service referrals, nonprofit provider partnership</t>
        </is>
      </c>
      <c r="K98" t="inlineStr">
        <is>
          <t>voluntary</t>
        </is>
      </c>
      <c r="L98" t="inlineStr">
        <is>
          <t>public</t>
        </is>
      </c>
      <c r="M98" t="inlineStr">
        <is>
          <t>mixed</t>
        </is>
      </c>
      <c r="N98" t="inlineStr">
        <is>
          <t>2001 – 2003 (approximate)</t>
        </is>
      </c>
      <c r="O98" t="n">
        <v>2002.5</v>
      </c>
      <c r="P98" t="inlineStr">
        <is>
          <t>Employed former TANF recipients or Food Stamp E&amp;T program participants</t>
        </is>
      </c>
      <c r="Q98" t="n">
        <v>31.3</v>
      </c>
      <c r="R98" t="n">
        <v>8.9</v>
      </c>
      <c r="S98" t="n">
        <v>89.90000000000001</v>
      </c>
      <c r="T98" t="n">
        <v>1.4</v>
      </c>
      <c r="U98" t="n">
        <v>4.6</v>
      </c>
      <c r="V98" t="n">
        <v>21</v>
      </c>
      <c r="X98" t="inlineStr">
        <is>
          <t>Former welfare recipients currently employed</t>
        </is>
      </c>
      <c r="Z98" t="n">
        <v>590</v>
      </c>
      <c r="AA98" t="n">
        <v>574</v>
      </c>
      <c r="AK98" t="inlineStr">
        <is>
          <t>UI wage records</t>
        </is>
      </c>
      <c r="AL98" t="n">
        <v>1</v>
      </c>
      <c r="AM98" t="n">
        <v>-2.7</v>
      </c>
      <c r="AN98" t="n">
        <v>1.8</v>
      </c>
      <c r="AP98" t="n">
        <v>79.40000000000001</v>
      </c>
      <c r="AQ98" t="n">
        <v>-416</v>
      </c>
      <c r="AR98" t="n">
        <v>377</v>
      </c>
      <c r="AT98" t="n">
        <v>10351</v>
      </c>
      <c r="AU98" t="inlineStr">
        <is>
          <t>annual</t>
        </is>
      </c>
      <c r="AV98" t="n">
        <v>2</v>
      </c>
      <c r="AW98" t="n">
        <v>-0.8</v>
      </c>
      <c r="AX98" t="n">
        <v>2.2</v>
      </c>
      <c r="AZ98" t="n">
        <v>71.3</v>
      </c>
      <c r="BA98" t="n">
        <v>-496</v>
      </c>
      <c r="BB98" t="n">
        <v>464</v>
      </c>
      <c r="BD98" t="n">
        <v>10259</v>
      </c>
      <c r="BE98" t="inlineStr">
        <is>
          <t>annual</t>
        </is>
      </c>
      <c r="BF98" t="n">
        <v>3</v>
      </c>
      <c r="BG98" t="n">
        <v>-0.3</v>
      </c>
      <c r="BH98" t="n">
        <v>2.3</v>
      </c>
      <c r="BJ98" t="n">
        <v>67.8</v>
      </c>
      <c r="BK98" t="n">
        <v>-517</v>
      </c>
      <c r="BL98" t="n">
        <v>538</v>
      </c>
      <c r="BN98" t="n">
        <v>10851</v>
      </c>
      <c r="BO98" t="inlineStr">
        <is>
          <t>annual</t>
        </is>
      </c>
      <c r="BP98" t="inlineStr">
        <is>
          <t>Hendra, Dillman, Hamilton, Lundquist, Martinson, and Wavelet 2010 (MDRC), How Effective Are Different Approaches Aiming to Increase Employment Retention and Advancement?, Appendix Table C.10 (p. 374); Table 5.2 (p. 160).</t>
        </is>
      </c>
      <c r="BQ98" t="inlineStr">
        <is>
          <t>3-year follow-up. Consistently negative earnings impacts though none statistically significant. High control group earnings (~$10K/yr) reflect already-employed population.</t>
        </is>
      </c>
      <c r="BT98" t="inlineStr">
        <is>
          <t>No B-C analysis. Redcross, Deitch, and Farrell 2010 covers only Texas, Chicago, and Riverside PASS. No B-C for Medford, OR.</t>
        </is>
      </c>
      <c r="BU98" t="inlineStr">
        <is>
          <t>OR</t>
        </is>
      </c>
      <c r="BV98" t="inlineStr">
        <is>
          <t>rural</t>
        </is>
      </c>
      <c r="BW98" t="n">
        <v>0</v>
      </c>
      <c r="BX98" t="n">
        <v>0</v>
      </c>
      <c r="BY98" t="n">
        <v>0</v>
      </c>
      <c r="BZ98" t="n">
        <v>0</v>
      </c>
      <c r="CA98" t="n">
        <v>0</v>
      </c>
      <c r="CB98" t="n">
        <v>0</v>
      </c>
      <c r="CC98" t="n">
        <v>0</v>
      </c>
      <c r="CD98" t="n">
        <v>0</v>
      </c>
      <c r="CE98" t="n">
        <v>8.800000000000001</v>
      </c>
      <c r="CF98" t="n">
        <v>16.1</v>
      </c>
      <c r="CG98" t="n">
        <v>8.699999999999999</v>
      </c>
      <c r="CH98" t="n">
        <v>21.6</v>
      </c>
    </row>
    <row r="99" ht="44.1" customHeight="1">
      <c r="A99" t="inlineStr">
        <is>
          <t>Employment Retention and Advancement (ERA)</t>
        </is>
      </c>
      <c r="B99" t="inlineStr">
        <is>
          <t>Riverside PASS</t>
        </is>
      </c>
      <c r="C99" s="13" t="inlineStr">
        <is>
          <t>ERA-Riverside-PASS</t>
        </is>
      </c>
      <c r="D99" t="inlineStr">
        <is>
          <t>Voluntary, marketed, individualized retention and advancement program; provided primarily by three community-based organizations and a community college (Hendra et al. 2010, Table 1.1, p. 4).</t>
        </is>
      </c>
      <c r="E99" t="inlineStr">
        <is>
          <t>secondary</t>
        </is>
      </c>
      <c r="F99" t="n">
        <v>0</v>
      </c>
      <c r="G99" t="n">
        <v>0</v>
      </c>
      <c r="H99" t="n">
        <v>1</v>
      </c>
      <c r="I99" t="n">
        <v>1</v>
      </c>
      <c r="J99" t="inlineStr">
        <is>
          <t>Community college partnership, individualized advancement services</t>
        </is>
      </c>
      <c r="K99" t="inlineStr">
        <is>
          <t>voluntary</t>
        </is>
      </c>
      <c r="L99" t="inlineStr">
        <is>
          <t>public</t>
        </is>
      </c>
      <c r="M99" t="inlineStr">
        <is>
          <t>mixed</t>
        </is>
      </c>
      <c r="N99" t="inlineStr">
        <is>
          <t>2001 – 2003 (approximate)</t>
        </is>
      </c>
      <c r="O99" t="n">
        <v>2002.5</v>
      </c>
      <c r="P99" t="inlineStr">
        <is>
          <t>Employed former TANF recipients</t>
        </is>
      </c>
      <c r="Q99" t="n">
        <v>31.5</v>
      </c>
      <c r="R99" t="n">
        <v>10</v>
      </c>
      <c r="S99" t="n">
        <v>31.6</v>
      </c>
      <c r="T99" t="n">
        <v>16.4</v>
      </c>
      <c r="U99" t="n">
        <v>49.4</v>
      </c>
      <c r="V99" t="n">
        <v>42.7</v>
      </c>
      <c r="X99" t="inlineStr">
        <is>
          <t>Former TANF recipients currently employed</t>
        </is>
      </c>
      <c r="Z99" t="n">
        <v>1627</v>
      </c>
      <c r="AA99" t="n">
        <v>1143</v>
      </c>
      <c r="AK99" t="inlineStr">
        <is>
          <t>UI wage records</t>
        </is>
      </c>
      <c r="AL99" t="n">
        <v>1</v>
      </c>
      <c r="AM99" t="n">
        <v>2.6</v>
      </c>
      <c r="AN99" t="n">
        <v>1.4</v>
      </c>
      <c r="AO99" t="inlineStr">
        <is>
          <t>*</t>
        </is>
      </c>
      <c r="AP99" t="n">
        <v>61.9</v>
      </c>
      <c r="AQ99" t="n">
        <v>852</v>
      </c>
      <c r="AR99" t="n">
        <v>287</v>
      </c>
      <c r="AS99" t="inlineStr">
        <is>
          <t>***</t>
        </is>
      </c>
      <c r="AT99" t="n">
        <v>8269</v>
      </c>
      <c r="AU99" t="inlineStr">
        <is>
          <t>annual</t>
        </is>
      </c>
      <c r="AV99" t="n">
        <v>2</v>
      </c>
      <c r="AW99" t="n">
        <v>4.2</v>
      </c>
      <c r="AX99" t="n">
        <v>1.6</v>
      </c>
      <c r="AY99" t="inlineStr">
        <is>
          <t>***</t>
        </is>
      </c>
      <c r="AZ99" t="n">
        <v>55.5</v>
      </c>
      <c r="BA99" t="n">
        <v>869</v>
      </c>
      <c r="BB99" t="n">
        <v>356</v>
      </c>
      <c r="BC99" t="inlineStr">
        <is>
          <t>**</t>
        </is>
      </c>
      <c r="BD99" t="n">
        <v>8385</v>
      </c>
      <c r="BE99" t="inlineStr">
        <is>
          <t>annual</t>
        </is>
      </c>
      <c r="BF99" t="n">
        <v>4</v>
      </c>
      <c r="BG99" t="n">
        <v>3.4</v>
      </c>
      <c r="BH99" t="n">
        <v>1.7</v>
      </c>
      <c r="BI99" t="inlineStr">
        <is>
          <t>**</t>
        </is>
      </c>
      <c r="BJ99" t="n">
        <v>53.4</v>
      </c>
      <c r="BK99" t="n">
        <v>967</v>
      </c>
      <c r="BL99" t="n">
        <v>451</v>
      </c>
      <c r="BM99" t="inlineStr">
        <is>
          <t>**</t>
        </is>
      </c>
      <c r="BN99" t="n">
        <v>9643</v>
      </c>
      <c r="BO99" t="inlineStr">
        <is>
          <t>annual</t>
        </is>
      </c>
      <c r="BP99" t="inlineStr">
        <is>
          <t>Hendra, Dillman, Hamilton, Lundquist, Martinson, and Wavelet 2010 (MDRC), How Effective Are Different Approaches Aiming to Increase Employment Retention and Advancement?, Appendix Table C.14 (pp. 383-384); Table 5.2 (p. 160).</t>
        </is>
      </c>
      <c r="BQ99" t="inlineStr">
        <is>
          <t>One of three ERA sites with positive economic impacts. Largest effects in Year 4 ($967**, p=0.032), suggesting durable gains. 4-year follow-up. Net cost ($1,031 in 2008$) from Redcross, Deitch, and Farrell 2010, Table 4.5: gross program=$3,890, gross control=$2,858.</t>
        </is>
      </c>
      <c r="BR99" t="n">
        <v>1031</v>
      </c>
      <c r="BS99" t="n">
        <v>5082</v>
      </c>
      <c r="BT99" t="inlineStr">
        <is>
          <t>Redcross, Deitch, and Farrell 2010, Table 5.1 (p.75). Social perspective: net earnings and fringe benefits = $5,082 (2008$, 5-year NPV at 5% discount rate). Net social value = $4,125.</t>
        </is>
      </c>
      <c r="BU99" t="inlineStr">
        <is>
          <t>CA</t>
        </is>
      </c>
      <c r="BV99" t="inlineStr">
        <is>
          <t>urban</t>
        </is>
      </c>
      <c r="BW99" t="n">
        <v>0</v>
      </c>
      <c r="BX99" t="n">
        <v>0</v>
      </c>
      <c r="BY99" t="n">
        <v>1</v>
      </c>
      <c r="BZ99" t="n">
        <v>0</v>
      </c>
      <c r="CA99" t="n">
        <v>0</v>
      </c>
      <c r="CB99" t="n">
        <v>0</v>
      </c>
      <c r="CC99" t="n">
        <v>0</v>
      </c>
      <c r="CD99" t="n">
        <v>0</v>
      </c>
      <c r="CE99" t="n">
        <v>4.4</v>
      </c>
      <c r="CF99" t="n">
        <v>20</v>
      </c>
      <c r="CG99" t="n">
        <v>2.2</v>
      </c>
      <c r="CH99" t="n">
        <v>39.9</v>
      </c>
    </row>
    <row r="100" ht="44.1" customHeight="1">
      <c r="A100" t="inlineStr">
        <is>
          <t>TJRD</t>
        </is>
      </c>
      <c r="B100" t="inlineStr">
        <is>
          <t>Chicago (Safer Foundation)</t>
        </is>
      </c>
      <c r="C100" s="13" t="inlineStr">
        <is>
          <t>TJRD-Safer Foundation)</t>
        </is>
      </c>
      <c r="D100"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0" t="inlineStr">
        <is>
          <t>secondary</t>
        </is>
      </c>
      <c r="F100" t="n">
        <v>0</v>
      </c>
      <c r="G100" t="n">
        <v>1</v>
      </c>
      <c r="H100" t="n">
        <v>1</v>
      </c>
      <c r="I100" t="n">
        <v>1</v>
      </c>
      <c r="J100" t="inlineStr">
        <is>
          <t>transitional/subsidized employment, case management, support services</t>
        </is>
      </c>
      <c r="K100" t="inlineStr">
        <is>
          <t>voluntary</t>
        </is>
      </c>
      <c r="L100" t="inlineStr">
        <is>
          <t>mixed</t>
        </is>
      </c>
      <c r="M100" t="inlineStr">
        <is>
          <t>private</t>
        </is>
      </c>
      <c r="N100" t="inlineStr">
        <is>
          <t>January 2007 – September 2008</t>
        </is>
      </c>
      <c r="O100" t="n">
        <v>2007.875</v>
      </c>
      <c r="P100" t="inlineStr">
        <is>
          <t>Recently released prisoners under parole supervision</t>
        </is>
      </c>
      <c r="Q100" t="n">
        <v>35.1</v>
      </c>
      <c r="R100" t="n">
        <v>100</v>
      </c>
      <c r="S100" t="n">
        <v>3.2</v>
      </c>
      <c r="T100" t="n">
        <v>89.7</v>
      </c>
      <c r="U100" t="n">
        <v>6.5</v>
      </c>
      <c r="V100" t="n">
        <v>39.3</v>
      </c>
      <c r="X100" t="inlineStr">
        <is>
          <t>Referred by parole agencies; voluntary enrollment</t>
        </is>
      </c>
      <c r="Z100" t="n">
        <v>189</v>
      </c>
      <c r="AA100" t="n">
        <v>185</v>
      </c>
      <c r="AK100" t="inlineStr">
        <is>
          <t>UI wage records</t>
        </is>
      </c>
      <c r="AL100" t="n">
        <v>1</v>
      </c>
      <c r="AM100" t="n">
        <v>-12.9</v>
      </c>
      <c r="AN100" t="n">
        <v>5.4</v>
      </c>
      <c r="AO100" t="inlineStr">
        <is>
          <t>**</t>
        </is>
      </c>
      <c r="AP100" t="n">
        <v>54.4</v>
      </c>
      <c r="AQ100" t="n">
        <v>-540</v>
      </c>
      <c r="AR100" t="n">
        <v>474.4</v>
      </c>
      <c r="AT100" t="n">
        <v>2369</v>
      </c>
      <c r="AU100" t="inlineStr">
        <is>
          <t>annual</t>
        </is>
      </c>
      <c r="BP100" t="inlineStr">
        <is>
          <t>Redcross, Bloom, Jacobs, Manno, Muller-Ravett, Seefeldt, Yahner, Young, and Zweig 2010 (MDRC), Work After Prison: One-Year Findings from the Transitional Jobs Reentry Demonstration, Table 5.2 (impacts), Table 2.2 (demographics), Table 7.2 (costs)</t>
        </is>
      </c>
      <c r="BQ100" t="inlineStr">
        <is>
          <t>Unsubsidized employment and earnings used (excluding transitional job itself). Negative Year 1 impacts reflect lock-in/substitution: TJ group in subsidized jobs rather than searching for regular work. Cost in 2008 dollars, gross per TJ group member.</t>
        </is>
      </c>
      <c r="BR100" t="n">
        <v>4756</v>
      </c>
      <c r="BU100" t="inlineStr">
        <is>
          <t>IL</t>
        </is>
      </c>
      <c r="BV100" t="inlineStr">
        <is>
          <t>urban</t>
        </is>
      </c>
      <c r="BW100" t="n">
        <v>0</v>
      </c>
      <c r="BX100" t="n">
        <v>0</v>
      </c>
      <c r="BY100" t="n">
        <v>1</v>
      </c>
      <c r="BZ100" t="n">
        <v>1</v>
      </c>
      <c r="CA100" t="n">
        <v>0</v>
      </c>
      <c r="CB100" t="n">
        <v>1</v>
      </c>
      <c r="CC100" t="n">
        <v>0</v>
      </c>
      <c r="CD100" t="n">
        <v>0</v>
      </c>
      <c r="CE100" t="n">
        <v>87.3</v>
      </c>
      <c r="CF100" t="n">
        <v>0</v>
      </c>
      <c r="CI100" t="n">
        <v>4</v>
      </c>
    </row>
    <row r="101" ht="44.1" customHeight="1">
      <c r="A101" t="inlineStr">
        <is>
          <t>TJRD</t>
        </is>
      </c>
      <c r="B101" t="inlineStr">
        <is>
          <t>Detroit (Goodwill Industries)</t>
        </is>
      </c>
      <c r="C101" s="13" t="inlineStr">
        <is>
          <t>TJRD-Goodwill Industries)</t>
        </is>
      </c>
      <c r="D101"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1" t="inlineStr">
        <is>
          <t>secondary</t>
        </is>
      </c>
      <c r="F101" t="n">
        <v>0</v>
      </c>
      <c r="G101" t="n">
        <v>1</v>
      </c>
      <c r="H101" t="n">
        <v>1</v>
      </c>
      <c r="I101" t="n">
        <v>1</v>
      </c>
      <c r="J101" t="inlineStr">
        <is>
          <t>transitional/subsidized employment, case management, support services</t>
        </is>
      </c>
      <c r="K101" t="inlineStr">
        <is>
          <t>voluntary</t>
        </is>
      </c>
      <c r="L101" t="inlineStr">
        <is>
          <t>mixed</t>
        </is>
      </c>
      <c r="M101" t="inlineStr">
        <is>
          <t>private</t>
        </is>
      </c>
      <c r="N101" t="inlineStr">
        <is>
          <t>January 2007 – September 2008</t>
        </is>
      </c>
      <c r="O101" t="n">
        <v>2007.875</v>
      </c>
      <c r="P101" t="inlineStr">
        <is>
          <t>Recently released prisoners under parole supervision</t>
        </is>
      </c>
      <c r="Q101" t="n">
        <v>36.6</v>
      </c>
      <c r="R101" t="n">
        <v>100</v>
      </c>
      <c r="S101" t="n">
        <v>6.6</v>
      </c>
      <c r="T101" t="n">
        <v>88.59999999999999</v>
      </c>
      <c r="U101" t="n">
        <v>2.8</v>
      </c>
      <c r="V101" t="n">
        <v>21.4</v>
      </c>
      <c r="X101" t="inlineStr">
        <is>
          <t>Referred by parole agencies; voluntary enrollment</t>
        </is>
      </c>
      <c r="Z101" t="n">
        <v>233</v>
      </c>
      <c r="AA101" t="n">
        <v>193</v>
      </c>
      <c r="AK101" t="inlineStr">
        <is>
          <t>UI wage records</t>
        </is>
      </c>
      <c r="AL101" t="n">
        <v>1</v>
      </c>
      <c r="AM101" t="n">
        <v>5.4</v>
      </c>
      <c r="AN101" t="n">
        <v>5</v>
      </c>
      <c r="AP101" t="n">
        <v>33.1</v>
      </c>
      <c r="AQ101" t="n">
        <v>448</v>
      </c>
      <c r="AR101" t="n">
        <v>520.2</v>
      </c>
      <c r="AT101" t="n">
        <v>1252</v>
      </c>
      <c r="AU101" t="inlineStr">
        <is>
          <t>annual</t>
        </is>
      </c>
      <c r="BP101" t="inlineStr">
        <is>
          <t>Redcross, Bloom, Jacobs, Manno, Muller-Ravett, Seefeldt, Yahner, Young, and Zweig 2010 (MDRC), Work After Prison: One-Year Findings from the Transitional Jobs Reentry Demonstration, Table 5.2 (impacts), Table 2.2 (demographics), Table 7.2 (costs)</t>
        </is>
      </c>
      <c r="BQ101" t="inlineStr">
        <is>
          <t>Unsubsidized employment/earnings used. Detroit was only site where TJ group had slightly higher unsubsidized employment (not significant). Very weak local economy during follow-up. Cost in 2008 dollars.</t>
        </is>
      </c>
      <c r="BR101" t="n">
        <v>4041</v>
      </c>
      <c r="BU101" t="inlineStr">
        <is>
          <t>MI</t>
        </is>
      </c>
      <c r="BV101" t="inlineStr">
        <is>
          <t>urban</t>
        </is>
      </c>
      <c r="BW101" t="n">
        <v>0</v>
      </c>
      <c r="BX101" t="n">
        <v>0</v>
      </c>
      <c r="BY101" t="n">
        <v>1</v>
      </c>
      <c r="BZ101" t="n">
        <v>0</v>
      </c>
      <c r="CA101" t="n">
        <v>0</v>
      </c>
      <c r="CB101" t="n">
        <v>1</v>
      </c>
      <c r="CC101" t="n">
        <v>0</v>
      </c>
      <c r="CD101" t="n">
        <v>0</v>
      </c>
      <c r="CE101" t="n">
        <v>87.7</v>
      </c>
      <c r="CF101" t="n">
        <v>0</v>
      </c>
      <c r="CI101" t="n">
        <v>4</v>
      </c>
    </row>
    <row r="102" ht="44.1" customHeight="1">
      <c r="A102" t="inlineStr">
        <is>
          <t>TJRD</t>
        </is>
      </c>
      <c r="B102" t="inlineStr">
        <is>
          <t>Milwaukee (New Hope Project)</t>
        </is>
      </c>
      <c r="C102" s="13" t="inlineStr">
        <is>
          <t>TJRD-Hope Project)</t>
        </is>
      </c>
      <c r="D102"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2" t="inlineStr">
        <is>
          <t>secondary</t>
        </is>
      </c>
      <c r="F102" t="n">
        <v>0</v>
      </c>
      <c r="G102" t="n">
        <v>1</v>
      </c>
      <c r="H102" t="n">
        <v>1</v>
      </c>
      <c r="I102" t="n">
        <v>1</v>
      </c>
      <c r="J102" t="inlineStr">
        <is>
          <t>transitional/subsidized employment, case management, support services</t>
        </is>
      </c>
      <c r="K102" t="inlineStr">
        <is>
          <t>voluntary</t>
        </is>
      </c>
      <c r="L102" t="inlineStr">
        <is>
          <t>mixed</t>
        </is>
      </c>
      <c r="M102" t="inlineStr">
        <is>
          <t>private</t>
        </is>
      </c>
      <c r="N102" t="inlineStr">
        <is>
          <t>January 2007 – September 2008</t>
        </is>
      </c>
      <c r="O102" t="n">
        <v>2007.875</v>
      </c>
      <c r="P102" t="inlineStr">
        <is>
          <t>Recently released prisoners under parole supervision</t>
        </is>
      </c>
      <c r="Q102" t="n">
        <v>33.2</v>
      </c>
      <c r="R102" t="n">
        <v>100</v>
      </c>
      <c r="S102" t="n">
        <v>6.9</v>
      </c>
      <c r="T102" t="n">
        <v>88.59999999999999</v>
      </c>
      <c r="U102" t="n">
        <v>2.4</v>
      </c>
      <c r="V102" t="n">
        <v>24.3</v>
      </c>
      <c r="X102" t="inlineStr">
        <is>
          <t>Referred by parole agencies; voluntary enrollment</t>
        </is>
      </c>
      <c r="Z102" t="n">
        <v>257</v>
      </c>
      <c r="AA102" t="n">
        <v>250</v>
      </c>
      <c r="AK102" t="inlineStr">
        <is>
          <t>UI wage records</t>
        </is>
      </c>
      <c r="AL102" t="n">
        <v>1</v>
      </c>
      <c r="AM102" t="n">
        <v>-8.300000000000001</v>
      </c>
      <c r="AN102" t="n">
        <v>4.3</v>
      </c>
      <c r="AO102" t="inlineStr">
        <is>
          <t>*</t>
        </is>
      </c>
      <c r="AP102" t="n">
        <v>66.5</v>
      </c>
      <c r="AQ102" t="n">
        <v>-98</v>
      </c>
      <c r="AR102" t="n">
        <v>533.6</v>
      </c>
      <c r="AT102" t="n">
        <v>3004</v>
      </c>
      <c r="AU102" t="inlineStr">
        <is>
          <t>annual</t>
        </is>
      </c>
      <c r="BP102" t="inlineStr">
        <is>
          <t>Redcross, Bloom, Jacobs, Manno, Muller-Ravett, Seefeldt, Yahner, Young, and Zweig 2010 (MDRC), Work After Prison: One-Year Findings from the Transitional Jobs Reentry Demonstration, Table 5.2 (impacts), Table 2.2 (demographics), Table 7.2 (costs)</t>
        </is>
      </c>
      <c r="BQ102" t="inlineStr">
        <is>
          <t>Unsubsidized employment/earnings used. Negative emp impact reflects substitution/lock-in. Cost in 2008 dollars.</t>
        </is>
      </c>
      <c r="BR102" t="n">
        <v>3551</v>
      </c>
      <c r="BU102" t="inlineStr">
        <is>
          <t>WI</t>
        </is>
      </c>
      <c r="BV102" t="inlineStr">
        <is>
          <t>urban</t>
        </is>
      </c>
      <c r="BW102" t="n">
        <v>0</v>
      </c>
      <c r="BX102" t="n">
        <v>0</v>
      </c>
      <c r="BY102" t="n">
        <v>1</v>
      </c>
      <c r="BZ102" t="n">
        <v>0</v>
      </c>
      <c r="CA102" t="n">
        <v>0</v>
      </c>
      <c r="CB102" t="n">
        <v>1</v>
      </c>
      <c r="CC102" t="n">
        <v>0</v>
      </c>
      <c r="CD102" t="n">
        <v>0</v>
      </c>
      <c r="CE102" t="n">
        <v>69.90000000000001</v>
      </c>
      <c r="CF102" t="n">
        <v>0</v>
      </c>
      <c r="CI102" t="n">
        <v>4</v>
      </c>
    </row>
    <row r="103" ht="44.1" customHeight="1">
      <c r="A103" t="inlineStr">
        <is>
          <t>TJRD</t>
        </is>
      </c>
      <c r="B103" t="inlineStr">
        <is>
          <t>St. Paul (Goodwill/Easter Seals)</t>
        </is>
      </c>
      <c r="C103" s="13" t="inlineStr">
        <is>
          <t>TJRD-Easter Seals)</t>
        </is>
      </c>
      <c r="D103"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3" t="inlineStr">
        <is>
          <t>secondary</t>
        </is>
      </c>
      <c r="F103" t="n">
        <v>0</v>
      </c>
      <c r="G103" t="n">
        <v>1</v>
      </c>
      <c r="H103" t="n">
        <v>1</v>
      </c>
      <c r="I103" t="n">
        <v>1</v>
      </c>
      <c r="J103" t="inlineStr">
        <is>
          <t>transitional/subsidized employment, case management, support services</t>
        </is>
      </c>
      <c r="K103" t="inlineStr">
        <is>
          <t>voluntary</t>
        </is>
      </c>
      <c r="L103" t="inlineStr">
        <is>
          <t>mixed</t>
        </is>
      </c>
      <c r="M103" t="inlineStr">
        <is>
          <t>private</t>
        </is>
      </c>
      <c r="N103" t="inlineStr">
        <is>
          <t>January 2007 – September 2008</t>
        </is>
      </c>
      <c r="O103" t="n">
        <v>2007.875</v>
      </c>
      <c r="P103" t="inlineStr">
        <is>
          <t>Recently released prisoners under parole supervision</t>
        </is>
      </c>
      <c r="Q103" t="n">
        <v>34.2</v>
      </c>
      <c r="R103" t="n">
        <v>100</v>
      </c>
      <c r="S103" t="n">
        <v>20.2</v>
      </c>
      <c r="T103" t="n">
        <v>65.5</v>
      </c>
      <c r="U103" t="n">
        <v>4.8</v>
      </c>
      <c r="V103" t="n">
        <v>17.1</v>
      </c>
      <c r="X103" t="inlineStr">
        <is>
          <t>Referred by parole agencies; voluntary enrollment</t>
        </is>
      </c>
      <c r="Z103" t="n">
        <v>253</v>
      </c>
      <c r="AA103" t="n">
        <v>253</v>
      </c>
      <c r="AK103" t="inlineStr">
        <is>
          <t>UI wage records</t>
        </is>
      </c>
      <c r="AL103" t="n">
        <v>1</v>
      </c>
      <c r="AM103" t="n">
        <v>-15.5</v>
      </c>
      <c r="AN103" t="n">
        <v>4.2</v>
      </c>
      <c r="AO103" t="inlineStr">
        <is>
          <t>***</t>
        </is>
      </c>
      <c r="AP103" t="n">
        <v>74.5</v>
      </c>
      <c r="AQ103" t="n">
        <v>-1813</v>
      </c>
      <c r="AR103" t="n">
        <v>507.8</v>
      </c>
      <c r="AS103" t="inlineStr">
        <is>
          <t>***</t>
        </is>
      </c>
      <c r="AT103" t="n">
        <v>4394</v>
      </c>
      <c r="AU103" t="inlineStr">
        <is>
          <t>annual</t>
        </is>
      </c>
      <c r="BP103" t="inlineStr">
        <is>
          <t>Redcross, Bloom, Jacobs, Manno, Muller-Ravett, Seefeldt, Yahner, Young, and Zweig 2010 (MDRC), Work After Prison: One-Year Findings from the Transitional Jobs Reentry Demonstration, Table 5.2 (impacts, footnote a for SEs), Table 2.2 (demographics), Table 7.2 (costs)</t>
        </is>
      </c>
      <c r="BQ103" t="inlineStr">
        <is>
          <t>Unsubsidized employment/earnings used. Large negative impacts: strongest lock-in/substitution among all sites — JS group had high unsubsidized employment (74.5%), suggesting strong local labor market and/or effective job search program. Cost in 2008 dollars.</t>
        </is>
      </c>
      <c r="BR103" t="n">
        <v>4889</v>
      </c>
      <c r="BU103" t="inlineStr">
        <is>
          <t>MN</t>
        </is>
      </c>
      <c r="BV103" t="inlineStr">
        <is>
          <t>urban</t>
        </is>
      </c>
      <c r="BW103" t="n">
        <v>0</v>
      </c>
      <c r="BX103" t="n">
        <v>0</v>
      </c>
      <c r="BY103" t="n">
        <v>1</v>
      </c>
      <c r="BZ103" t="n">
        <v>0</v>
      </c>
      <c r="CA103" t="n">
        <v>0</v>
      </c>
      <c r="CB103" t="n">
        <v>1</v>
      </c>
      <c r="CC103" t="n">
        <v>0</v>
      </c>
      <c r="CD103" t="n">
        <v>0</v>
      </c>
      <c r="CE103" t="n">
        <v>97.2</v>
      </c>
      <c r="CF103" t="n">
        <v>0</v>
      </c>
      <c r="CI103" t="n">
        <v>4</v>
      </c>
    </row>
    <row r="104" ht="44.1" customHeight="1">
      <c r="A104" t="inlineStr">
        <is>
          <t>CEO</t>
        </is>
      </c>
      <c r="B104" t="inlineStr">
        <is>
          <t>New York City</t>
        </is>
      </c>
      <c r="C104" s="13" t="inlineStr">
        <is>
          <t>CEO-York City</t>
        </is>
      </c>
      <c r="D104" t="inlineStr">
        <is>
          <t>Center for Employment Opportunities: 5-day preemployment life skills class, then placement in transitional job work crews (4 days/week), with weekly appointment day for job coaching, specialized programming, and job search. Once 'job ready,' participants worked with job developers to find permanent employment. Post-placement retention services and incentives for 6-12 months. Control group received abbreviated 1.5-day life skills class and job search resource room access. (Redcross et al. 2012, pp. 14-18)</t>
        </is>
      </c>
      <c r="E104" t="inlineStr">
        <is>
          <t>secondary</t>
        </is>
      </c>
      <c r="F104" t="n">
        <v>0</v>
      </c>
      <c r="G104" t="n">
        <v>1</v>
      </c>
      <c r="H104" t="n">
        <v>1</v>
      </c>
      <c r="I104" t="n">
        <v>1</v>
      </c>
      <c r="J104" t="inlineStr">
        <is>
          <t>transitional/subsidized employment, life skills class, fatherhood program</t>
        </is>
      </c>
      <c r="K104" t="inlineStr">
        <is>
          <t>voluntary</t>
        </is>
      </c>
      <c r="L104" t="inlineStr">
        <is>
          <t>public</t>
        </is>
      </c>
      <c r="M104" t="inlineStr">
        <is>
          <t>private</t>
        </is>
      </c>
      <c r="N104" t="inlineStr">
        <is>
          <t>January 2004 – October 2005</t>
        </is>
      </c>
      <c r="O104" t="n">
        <v>2004.917</v>
      </c>
      <c r="P104" t="inlineStr">
        <is>
          <t>Recently released prisoners on parole in New York City</t>
        </is>
      </c>
      <c r="Q104" t="n">
        <v>33.7</v>
      </c>
      <c r="R104" t="n">
        <v>93</v>
      </c>
      <c r="S104" t="n">
        <v>1.8</v>
      </c>
      <c r="T104" t="n">
        <v>64.40000000000001</v>
      </c>
      <c r="U104" t="n">
        <v>30.6</v>
      </c>
      <c r="V104" t="n">
        <v>42.3</v>
      </c>
      <c r="X104" t="inlineStr">
        <is>
          <t>Referred by parole officers; enrolled at CEO intake Fridays</t>
        </is>
      </c>
      <c r="Z104" t="n">
        <v>568</v>
      </c>
      <c r="AA104" t="n">
        <v>409</v>
      </c>
      <c r="AK104" t="inlineStr">
        <is>
          <t>UI wage records and NDNH</t>
        </is>
      </c>
      <c r="AV104" t="n">
        <v>3</v>
      </c>
      <c r="AW104" t="n">
        <v>1.1</v>
      </c>
      <c r="AX104" t="n">
        <v>2.2</v>
      </c>
      <c r="AZ104" t="n">
        <v>27.2</v>
      </c>
      <c r="BA104" t="n">
        <v>486</v>
      </c>
      <c r="BB104" t="n">
        <v>1332.6</v>
      </c>
      <c r="BD104" t="n">
        <v>9834</v>
      </c>
      <c r="BE104" t="inlineStr">
        <is>
          <t>cumulative over Years 2-3 (8 quarters)</t>
        </is>
      </c>
      <c r="BP104" t="inlineStr">
        <is>
          <t>Redcross, Millenky, Rudd, and Levshin 2012 (MDRC), More Than a Job: Final Results from the Evaluation of the Center for Employment Opportunities (CEO) Transitional Jobs Program (OPRE Report 2011-18), Table 3.1 (impacts), Table 1.1 (demographics), Table 4.1 (costs)</t>
        </is>
      </c>
      <c r="BQ104" t="inlineStr">
        <is>
          <t>Year 1 earnings data missing from report; Year 1 employment contaminated by transitional jobs. MT impacts use postprogram (Years 2-3) unsubsidized outcomes from Table 3.1. Employment measure is 'average quarterly unsubsidized employment rate.' No significant impacts on unsubsidized employment or earnings for full sample. Recently released subgroup showed some positive effects (Table ES.2). Cost: $4,807 per program group member (2009 dollars, adjusted from Redcross et al. 2009).</t>
        </is>
      </c>
      <c r="BR104" t="n">
        <v>4807</v>
      </c>
      <c r="BU104" t="inlineStr">
        <is>
          <t>NY</t>
        </is>
      </c>
      <c r="BV104" t="inlineStr">
        <is>
          <t>urban</t>
        </is>
      </c>
      <c r="BW104" t="n">
        <v>0</v>
      </c>
      <c r="BX104" t="n">
        <v>0</v>
      </c>
      <c r="BY104" t="n">
        <v>1</v>
      </c>
      <c r="BZ104" t="n">
        <v>0</v>
      </c>
      <c r="CA104" t="n">
        <v>0</v>
      </c>
      <c r="CB104" t="n">
        <v>1</v>
      </c>
      <c r="CC104" t="n">
        <v>0</v>
      </c>
      <c r="CD104" t="n">
        <v>0</v>
      </c>
      <c r="CE104" t="n">
        <v>68.3</v>
      </c>
      <c r="CF104" t="n">
        <v>2.2</v>
      </c>
      <c r="CG104" t="n">
        <v>-2.6</v>
      </c>
      <c r="CH104" t="n">
        <v>29.1</v>
      </c>
      <c r="CI104" t="n">
        <v>2</v>
      </c>
    </row>
    <row r="105" ht="44.1" customHeight="1">
      <c r="A105" t="inlineStr">
        <is>
          <t>Enhanced Services for the Hard-to-Employ</t>
        </is>
      </c>
      <c r="B105" t="inlineStr">
        <is>
          <t>TWC (Transitional Work Corporation)</t>
        </is>
      </c>
      <c r="C105" s="13" t="inlineStr">
        <is>
          <t>ESHE-Work Corporation)</t>
        </is>
      </c>
      <c r="D105" t="inlineStr">
        <is>
          <t>Transitional Work Corporation (TWC): 2-week orientation on job readiness, then placement in transitional job with government/nonprofit agency (25 hrs/week at minimum wage, up to 6 months), plus 10 hrs/week professional development (job search, GED prep, job readiness classes). Job placement assistance and retention services/bonuses for 6-9 months after permanent placement. Control group could participate in other welfare-to-work activities. (Jacobs and Bloom 2011, pp. ES-1 to ES-3, Chapter 2)</t>
        </is>
      </c>
      <c r="E105" t="inlineStr">
        <is>
          <t>secondary</t>
        </is>
      </c>
      <c r="F105" t="n">
        <v>1</v>
      </c>
      <c r="G105" t="n">
        <v>1</v>
      </c>
      <c r="H105" t="n">
        <v>1</v>
      </c>
      <c r="I105" t="n">
        <v>1</v>
      </c>
      <c r="J105" t="inlineStr">
        <is>
          <t>transitional/subsidized employment, retention bonuses, GED prep</t>
        </is>
      </c>
      <c r="K105" t="inlineStr">
        <is>
          <t>mandatory</t>
        </is>
      </c>
      <c r="L105" t="inlineStr">
        <is>
          <t>public</t>
        </is>
      </c>
      <c r="M105" t="inlineStr">
        <is>
          <t>private</t>
        </is>
      </c>
      <c r="N105" t="inlineStr">
        <is>
          <t>October 2004 – May 2006</t>
        </is>
      </c>
      <c r="O105" t="n">
        <v>2005.583</v>
      </c>
      <c r="P105" t="inlineStr">
        <is>
          <t>Hard-to-employ TANF recipients (12+ months on TANF or no HS diploma/GED), not currently employed</t>
        </is>
      </c>
      <c r="Q105" t="n">
        <v>29.5</v>
      </c>
      <c r="R105" t="n">
        <v>0</v>
      </c>
      <c r="S105" t="n">
        <v>2.6</v>
      </c>
      <c r="T105" t="n">
        <v>78.8</v>
      </c>
      <c r="U105" t="n">
        <v>17.1</v>
      </c>
      <c r="V105" t="n">
        <v>55.1</v>
      </c>
      <c r="X105" t="inlineStr">
        <is>
          <t>TANF recipients meeting hard-to-employ criteria at 4 Philadelphia welfare offices</t>
        </is>
      </c>
      <c r="Z105" t="n">
        <v>731</v>
      </c>
      <c r="AA105" t="n">
        <v>486</v>
      </c>
      <c r="AK105" t="inlineStr">
        <is>
          <t>NDNH</t>
        </is>
      </c>
      <c r="AL105" t="n">
        <v>1</v>
      </c>
      <c r="AM105" t="n">
        <v>4.2</v>
      </c>
      <c r="AN105" t="n">
        <v>2.7</v>
      </c>
      <c r="AP105" t="n">
        <v>31</v>
      </c>
      <c r="AQ105" t="n">
        <v>110</v>
      </c>
      <c r="AR105" t="n">
        <v>93.8</v>
      </c>
      <c r="AT105" t="n">
        <v>801</v>
      </c>
      <c r="AU105" t="inlineStr">
        <is>
          <t>quarterly</t>
        </is>
      </c>
      <c r="AV105" t="n">
        <v>2</v>
      </c>
      <c r="AW105" t="n">
        <v>-0.2</v>
      </c>
      <c r="AX105" t="n">
        <v>2.9</v>
      </c>
      <c r="AZ105" t="n">
        <v>40.5</v>
      </c>
      <c r="BA105" t="n">
        <v>-68</v>
      </c>
      <c r="BB105" t="n">
        <v>114.7</v>
      </c>
      <c r="BD105" t="n">
        <v>1181</v>
      </c>
      <c r="BE105" t="inlineStr">
        <is>
          <t>quarterly</t>
        </is>
      </c>
      <c r="BF105" t="n">
        <v>4</v>
      </c>
      <c r="BG105" t="n">
        <v>-2.6</v>
      </c>
      <c r="BH105" t="n">
        <v>2.8</v>
      </c>
      <c r="BJ105" t="n">
        <v>37.7</v>
      </c>
      <c r="BK105" t="n">
        <v>-217</v>
      </c>
      <c r="BL105" t="n">
        <v>137.3</v>
      </c>
      <c r="BN105" t="n">
        <v>1484</v>
      </c>
      <c r="BO105" t="inlineStr">
        <is>
          <t>quarterly</t>
        </is>
      </c>
      <c r="BP105" t="inlineStr">
        <is>
          <t>Jacobs and Bloom 2011 (MDRC), Alternative Employment Strategies for Hard-to-Employ TANF Recipients: Final Results from a Test of Transitional Jobs and Preemployment Services in Philadelphia (OPRE Report 2011-19), Appendix Table B.1 (quarterly impacts), Table 1.1 (demographics), p. 52 (costs)</t>
        </is>
      </c>
      <c r="BQ105" t="inlineStr">
        <is>
          <t>Three-arm study: TWC, STEP, and shared control group. Quarterly unsubsidized employment and earnings from Appendix Table B.1. Early positive impacts on unsubsidized employment (Quarters 2-5) faded by Year 2. 4-year cumulative: no impact on unsubsidized quarters employed (0.0, p=0.998) or earnings (-$239, p=0.850). Nearly all female (single mothers on TANF). Cost ~$3,500 per TWC group member (from 18-month report, p. 52).</t>
        </is>
      </c>
      <c r="BR105" t="n">
        <v>3500</v>
      </c>
      <c r="BT105" t="inlineStr">
        <is>
          <t>No B-C analysis in Jacobs and Bloom 2011 (MDRC). Report covers implementation, impacts, and costs but no formal benefit-cost analysis.</t>
        </is>
      </c>
      <c r="BU105" t="inlineStr">
        <is>
          <t>PA</t>
        </is>
      </c>
      <c r="BV105" t="inlineStr">
        <is>
          <t>urban</t>
        </is>
      </c>
      <c r="BW105" t="n">
        <v>0</v>
      </c>
      <c r="BX105" t="n">
        <v>0</v>
      </c>
      <c r="BY105" t="n">
        <v>1</v>
      </c>
      <c r="BZ105" t="n">
        <v>0</v>
      </c>
      <c r="CA105" t="n">
        <v>0</v>
      </c>
      <c r="CB105" t="n">
        <v>1</v>
      </c>
      <c r="CC105" t="n">
        <v>0</v>
      </c>
      <c r="CD105" t="n">
        <v>0</v>
      </c>
      <c r="CE105" t="n">
        <v>41.7</v>
      </c>
      <c r="CF105" t="n">
        <v>23.1</v>
      </c>
      <c r="CG105" t="n">
        <v>-4.2</v>
      </c>
      <c r="CH105" t="n">
        <v>38.1</v>
      </c>
      <c r="CI105" t="n">
        <v>6</v>
      </c>
    </row>
    <row r="106" ht="44.1" customHeight="1">
      <c r="A106" t="inlineStr">
        <is>
          <t>Enhanced Services for the Hard-to-Employ</t>
        </is>
      </c>
      <c r="B106" t="inlineStr">
        <is>
          <t>STEP (Success Through Employment Preparation)</t>
        </is>
      </c>
      <c r="C106" s="13" t="inlineStr">
        <is>
          <t>ESHE-Employment Preparation)</t>
        </is>
      </c>
      <c r="D106" t="inlineStr">
        <is>
          <t>Success Through Employment Preparation (STEP), run by JEVS Human Services: Home visits for outreach, extensive assessment of employment barriers, individualized treatment plan (life skills classes, GED prep, support groups, counseling), then job development/placement once barriers addressed. Focus on treating barriers before employment, in contrast to TWC's work-first approach. Control group could participate in other welfare-to-work activities. (Jacobs and Bloom 2011, pp. ES-2 to ES-3, Chapter 6)</t>
        </is>
      </c>
      <c r="E106" t="inlineStr">
        <is>
          <t>secondary</t>
        </is>
      </c>
      <c r="F106" t="n">
        <v>1</v>
      </c>
      <c r="G106" t="n">
        <v>0</v>
      </c>
      <c r="H106" t="n">
        <v>1</v>
      </c>
      <c r="I106" t="n">
        <v>1</v>
      </c>
      <c r="J106" t="inlineStr">
        <is>
          <t>barrier assessment, counseling, behavioral health services, home visits</t>
        </is>
      </c>
      <c r="K106" t="inlineStr">
        <is>
          <t>mandatory</t>
        </is>
      </c>
      <c r="L106" t="inlineStr">
        <is>
          <t>public</t>
        </is>
      </c>
      <c r="M106" t="inlineStr">
        <is>
          <t>private</t>
        </is>
      </c>
      <c r="N106" t="inlineStr">
        <is>
          <t>October 2004 – May 2006</t>
        </is>
      </c>
      <c r="O106" t="n">
        <v>2005.583</v>
      </c>
      <c r="P106" t="inlineStr">
        <is>
          <t>Hard-to-employ TANF recipients (12+ months on TANF or no HS diploma/GED), not currently employed</t>
        </is>
      </c>
      <c r="Q106" t="n">
        <v>29.3</v>
      </c>
      <c r="R106" t="n">
        <v>0</v>
      </c>
      <c r="S106" t="n">
        <v>2.9</v>
      </c>
      <c r="T106" t="n">
        <v>84.2</v>
      </c>
      <c r="U106" t="n">
        <v>11.8</v>
      </c>
      <c r="V106" t="n">
        <v>53.3</v>
      </c>
      <c r="X106" t="inlineStr">
        <is>
          <t>TANF recipients meeting hard-to-employ criteria at 4 Philadelphia welfare offices</t>
        </is>
      </c>
      <c r="Z106" t="n">
        <v>725</v>
      </c>
      <c r="AA106" t="n">
        <v>486</v>
      </c>
      <c r="AK106" t="inlineStr">
        <is>
          <t>NDNH</t>
        </is>
      </c>
      <c r="AL106" t="n">
        <v>1</v>
      </c>
      <c r="AM106" t="n">
        <v>2</v>
      </c>
      <c r="AN106" t="n">
        <v>2.7</v>
      </c>
      <c r="AP106" t="n">
        <v>31</v>
      </c>
      <c r="AQ106" t="n">
        <v>-65</v>
      </c>
      <c r="AR106" t="n">
        <v>94.2</v>
      </c>
      <c r="AT106" t="n">
        <v>801</v>
      </c>
      <c r="AU106" t="inlineStr">
        <is>
          <t>quarterly</t>
        </is>
      </c>
      <c r="AV106" t="n">
        <v>2</v>
      </c>
      <c r="AW106" t="n">
        <v>0.1</v>
      </c>
      <c r="AX106" t="n">
        <v>2.4</v>
      </c>
      <c r="AZ106" t="n">
        <v>40.5</v>
      </c>
      <c r="BA106" t="n">
        <v>-126</v>
      </c>
      <c r="BB106" t="n">
        <v>114.5</v>
      </c>
      <c r="BD106" t="n">
        <v>1181</v>
      </c>
      <c r="BE106" t="inlineStr">
        <is>
          <t>quarterly</t>
        </is>
      </c>
      <c r="BF106" t="n">
        <v>4</v>
      </c>
      <c r="BG106" t="n">
        <v>0</v>
      </c>
      <c r="BJ106" t="n">
        <v>37.7</v>
      </c>
      <c r="BK106" t="n">
        <v>-191</v>
      </c>
      <c r="BL106" t="n">
        <v>137.5</v>
      </c>
      <c r="BN106" t="n">
        <v>1484</v>
      </c>
      <c r="BO106" t="inlineStr">
        <is>
          <t>quarterly</t>
        </is>
      </c>
      <c r="BP106" t="inlineStr">
        <is>
          <t>Jacobs and Bloom 2011 (MDRC), Alternative Employment Strategies for Hard-to-Employ TANF Recipients: Final Results from a Test of Transitional Jobs and Preemployment Services in Philadelphia (OPRE Report 2011-19), Appendix Table B.2 (quarterly impacts), Table 1.1 (demographics)</t>
        </is>
      </c>
      <c r="BQ106" t="inlineStr">
        <is>
          <t>Three-arm study: STEP shares control group with TWC. STEP was developed specifically for this study (not a pre-existing program). No significant impacts on employment or earnings at any horizon. Participation was low: only about half participated intensively (p. ES-8). Nearly all female (single mothers on TANF). LT employment impact is exactly 0.0 (p=0.988) — SE not computable. STEP cost not reported separately in this report.</t>
        </is>
      </c>
      <c r="BU106" t="inlineStr">
        <is>
          <t>PA</t>
        </is>
      </c>
      <c r="BV106" t="inlineStr">
        <is>
          <t>urban</t>
        </is>
      </c>
      <c r="BW106" t="n">
        <v>0</v>
      </c>
      <c r="BX106" t="n">
        <v>0</v>
      </c>
      <c r="BY106" t="n">
        <v>1</v>
      </c>
      <c r="BZ106" t="n">
        <v>0</v>
      </c>
      <c r="CA106" t="n">
        <v>0</v>
      </c>
      <c r="CB106" t="n">
        <v>1</v>
      </c>
      <c r="CC106" t="n">
        <v>0</v>
      </c>
      <c r="CD106" t="n">
        <v>0</v>
      </c>
      <c r="CE106" t="n">
        <v>77</v>
      </c>
      <c r="CF106" t="n">
        <v>0</v>
      </c>
      <c r="CG106" t="n">
        <v>3</v>
      </c>
      <c r="CH106" t="n">
        <v>38.1</v>
      </c>
    </row>
    <row r="107" ht="44.1" customHeight="1">
      <c r="A107" t="inlineStr">
        <is>
          <t>Transitional Employment Training Demonstration (TETD)</t>
        </is>
      </c>
      <c r="B107" t="inlineStr">
        <is>
          <t>Pooled (8 agencies)</t>
        </is>
      </c>
      <c r="C107" s="13" t="inlineStr">
        <is>
          <t>TETDTETD-Pooled (8 agencies)</t>
        </is>
      </c>
      <c r="D107" t="inlineStr">
        <is>
          <t>Transitional employment demonstration for SSI recipients with mental retardation. Two phases: Phase 1 provided up to 9 months of employment in a training position at or near minimum wage; Phase 2 provided up to 9 months of follow-along support after placement in a competitive job. Agencies placed participants in community jobs and provided on-the-job training and support services. (Decker &amp; Thornton 1995, pp. 72-73)</t>
        </is>
      </c>
      <c r="E107" t="inlineStr">
        <is>
          <t>primary</t>
        </is>
      </c>
      <c r="F107" t="n">
        <v>0</v>
      </c>
      <c r="G107" t="n">
        <v>1</v>
      </c>
      <c r="H107" t="n">
        <v>1</v>
      </c>
      <c r="I107" t="n">
        <v>1</v>
      </c>
      <c r="J107" t="inlineStr">
        <is>
          <t>Transitional subsidized employment, follow-along job support</t>
        </is>
      </c>
      <c r="K107" t="inlineStr">
        <is>
          <t>voluntary</t>
        </is>
      </c>
      <c r="L107" t="inlineStr">
        <is>
          <t>public</t>
        </is>
      </c>
      <c r="M107" t="inlineStr">
        <is>
          <t>private</t>
        </is>
      </c>
      <c r="N107" t="inlineStr">
        <is>
          <t>1985-1987</t>
        </is>
      </c>
      <c r="O107" t="n">
        <v>1986.5</v>
      </c>
      <c r="P107" t="inlineStr">
        <is>
          <t>SSI recipients with mental retardation, ages 18-40</t>
        </is>
      </c>
      <c r="Q107" t="n">
        <v>26.5</v>
      </c>
      <c r="R107" t="n">
        <v>59.2</v>
      </c>
      <c r="S107" t="n">
        <v>69.7</v>
      </c>
      <c r="T107" t="n">
        <v>30.3</v>
      </c>
      <c r="X107" t="inlineStr">
        <is>
          <t>Screened from ~13,000 eligible SSI recipients; invitation letters sent, enrollment voluntary</t>
        </is>
      </c>
      <c r="Z107" t="n">
        <v>375</v>
      </c>
      <c r="AA107" t="n">
        <v>370</v>
      </c>
      <c r="AJ107" t="n">
        <v>0.88</v>
      </c>
      <c r="AK107" t="inlineStr">
        <is>
          <t>SSA Supplemental Security Records</t>
        </is>
      </c>
      <c r="AL107" t="n">
        <v>1</v>
      </c>
      <c r="AM107" t="n">
        <v>14.6</v>
      </c>
      <c r="AN107" t="n">
        <v>4.5</v>
      </c>
      <c r="AO107" t="inlineStr">
        <is>
          <t>***</t>
        </is>
      </c>
      <c r="AP107" t="n">
        <v>39.6</v>
      </c>
      <c r="AQ107" t="n">
        <v>678</v>
      </c>
      <c r="AR107" t="n">
        <v>96</v>
      </c>
      <c r="AS107" t="inlineStr">
        <is>
          <t>***</t>
        </is>
      </c>
      <c r="AT107" t="n">
        <v>615</v>
      </c>
      <c r="AU107" t="inlineStr">
        <is>
          <t>annual</t>
        </is>
      </c>
      <c r="AV107" t="n">
        <v>2</v>
      </c>
      <c r="AW107" t="n">
        <v>12.2</v>
      </c>
      <c r="AX107" t="n">
        <v>4.3</v>
      </c>
      <c r="AY107" t="inlineStr">
        <is>
          <t>***</t>
        </is>
      </c>
      <c r="AZ107" t="n">
        <v>44.8</v>
      </c>
      <c r="BA107" t="n">
        <v>835</v>
      </c>
      <c r="BB107" t="n">
        <v>137</v>
      </c>
      <c r="BC107" t="inlineStr">
        <is>
          <t>***</t>
        </is>
      </c>
      <c r="BD107" t="n">
        <v>921</v>
      </c>
      <c r="BE107" t="inlineStr">
        <is>
          <t>annual</t>
        </is>
      </c>
      <c r="BF107" t="n">
        <v>6</v>
      </c>
      <c r="BG107" t="n">
        <v>8.1</v>
      </c>
      <c r="BH107" t="n">
        <v>4.3</v>
      </c>
      <c r="BI107" t="inlineStr">
        <is>
          <t>*</t>
        </is>
      </c>
      <c r="BJ107" t="n">
        <v>48.6</v>
      </c>
      <c r="BK107" t="n">
        <v>637</v>
      </c>
      <c r="BL107" t="n">
        <v>182</v>
      </c>
      <c r="BM107" t="inlineStr">
        <is>
          <t>***</t>
        </is>
      </c>
      <c r="BN107" t="n">
        <v>1131</v>
      </c>
      <c r="BO107" t="inlineStr">
        <is>
          <t>annual</t>
        </is>
      </c>
      <c r="BP107" t="inlineStr">
        <is>
          <t>Decker and Thornton 1995 (Social Security Bulletin 58(4)). Table 1 (p.73): demographics. Table 2 (p.76): earnings impacts. Table 3 (p.77): employment impacts.</t>
        </is>
      </c>
      <c r="BQ107" t="inlineStr">
        <is>
          <t>Earnings in 1986 dollars. All yearly earnings impacts significant at 1% (one-tailed). Employment SE from Year 3 used for LT (Year 6 employment ~10pp but SE not available from OCR). Employment measure: probability of being employed on enrollment anniversary. Earnings from SSA Supplemental Security Records. Impacts persist to Year 6. Cost $5,600 (1986$) is gross program cost per treatment group member, from Thornton and Decker 1989 as cited in Decker and Thornton 1995, p. 80. In 1995$, ~$7,300.</t>
        </is>
      </c>
      <c r="BR107" t="n">
        <v>5600</v>
      </c>
      <c r="BT107" t="inlineStr">
        <is>
          <t>No B-C analysis in Decker and Thornton 1995 (Social Security Bulletin). The 11-page journal article presents long-term impacts but no benefit-cost framework.</t>
        </is>
      </c>
      <c r="BU107" t="inlineStr">
        <is>
          <t>multiple</t>
        </is>
      </c>
      <c r="BV107" t="inlineStr">
        <is>
          <t>urban</t>
        </is>
      </c>
      <c r="BW107" t="n">
        <v>1</v>
      </c>
      <c r="BX107" t="n">
        <v>0</v>
      </c>
      <c r="BY107" t="n">
        <v>1</v>
      </c>
      <c r="BZ107" t="n">
        <v>0</v>
      </c>
      <c r="CA107" t="n">
        <v>0</v>
      </c>
      <c r="CB107" t="n">
        <v>1</v>
      </c>
      <c r="CC107" t="n">
        <v>0</v>
      </c>
      <c r="CD107" t="n">
        <v>0</v>
      </c>
      <c r="CE107" t="n">
        <v>67</v>
      </c>
      <c r="CF107" t="n">
        <v>0</v>
      </c>
      <c r="CI107" t="n">
        <v>12</v>
      </c>
    </row>
    <row r="108" ht="44.1" customHeight="1">
      <c r="A108" t="inlineStr">
        <is>
          <t>New Chance</t>
        </is>
      </c>
      <c r="B108" t="inlineStr">
        <is>
          <t>Pooled (16 sites)</t>
        </is>
      </c>
      <c r="C108" s="13" t="inlineStr">
        <is>
          <t>NC-Pooled (16 sites)</t>
        </is>
      </c>
      <c r="D108" t="inlineStr">
        <is>
          <t>Comprehensive program for young mothers in poverty providing GED preparation, skills training, college, work experience, job placement assistance, life skills, parenting education, child care, and family planning. Operated by community-based organizations at 16 sites. Voluntary. (Quint, Bos, and Polit 1997, pp. ES-1 to ES-5)</t>
        </is>
      </c>
      <c r="E108" t="inlineStr">
        <is>
          <t>primary</t>
        </is>
      </c>
      <c r="F108" t="n">
        <v>1</v>
      </c>
      <c r="G108" t="n">
        <v>0</v>
      </c>
      <c r="H108" t="n">
        <v>1</v>
      </c>
      <c r="I108" t="n">
        <v>1</v>
      </c>
      <c r="J108" t="inlineStr">
        <is>
          <t>GED preparation, parenting education, life skills, family planning, child care</t>
        </is>
      </c>
      <c r="K108" t="inlineStr">
        <is>
          <t>voluntary</t>
        </is>
      </c>
      <c r="L108" t="inlineStr">
        <is>
          <t>mixed</t>
        </is>
      </c>
      <c r="M108" t="inlineStr">
        <is>
          <t>private</t>
        </is>
      </c>
      <c r="N108" t="inlineStr">
        <is>
          <t>1989-1992</t>
        </is>
      </c>
      <c r="O108" t="n">
        <v>1991</v>
      </c>
      <c r="P108" t="inlineStr">
        <is>
          <t>Young mothers who had children as teenagers, had dropped out of high school, and were receiving AFDC</t>
        </is>
      </c>
      <c r="Q108" t="n">
        <v>18.8</v>
      </c>
      <c r="R108" t="n">
        <v>0</v>
      </c>
      <c r="S108" t="n">
        <v>22.5</v>
      </c>
      <c r="T108" t="n">
        <v>52.4</v>
      </c>
      <c r="U108" t="n">
        <v>22.8</v>
      </c>
      <c r="V108" t="n">
        <v>93.90000000000001</v>
      </c>
      <c r="W108" t="n">
        <v>9.9</v>
      </c>
      <c r="X108" t="inlineStr">
        <is>
          <t>Voluntary enrollment from 16 community-based sites</t>
        </is>
      </c>
      <c r="Z108" t="n">
        <v>1401</v>
      </c>
      <c r="AA108" t="n">
        <v>678</v>
      </c>
      <c r="AH108" t="n">
        <v>0.892</v>
      </c>
      <c r="AI108" t="n">
        <v>0.913</v>
      </c>
      <c r="AJ108" t="n">
        <v>0.906</v>
      </c>
      <c r="AK108" t="inlineStr">
        <is>
          <t>self-report (survey)</t>
        </is>
      </c>
      <c r="BF108" t="n">
        <v>3.5</v>
      </c>
      <c r="BG108" t="n">
        <v>-3.1</v>
      </c>
      <c r="BJ108" t="n">
        <v>30.9</v>
      </c>
      <c r="BK108" t="n">
        <v>-33</v>
      </c>
      <c r="BN108" t="n">
        <v>3045</v>
      </c>
      <c r="BO108" t="inlineStr">
        <is>
          <t>annual</t>
        </is>
      </c>
      <c r="BP108" t="inlineStr">
        <is>
          <t>Quint, Bos, and Polit 1997 (MDRC), 'New Chance: Final Report.' Table ES-7 (p. ES-20): employment and earnings impacts. Table 3.1 (p.38): demographics.</t>
        </is>
      </c>
      <c r="BQ108" t="inlineStr">
        <is>
          <t>Employment measure: 'employed at month 42' (point-in-time rate). Earnings: total during months 31-42 (last year of follow-up). No significant positive labor market impacts at 42 months. SEs not reported for non-significant differences. 2:1 randomization ratio (T:C). 98.8% survey response rate. Net cost ($7,445 in 1991$) from Quint, Bos, and Polit 1997, Table 4.12: gross experimental=$13,000, gross control=$5,555 (Method I, less case management/child care for controls). Method II (more case management/child care) gives net=$6,197.</t>
        </is>
      </c>
      <c r="BR108" t="n">
        <v>7445</v>
      </c>
      <c r="BU108" t="inlineStr">
        <is>
          <t>multiple</t>
        </is>
      </c>
      <c r="BV108" t="inlineStr">
        <is>
          <t>urban</t>
        </is>
      </c>
      <c r="BW108" t="n">
        <v>0</v>
      </c>
      <c r="BX108" t="n">
        <v>0</v>
      </c>
      <c r="BY108" t="n">
        <v>1</v>
      </c>
      <c r="BZ108" t="n">
        <v>0</v>
      </c>
      <c r="CA108" t="n">
        <v>0</v>
      </c>
      <c r="CB108" t="n">
        <v>1</v>
      </c>
      <c r="CC108" t="n">
        <v>0</v>
      </c>
      <c r="CD108" t="n">
        <v>0</v>
      </c>
      <c r="CE108" t="n">
        <v>89</v>
      </c>
      <c r="CF108" t="n">
        <v>0</v>
      </c>
      <c r="CG108" t="n">
        <v>8.6</v>
      </c>
      <c r="CH108" t="n">
        <v>85.90000000000001</v>
      </c>
      <c r="CI108" t="n">
        <v>6.4</v>
      </c>
    </row>
    <row r="109" ht="44.1" customHeight="1">
      <c r="A109" t="inlineStr">
        <is>
          <t>Employment Retention and Advancement (ERA)</t>
        </is>
      </c>
      <c r="B109" t="inlineStr">
        <is>
          <t>NYC PRIDE (single parents)</t>
        </is>
      </c>
      <c r="C109" s="13" t="inlineStr">
        <is>
          <t>ERAERA-Single parents)</t>
        </is>
      </c>
      <c r="D109" t="inlineStr">
        <is>
          <t>NYC PRIDE: mandatory welfare-to-work program for TANF recipients with documented health limitations. Provided vocational rehabilitation (VR) track or work-based education (WBE) track, including work experience, education/training, job search activities, and case management. Operated by NYC HRA with contracted providers. (Michalopoulos et al. 2005, pp. 1-6, 23-30)</t>
        </is>
      </c>
      <c r="E109" t="inlineStr">
        <is>
          <t>secondary</t>
        </is>
      </c>
      <c r="F109" t="n">
        <v>1</v>
      </c>
      <c r="G109" t="n">
        <v>1</v>
      </c>
      <c r="H109" t="n">
        <v>1</v>
      </c>
      <c r="I109" t="n">
        <v>1</v>
      </c>
      <c r="J109" t="inlineStr">
        <is>
          <t>Vocational rehabilitation, work experience placements, case management, sanctioning for noncompliance</t>
        </is>
      </c>
      <c r="K109" t="inlineStr">
        <is>
          <t>mandatory</t>
        </is>
      </c>
      <c r="L109" t="inlineStr">
        <is>
          <t>public</t>
        </is>
      </c>
      <c r="M109" t="inlineStr">
        <is>
          <t>public</t>
        </is>
      </c>
      <c r="N109" t="inlineStr">
        <is>
          <t>2000-2002</t>
        </is>
      </c>
      <c r="O109" t="n">
        <v>2001.5</v>
      </c>
      <c r="P109" t="inlineStr">
        <is>
          <t>TANF recipients with documented physical or mental health limitations (single parents)</t>
        </is>
      </c>
      <c r="Q109" t="n">
        <v>39</v>
      </c>
      <c r="R109" t="n">
        <v>0</v>
      </c>
      <c r="S109" t="n">
        <v>10.5</v>
      </c>
      <c r="T109" t="n">
        <v>36.6</v>
      </c>
      <c r="U109" t="n">
        <v>49.5</v>
      </c>
      <c r="X109" t="inlineStr">
        <is>
          <t>All TANF recipients referred to PRIDE with documented health problems; mandatory</t>
        </is>
      </c>
      <c r="Z109" t="n">
        <v>1553</v>
      </c>
      <c r="AA109" t="n">
        <v>1095</v>
      </c>
      <c r="AG109" t="n">
        <v>1</v>
      </c>
      <c r="AK109" t="inlineStr">
        <is>
          <t>UI wage records</t>
        </is>
      </c>
      <c r="AL109" t="n">
        <v>1</v>
      </c>
      <c r="AM109" t="n">
        <v>4.3</v>
      </c>
      <c r="AN109" t="n">
        <v>1.49</v>
      </c>
      <c r="AO109" t="inlineStr">
        <is>
          <t>***</t>
        </is>
      </c>
      <c r="AP109" t="n">
        <v>18.7</v>
      </c>
      <c r="AQ109" t="n">
        <v>163</v>
      </c>
      <c r="AT109" t="n">
        <v>1167</v>
      </c>
      <c r="AU109" t="inlineStr">
        <is>
          <t>annual</t>
        </is>
      </c>
      <c r="AV109" t="n">
        <v>2</v>
      </c>
      <c r="AW109" t="n">
        <v>5.1</v>
      </c>
      <c r="AX109" t="n">
        <v>1.65</v>
      </c>
      <c r="AY109" t="inlineStr">
        <is>
          <t>***</t>
        </is>
      </c>
      <c r="AZ109" t="n">
        <v>22</v>
      </c>
      <c r="BA109" t="n">
        <v>391</v>
      </c>
      <c r="BD109" t="n">
        <v>1815</v>
      </c>
      <c r="BE109" t="inlineStr">
        <is>
          <t>annual</t>
        </is>
      </c>
      <c r="BP109" t="inlineStr">
        <is>
          <t>Bloom, Miller, and Azurdia 2007, Table 1 (p.7): demographics. Table 6 (pp.38-39): employment and earnings impacts.</t>
        </is>
      </c>
      <c r="BQ109" t="inlineStr">
        <is>
          <t>Employment measure: 'ever employed in UI-covered job' during the year. Earnings impacts NOT tested for statistical significance because UI earnings data were provided as group averages (not individual-level); number of groups (16) too small for fair test. Earnings SE unavailable. Dollar year ~2002-2004.</t>
        </is>
      </c>
      <c r="BU109" t="inlineStr">
        <is>
          <t>NY</t>
        </is>
      </c>
      <c r="BV109" t="inlineStr">
        <is>
          <t>urban</t>
        </is>
      </c>
      <c r="BW109" t="n">
        <v>0</v>
      </c>
      <c r="BX109" t="n">
        <v>0</v>
      </c>
      <c r="BY109" t="n">
        <v>0</v>
      </c>
      <c r="BZ109" t="n">
        <v>0</v>
      </c>
      <c r="CA109" t="n">
        <v>0</v>
      </c>
      <c r="CB109" t="n">
        <v>0</v>
      </c>
      <c r="CC109" t="n">
        <v>0</v>
      </c>
      <c r="CD109" t="n">
        <v>0</v>
      </c>
      <c r="CE109" t="n">
        <v>19.3</v>
      </c>
      <c r="CF109" t="n">
        <v>13.7</v>
      </c>
      <c r="CG109" t="n">
        <v>5.1</v>
      </c>
      <c r="CH109" t="n">
        <v>26.3</v>
      </c>
    </row>
    <row r="110" ht="44.1" customHeight="1">
      <c r="A110" t="inlineStr">
        <is>
          <t>Structured Training and Employment Transitional Services (STETS)</t>
        </is>
      </c>
      <c r="B110" t="inlineStr">
        <is>
          <t>Pooled (5 cities)</t>
        </is>
      </c>
      <c r="C110" s="13" t="inlineStr">
        <is>
          <t>STETSSTETS-Pooled (5 cities)</t>
        </is>
      </c>
      <c r="D110" t="inlineStr">
        <is>
          <t>Transitional employment program for mentally retarded young adults ages 18-24. Two phases: Phase 1 provided 9 months of training jobs in sheltered workshops or community settings at minimum wage; Phase 2 provided supported/competitive employment with 3-6 months follow-along support. Five cities. Operated by local agencies under MDRC. (Kerachsky et al. 1985, Chapters II-III)</t>
        </is>
      </c>
      <c r="E110" t="inlineStr">
        <is>
          <t>primary</t>
        </is>
      </c>
      <c r="F110" t="n">
        <v>0</v>
      </c>
      <c r="G110" t="n">
        <v>1</v>
      </c>
      <c r="H110" t="n">
        <v>1</v>
      </c>
      <c r="I110" t="n">
        <v>1</v>
      </c>
      <c r="J110" t="inlineStr">
        <is>
          <t>Transitional subsidized employment (sheltered workshops and community placements), follow-along job support</t>
        </is>
      </c>
      <c r="K110" t="inlineStr">
        <is>
          <t>voluntary</t>
        </is>
      </c>
      <c r="L110" t="inlineStr">
        <is>
          <t>public</t>
        </is>
      </c>
      <c r="M110" t="inlineStr">
        <is>
          <t>private</t>
        </is>
      </c>
      <c r="N110" t="inlineStr">
        <is>
          <t>1981-1982</t>
        </is>
      </c>
      <c r="O110" t="n">
        <v>1982</v>
      </c>
      <c r="P110" t="inlineStr">
        <is>
          <t>Mentally retarded young adults ages 18-24</t>
        </is>
      </c>
      <c r="Q110" t="n">
        <v>20</v>
      </c>
      <c r="R110" t="n">
        <v>57.4</v>
      </c>
      <c r="S110" t="n">
        <v>51.5</v>
      </c>
      <c r="T110" t="n">
        <v>32.5</v>
      </c>
      <c r="U110" t="n">
        <v>13.7</v>
      </c>
      <c r="X110" t="inlineStr">
        <is>
          <t>Recruited from community agencies serving mentally retarded adults in 5 cities</t>
        </is>
      </c>
      <c r="Z110" t="n">
        <v>226</v>
      </c>
      <c r="AA110" t="n">
        <v>211</v>
      </c>
      <c r="AE110" t="n">
        <v>0.878</v>
      </c>
      <c r="AF110" t="n">
        <v>0.893</v>
      </c>
      <c r="AG110" t="n">
        <v>0.886</v>
      </c>
      <c r="AK110" t="inlineStr">
        <is>
          <t>22-month interview</t>
        </is>
      </c>
      <c r="AL110" t="n">
        <v>1.25</v>
      </c>
      <c r="AM110" t="n">
        <v>9.4</v>
      </c>
      <c r="AN110" t="n">
        <v>4.79</v>
      </c>
      <c r="AO110" t="inlineStr">
        <is>
          <t>**</t>
        </is>
      </c>
      <c r="AP110" t="n">
        <v>16.8</v>
      </c>
      <c r="AQ110" t="n">
        <v>10.59</v>
      </c>
      <c r="AR110" t="n">
        <v>5.4</v>
      </c>
      <c r="AS110" t="inlineStr">
        <is>
          <t>**</t>
        </is>
      </c>
      <c r="AT110" t="n">
        <v>16.31</v>
      </c>
      <c r="AU110" t="inlineStr">
        <is>
          <t>weekly</t>
        </is>
      </c>
      <c r="AV110" t="n">
        <v>1.83</v>
      </c>
      <c r="AW110" t="n">
        <v>11.9</v>
      </c>
      <c r="AX110" t="n">
        <v>6.07</v>
      </c>
      <c r="AY110" t="inlineStr">
        <is>
          <t>**</t>
        </is>
      </c>
      <c r="AZ110" t="n">
        <v>19.1</v>
      </c>
      <c r="BA110" t="n">
        <v>15.81</v>
      </c>
      <c r="BB110" t="n">
        <v>8.06</v>
      </c>
      <c r="BC110" t="inlineStr">
        <is>
          <t>**</t>
        </is>
      </c>
      <c r="BD110" t="n">
        <v>20.55</v>
      </c>
      <c r="BE110" t="inlineStr">
        <is>
          <t>weekly</t>
        </is>
      </c>
      <c r="BP110" t="inlineStr">
        <is>
          <t>Kerachsky et al. 1985 (MDRC), 'STETS: Final Report.' Table III.1 (p.40): demographics. Table IV.4 (p.73): employment impacts. Table IX.1 (p.172): summary impacts. Table IX.2 (p.175): subgroup impacts.</t>
        </is>
      </c>
      <c r="BQ110" t="inlineStr">
        <is>
          <t>Uses REGULAR JOB (unsubsidized) outcomes only, as STETS is a transitional jobs program. Total N=437 (226 exp, 211 ctrl). Monthly follow-up at 6, 15, 22 months. Earnings in weekly dollars. Cost $9,400 per participant (p.178, 1982 dollars). SEs not reported directly; derived from ** significance at 5% two-tailed (upper bounds).</t>
        </is>
      </c>
      <c r="BR110" t="n">
        <v>9400</v>
      </c>
      <c r="BU110" t="inlineStr">
        <is>
          <t>multiple</t>
        </is>
      </c>
      <c r="BV110" t="inlineStr">
        <is>
          <t>urban</t>
        </is>
      </c>
      <c r="BW110" t="n">
        <v>0</v>
      </c>
      <c r="BX110" t="n">
        <v>0</v>
      </c>
      <c r="BY110" t="n">
        <v>1</v>
      </c>
      <c r="BZ110" t="n">
        <v>0</v>
      </c>
      <c r="CA110" t="n">
        <v>0</v>
      </c>
      <c r="CB110" t="n">
        <v>1</v>
      </c>
      <c r="CC110" t="n">
        <v>0</v>
      </c>
      <c r="CD110" t="n">
        <v>0</v>
      </c>
      <c r="CE110" t="n">
        <v>92</v>
      </c>
      <c r="CF110" t="n">
        <v>0</v>
      </c>
      <c r="CG110" t="n">
        <v>21.1</v>
      </c>
      <c r="CH110" t="n">
        <v>40.6</v>
      </c>
      <c r="CI110" t="n">
        <v>12</v>
      </c>
    </row>
    <row r="111" ht="44.1" customHeight="1">
      <c r="A111" t="inlineStr">
        <is>
          <t>Teenage Parent Demonstration (TPD)</t>
        </is>
      </c>
      <c r="B111" t="inlineStr">
        <is>
          <t>Camden, NJ</t>
        </is>
      </c>
      <c r="C111" s="13" t="inlineStr">
        <is>
          <t>TPDTPD-Camden, NJ</t>
        </is>
      </c>
      <c r="D111" t="inlineStr">
        <is>
          <t>Mandatory welfare-to-work demonstration for teenage mothers on AFDC who had their first child before age 18. Required full-time (30 hrs/wk) participation in self-sufficiency activities: education (GED prep, schooling), job training, employment. Case managers developed individualized self-sufficiency plans. Programs provided child care, transportation, workshops on parenting and personal skills. Sanctions for noncompliance (AFDC grant reduction). Enhanced-services group vs. regular-services control. (Kisker, Rangarajan, and Boller 1998, pp. 45-46)</t>
        </is>
      </c>
      <c r="E111" t="inlineStr">
        <is>
          <t>primary</t>
        </is>
      </c>
      <c r="F111" t="n">
        <v>1</v>
      </c>
      <c r="G111" t="n">
        <v>0</v>
      </c>
      <c r="H111" t="n">
        <v>1</v>
      </c>
      <c r="I111" t="n">
        <v>1</v>
      </c>
      <c r="J111" t="inlineStr">
        <is>
          <t>GED prep, parenting workshops, child care, transportation, case management, AFDC sanctions for noncompliance</t>
        </is>
      </c>
      <c r="K111" t="inlineStr">
        <is>
          <t>mandatory</t>
        </is>
      </c>
      <c r="L111" t="inlineStr">
        <is>
          <t>public</t>
        </is>
      </c>
      <c r="M111" t="inlineStr">
        <is>
          <t>public</t>
        </is>
      </c>
      <c r="N111" t="inlineStr">
        <is>
          <t>mid-1987 to mid-1991</t>
        </is>
      </c>
      <c r="O111" t="n">
        <v>1989.5</v>
      </c>
      <c r="P111" t="inlineStr">
        <is>
          <t>Teenage mothers on AFDC who had first child before age 18</t>
        </is>
      </c>
      <c r="R111" t="n">
        <v>0</v>
      </c>
      <c r="X111" t="inlineStr">
        <is>
          <t>All eligible AFDC teen mothers referred; mandatory participation</t>
        </is>
      </c>
      <c r="Z111" t="n">
        <v>618</v>
      </c>
      <c r="AA111" t="n">
        <v>570</v>
      </c>
      <c r="AJ111" t="n">
        <v>1</v>
      </c>
      <c r="AK111" t="inlineStr">
        <is>
          <t>administrative wage records</t>
        </is>
      </c>
      <c r="BF111" t="n">
        <v>5</v>
      </c>
      <c r="BG111" t="n">
        <v>1.3</v>
      </c>
      <c r="BJ111" t="n">
        <v>21</v>
      </c>
      <c r="BK111" t="n">
        <v>325</v>
      </c>
      <c r="BN111" t="n">
        <v>6341</v>
      </c>
      <c r="BO111" t="inlineStr">
        <is>
          <t>cumulative over 5 years</t>
        </is>
      </c>
      <c r="BP111" t="inlineStr">
        <is>
          <t>Kisker, Rangarajan, and Boller 1998 (Mathematica), 'Moving Into Adulthood.' Table III.5 (p.63): 5-year employment/earnings. Table III.6 (p.69): 6-7 year survey outcomes.</t>
        </is>
      </c>
      <c r="BQ111" t="inlineStr">
        <is>
          <t>Enhanced-services (T) vs regular-services (C). Employment measure: average percent of 5-year period employed (admin wage records). Earnings: total over 5 years (nominal dollars). N from Table III.5 midpoints. 6-7yr survey (Table III.6): employment 0.6pp n.s., annual earnings $360 n.s.</t>
        </is>
      </c>
      <c r="BU111" t="inlineStr">
        <is>
          <t>NJ</t>
        </is>
      </c>
      <c r="BV111" t="inlineStr">
        <is>
          <t>urban</t>
        </is>
      </c>
      <c r="BW111" t="n">
        <v>0</v>
      </c>
      <c r="BX111" t="n">
        <v>0</v>
      </c>
      <c r="BY111" t="n">
        <v>0</v>
      </c>
      <c r="BZ111" t="n">
        <v>0</v>
      </c>
      <c r="CA111" t="n">
        <v>0</v>
      </c>
      <c r="CB111" t="n">
        <v>0</v>
      </c>
      <c r="CC111" t="n">
        <v>0</v>
      </c>
      <c r="CD111" t="n">
        <v>0</v>
      </c>
      <c r="CE111" t="n">
        <v>92</v>
      </c>
      <c r="CF111" t="n">
        <v>0</v>
      </c>
    </row>
    <row r="112" ht="44.1" customHeight="1">
      <c r="A112" t="inlineStr">
        <is>
          <t>Teenage Parent Demonstration (TPD)</t>
        </is>
      </c>
      <c r="B112" t="inlineStr">
        <is>
          <t>Newark, NJ</t>
        </is>
      </c>
      <c r="C112" s="13" t="inlineStr">
        <is>
          <t>TPDTPD-Newark, NJ</t>
        </is>
      </c>
      <c r="D112" t="inlineStr">
        <is>
          <t>Mandatory welfare-to-work demonstration for teenage mothers on AFDC who had their first child before age 18. Required full-time (30 hrs/wk) participation in self-sufficiency activities: education (GED prep, schooling), job training, employment. Case managers developed individualized self-sufficiency plans. Programs provided child care, transportation, workshops on parenting and personal skills. Sanctions for noncompliance (AFDC grant reduction). Enhanced-services group vs. regular-services control. (Kisker, Rangarajan, and Boller 1998, pp. 45-46)</t>
        </is>
      </c>
      <c r="E112" t="inlineStr">
        <is>
          <t>primary</t>
        </is>
      </c>
      <c r="F112" t="n">
        <v>1</v>
      </c>
      <c r="G112" t="n">
        <v>0</v>
      </c>
      <c r="H112" t="n">
        <v>1</v>
      </c>
      <c r="I112" t="n">
        <v>1</v>
      </c>
      <c r="J112" t="inlineStr">
        <is>
          <t>GED prep, parenting workshops, child care, transportation, case management, AFDC sanctions for noncompliance</t>
        </is>
      </c>
      <c r="K112" t="inlineStr">
        <is>
          <t>mandatory</t>
        </is>
      </c>
      <c r="L112" t="inlineStr">
        <is>
          <t>public</t>
        </is>
      </c>
      <c r="M112" t="inlineStr">
        <is>
          <t>public</t>
        </is>
      </c>
      <c r="N112" t="inlineStr">
        <is>
          <t>mid-1987 to mid-1991</t>
        </is>
      </c>
      <c r="O112" t="n">
        <v>1989.5</v>
      </c>
      <c r="P112" t="inlineStr">
        <is>
          <t>Teenage mothers on AFDC who had first child before age 18</t>
        </is>
      </c>
      <c r="R112" t="n">
        <v>0</v>
      </c>
      <c r="X112" t="inlineStr">
        <is>
          <t>All eligible AFDC teen mothers referred; mandatory participation</t>
        </is>
      </c>
      <c r="Z112" t="n">
        <v>570</v>
      </c>
      <c r="AA112" t="n">
        <v>609</v>
      </c>
      <c r="AJ112" t="n">
        <v>1</v>
      </c>
      <c r="AK112" t="inlineStr">
        <is>
          <t>administrative wage records</t>
        </is>
      </c>
      <c r="BF112" t="n">
        <v>5</v>
      </c>
      <c r="BG112" t="n">
        <v>1.5</v>
      </c>
      <c r="BJ112" t="n">
        <v>22</v>
      </c>
      <c r="BK112" t="n">
        <v>73</v>
      </c>
      <c r="BN112" t="n">
        <v>7691</v>
      </c>
      <c r="BO112" t="inlineStr">
        <is>
          <t>cumulative over 5 years</t>
        </is>
      </c>
      <c r="BP112" t="inlineStr">
        <is>
          <t>Kisker, Rangarajan, and Boller 1998 (Mathematica), 'Moving Into Adulthood.' Table III.5 (p.63): 5-year employment/earnings. Table III.6 (p.69): 6-7 year survey outcomes.</t>
        </is>
      </c>
      <c r="BQ112" t="inlineStr">
        <is>
          <t>Enhanced-services (T) vs regular-services (C). Employment: avg pct of 5-year period employed (admin records). Earnings: total over 5 years (nominal). 6-7yr survey (Table III.6): employment -8.4**pp, annual earnings -$549 n.s. (negative impacts at long-term survey).</t>
        </is>
      </c>
      <c r="BU112" t="inlineStr">
        <is>
          <t>NJ</t>
        </is>
      </c>
      <c r="BV112" t="inlineStr">
        <is>
          <t>urban</t>
        </is>
      </c>
      <c r="BW112" t="n">
        <v>0</v>
      </c>
      <c r="BX112" t="n">
        <v>0</v>
      </c>
      <c r="BY112" t="n">
        <v>0</v>
      </c>
      <c r="BZ112" t="n">
        <v>0</v>
      </c>
      <c r="CA112" t="n">
        <v>0</v>
      </c>
      <c r="CB112" t="n">
        <v>0</v>
      </c>
      <c r="CC112" t="n">
        <v>0</v>
      </c>
      <c r="CD112" t="n">
        <v>0</v>
      </c>
      <c r="CE112" t="n">
        <v>92</v>
      </c>
      <c r="CF112" t="n">
        <v>0</v>
      </c>
    </row>
    <row r="113" ht="44.1" customHeight="1">
      <c r="A113" t="inlineStr">
        <is>
          <t>Teenage Parent Demonstration (TPD)</t>
        </is>
      </c>
      <c r="B113" t="inlineStr">
        <is>
          <t>Chicago, IL</t>
        </is>
      </c>
      <c r="C113" s="13" t="inlineStr">
        <is>
          <t>TPDTPD-Chicago, IL</t>
        </is>
      </c>
      <c r="D113" t="inlineStr">
        <is>
          <t>Mandatory welfare-to-work demonstration for teenage mothers on AFDC who had their first child before age 18. Required full-time (30 hrs/wk) participation in self-sufficiency activities: education (GED prep, schooling), job training, employment. Case managers developed individualized self-sufficiency plans. Programs provided child care, transportation, workshops on parenting and personal skills. Sanctions for noncompliance (AFDC grant reduction). Enhanced-services group vs. regular-services control. (Kisker, Rangarajan, and Boller 1998, pp. 45-46)</t>
        </is>
      </c>
      <c r="E113" t="inlineStr">
        <is>
          <t>primary</t>
        </is>
      </c>
      <c r="F113" t="n">
        <v>1</v>
      </c>
      <c r="G113" t="n">
        <v>0</v>
      </c>
      <c r="H113" t="n">
        <v>1</v>
      </c>
      <c r="I113" t="n">
        <v>1</v>
      </c>
      <c r="J113" t="inlineStr">
        <is>
          <t>GED prep, parenting workshops, child care, transportation, case management, AFDC sanctions for noncompliance</t>
        </is>
      </c>
      <c r="K113" t="inlineStr">
        <is>
          <t>mandatory</t>
        </is>
      </c>
      <c r="L113" t="inlineStr">
        <is>
          <t>public</t>
        </is>
      </c>
      <c r="M113" t="inlineStr">
        <is>
          <t>public</t>
        </is>
      </c>
      <c r="N113" t="inlineStr">
        <is>
          <t>mid-1987 to mid-1991</t>
        </is>
      </c>
      <c r="O113" t="n">
        <v>1989.5</v>
      </c>
      <c r="P113" t="inlineStr">
        <is>
          <t>Teenage mothers on AFDC who had first child before age 18</t>
        </is>
      </c>
      <c r="R113" t="n">
        <v>0</v>
      </c>
      <c r="X113" t="inlineStr">
        <is>
          <t>All eligible AFDC teen mothers referred; mandatory participation</t>
        </is>
      </c>
      <c r="Z113" t="n">
        <v>1434</v>
      </c>
      <c r="AA113" t="n">
        <v>1449</v>
      </c>
      <c r="AJ113" t="n">
        <v>1</v>
      </c>
      <c r="AK113" t="inlineStr">
        <is>
          <t>administrative wage records</t>
        </is>
      </c>
      <c r="BF113" t="n">
        <v>5</v>
      </c>
      <c r="BG113" t="n">
        <v>2.2</v>
      </c>
      <c r="BH113" t="n">
        <v>1.12</v>
      </c>
      <c r="BI113" t="inlineStr">
        <is>
          <t>**</t>
        </is>
      </c>
      <c r="BJ113" t="n">
        <v>26.2</v>
      </c>
      <c r="BK113" t="n">
        <v>699</v>
      </c>
      <c r="BN113" t="n">
        <v>8692</v>
      </c>
      <c r="BO113" t="inlineStr">
        <is>
          <t>cumulative over 5 years</t>
        </is>
      </c>
      <c r="BP113" t="inlineStr">
        <is>
          <t>Kisker, Rangarajan, and Boller 1998 (Mathematica), 'Moving Into Adulthood.' Table III.5 (p.63): 5-year employment/earnings.</t>
        </is>
      </c>
      <c r="BQ113" t="inlineStr">
        <is>
          <t>Enhanced-services (T) vs regular-services (C). Employment: avg pct of 5-year period employed (admin records), significant at 5%. Earnings: total over 5 years (nominal), not significant. Largest site (N~2,883). 6-7yr survey (Table III.6): employment 0.7pp n.s., annual earnings $20 n.s.</t>
        </is>
      </c>
      <c r="BT113" t="inlineStr">
        <is>
          <t>No B-C analysis in Kisker, Rangarajan, and Boller 1998 (Mathematica). Report covers impacts on employment, earnings, education, and parenting but no formal benefit-cost analysis.</t>
        </is>
      </c>
      <c r="BU113" t="inlineStr">
        <is>
          <t>IL</t>
        </is>
      </c>
      <c r="BV113" t="inlineStr">
        <is>
          <t>urban</t>
        </is>
      </c>
      <c r="BW113" t="n">
        <v>0</v>
      </c>
      <c r="BX113" t="n">
        <v>0</v>
      </c>
      <c r="BY113" t="n">
        <v>0</v>
      </c>
      <c r="BZ113" t="n">
        <v>0</v>
      </c>
      <c r="CA113" t="n">
        <v>0</v>
      </c>
      <c r="CB113" t="n">
        <v>0</v>
      </c>
      <c r="CC113" t="n">
        <v>0</v>
      </c>
      <c r="CD113" t="n">
        <v>0</v>
      </c>
      <c r="CE113" t="n">
        <v>92</v>
      </c>
      <c r="CF113" t="n">
        <v>0</v>
      </c>
    </row>
    <row r="114" ht="44.1" customHeight="1">
      <c r="A114" t="inlineStr">
        <is>
          <t>Vermont Welfare Restructuring Project (WRP)</t>
        </is>
      </c>
      <c r="B114" t="inlineStr">
        <is>
          <t>Vermont (statewide, single parents)</t>
        </is>
      </c>
      <c r="C114" s="13" t="inlineStr">
        <is>
          <t>VWRPWRP-Single parents)</t>
        </is>
      </c>
      <c r="D114" t="inlineStr">
        <is>
          <t>Work requirements after 30 months of cash assistance receipt, financial work incentives, community service employment positions for those who could not find regular jobs, job search assistance</t>
        </is>
      </c>
      <c r="E114" t="inlineStr">
        <is>
          <t>incidental</t>
        </is>
      </c>
      <c r="F114" t="n">
        <v>0</v>
      </c>
      <c r="G114" t="n">
        <v>0</v>
      </c>
      <c r="H114" t="n">
        <v>1</v>
      </c>
      <c r="I114" t="n">
        <v>1</v>
      </c>
      <c r="J114" t="inlineStr">
        <is>
          <t>Financial work incentives, work requirements, community service employment</t>
        </is>
      </c>
      <c r="K114" t="inlineStr">
        <is>
          <t>mandatory</t>
        </is>
      </c>
      <c r="L114" t="inlineStr">
        <is>
          <t>public</t>
        </is>
      </c>
      <c r="M114" t="inlineStr">
        <is>
          <t>public</t>
        </is>
      </c>
      <c r="N114" t="inlineStr">
        <is>
          <t>1994-1996</t>
        </is>
      </c>
      <c r="O114" t="n">
        <v>1995.5</v>
      </c>
      <c r="P114" t="inlineStr">
        <is>
          <t>AFDC/ANFC single-parent welfare recipients</t>
        </is>
      </c>
      <c r="Q114" t="n">
        <v>30.8</v>
      </c>
      <c r="R114" t="n">
        <v>6.7</v>
      </c>
      <c r="V114" t="n">
        <v>26.9</v>
      </c>
      <c r="Z114" t="n">
        <v>3271</v>
      </c>
      <c r="AA114" t="n">
        <v>1110</v>
      </c>
      <c r="AK114" t="inlineStr">
        <is>
          <t>UI wage records</t>
        </is>
      </c>
      <c r="AL114" t="n">
        <v>1.5</v>
      </c>
      <c r="AM114" t="n">
        <v>3.5</v>
      </c>
      <c r="AN114" t="n">
        <v>1.4</v>
      </c>
      <c r="AO114" t="inlineStr">
        <is>
          <t>***</t>
        </is>
      </c>
      <c r="AP114" t="n">
        <v>39.4</v>
      </c>
      <c r="AQ114" t="n">
        <v>177</v>
      </c>
      <c r="AT114" t="n">
        <v>3482</v>
      </c>
      <c r="AU114" t="inlineStr">
        <is>
          <t>annual</t>
        </is>
      </c>
      <c r="AV114" t="n">
        <v>3.5</v>
      </c>
      <c r="AW114" t="n">
        <v>7.5</v>
      </c>
      <c r="AX114" t="n">
        <v>2.9</v>
      </c>
      <c r="AY114" t="inlineStr">
        <is>
          <t>***</t>
        </is>
      </c>
      <c r="AZ114" t="n">
        <v>48.7</v>
      </c>
      <c r="BA114" t="n">
        <v>713</v>
      </c>
      <c r="BB114" t="n">
        <v>276.8</v>
      </c>
      <c r="BC114" t="inlineStr">
        <is>
          <t>***</t>
        </is>
      </c>
      <c r="BD114" t="n">
        <v>5593</v>
      </c>
      <c r="BE114" t="inlineStr">
        <is>
          <t>annual</t>
        </is>
      </c>
      <c r="BF114" t="n">
        <v>5.5</v>
      </c>
      <c r="BG114" t="n">
        <v>5.5</v>
      </c>
      <c r="BH114" t="n">
        <v>2.1</v>
      </c>
      <c r="BI114" t="inlineStr">
        <is>
          <t>***</t>
        </is>
      </c>
      <c r="BJ114" t="n">
        <v>51.6</v>
      </c>
      <c r="BK114" t="n">
        <v>634</v>
      </c>
      <c r="BL114" t="n">
        <v>323.4</v>
      </c>
      <c r="BM114" t="inlineStr">
        <is>
          <t>**</t>
        </is>
      </c>
      <c r="BN114" t="n">
        <v>7415</v>
      </c>
      <c r="BO114" t="inlineStr">
        <is>
          <t>annual</t>
        </is>
      </c>
      <c r="BP114" t="inlineStr">
        <is>
          <t>Scrivener et al 2002 (MDRC), WRP Final Report, Tables 3, 5, 6</t>
        </is>
      </c>
      <c r="BQ114" t="inlineStr">
        <is>
          <t>Employment measure is average quarterly employment rate (%). Vermont sample ~97% white; race not reported. Three-group design (WRP vs ANFC vs WRP Incentives Only); extraction uses WRP vs ANFC comparison. Earnings impacts in Years 1-2 not statistically significant. Net cost ($1,323 in 2000$, discounted at 5%) from Scrivener et al. 2002, Table 13: 6-year gross WRP=$13,792, gross ANFC=$12,469. Costs cover employment services and related support services only (not transfer payments).</t>
        </is>
      </c>
      <c r="BR114" t="n">
        <v>1323</v>
      </c>
      <c r="BS114" t="n">
        <v>2841</v>
      </c>
      <c r="BT114" t="inlineStr">
        <is>
          <t>Scrivener et al. 2002, Table 15 (p.78). Social perspective: earnings and fringe benefits = $2,841 (2000$, 6-year NPV at 5% discount rate). Net social value = $2,247. Includes UI benefits in earnings+fringe total.</t>
        </is>
      </c>
      <c r="BU114" t="inlineStr">
        <is>
          <t>VT</t>
        </is>
      </c>
      <c r="BV114" t="inlineStr">
        <is>
          <t>rural</t>
        </is>
      </c>
      <c r="BW114" t="n">
        <v>0</v>
      </c>
      <c r="BX114" t="n">
        <v>0</v>
      </c>
      <c r="BY114" t="n">
        <v>0</v>
      </c>
      <c r="BZ114" t="n">
        <v>0</v>
      </c>
      <c r="CA114" t="n">
        <v>0</v>
      </c>
      <c r="CB114" t="n">
        <v>0</v>
      </c>
      <c r="CC114" t="n">
        <v>0</v>
      </c>
      <c r="CD114" t="n">
        <v>0</v>
      </c>
      <c r="CE114" t="n">
        <v>4.1</v>
      </c>
      <c r="CF114" t="n">
        <v>34.4</v>
      </c>
      <c r="CG114" t="n">
        <v>4</v>
      </c>
      <c r="CH114" t="n">
        <v>26.2</v>
      </c>
    </row>
    <row r="115" ht="44.1" customHeight="1">
      <c r="A115" t="inlineStr">
        <is>
          <t>New Hope for Families and Children</t>
        </is>
      </c>
      <c r="B115" t="inlineStr">
        <is>
          <t>Milwaukee (2 neighborhoods)</t>
        </is>
      </c>
      <c r="C115" s="13" t="inlineStr">
        <is>
          <t>NHFC-Milwaukee (2 neighborhoods)</t>
        </is>
      </c>
      <c r="D115" t="inlineStr">
        <is>
          <t>Earnings supplement to raise income above poverty level for those working 30+ hours/week, subsidized health insurance, subsidized child care, community service jobs for those unable to find full-time work</t>
        </is>
      </c>
      <c r="E115" t="inlineStr">
        <is>
          <t>incidental</t>
        </is>
      </c>
      <c r="F115" t="n">
        <v>0</v>
      </c>
      <c r="G115" t="n">
        <v>0</v>
      </c>
      <c r="H115" t="n">
        <v>0</v>
      </c>
      <c r="I115" t="n">
        <v>1</v>
      </c>
      <c r="J115" t="inlineStr">
        <is>
          <t>Earnings supplement, subsidized health insurance, subsidized child care, community service jobs</t>
        </is>
      </c>
      <c r="K115" t="inlineStr">
        <is>
          <t>voluntary</t>
        </is>
      </c>
      <c r="L115" t="inlineStr">
        <is>
          <t>private</t>
        </is>
      </c>
      <c r="M115" t="inlineStr">
        <is>
          <t>private</t>
        </is>
      </c>
      <c r="N115" t="inlineStr">
        <is>
          <t>1994-1995</t>
        </is>
      </c>
      <c r="O115" t="n">
        <v>1995</v>
      </c>
      <c r="P115" t="inlineStr">
        <is>
          <t>Low-income adults in two Milwaukee neighborhoods, age 18+, willing to work 30+ hours/week</t>
        </is>
      </c>
      <c r="Q115" t="n">
        <v>29.4</v>
      </c>
      <c r="R115" t="n">
        <v>8.6</v>
      </c>
      <c r="S115" t="n">
        <v>13</v>
      </c>
      <c r="T115" t="n">
        <v>55.6</v>
      </c>
      <c r="U115" t="n">
        <v>28.3</v>
      </c>
      <c r="V115" t="n">
        <v>39.4</v>
      </c>
      <c r="W115" t="n">
        <v>10.8</v>
      </c>
      <c r="Z115" t="n">
        <v>366</v>
      </c>
      <c r="AA115" t="n">
        <v>379</v>
      </c>
      <c r="AK115" t="inlineStr">
        <is>
          <t>UI wage records</t>
        </is>
      </c>
      <c r="AL115" t="n">
        <v>1</v>
      </c>
      <c r="AM115" t="n">
        <v>8.199999999999999</v>
      </c>
      <c r="AN115" t="n">
        <v>2.5</v>
      </c>
      <c r="AO115" t="inlineStr">
        <is>
          <t>***</t>
        </is>
      </c>
      <c r="AP115" t="n">
        <v>81.90000000000001</v>
      </c>
      <c r="AQ115" t="n">
        <v>1088</v>
      </c>
      <c r="AR115" t="n">
        <v>366.6</v>
      </c>
      <c r="AS115" t="inlineStr">
        <is>
          <t>***</t>
        </is>
      </c>
      <c r="AT115" t="n">
        <v>5919</v>
      </c>
      <c r="AU115" t="inlineStr">
        <is>
          <t>annual</t>
        </is>
      </c>
      <c r="AV115" t="n">
        <v>2</v>
      </c>
      <c r="AW115" t="n">
        <v>7.3</v>
      </c>
      <c r="AX115" t="n">
        <v>2.5</v>
      </c>
      <c r="AY115" t="inlineStr">
        <is>
          <t>***</t>
        </is>
      </c>
      <c r="AZ115" t="n">
        <v>82.7</v>
      </c>
      <c r="BA115" t="n">
        <v>424</v>
      </c>
      <c r="BB115" t="n">
        <v>471.1</v>
      </c>
      <c r="BD115" t="n">
        <v>7886</v>
      </c>
      <c r="BE115" t="inlineStr">
        <is>
          <t>annual</t>
        </is>
      </c>
      <c r="BF115" t="n">
        <v>5</v>
      </c>
      <c r="BG115" t="n">
        <v>1.2</v>
      </c>
      <c r="BH115" t="n">
        <v>2.9</v>
      </c>
      <c r="BJ115" t="n">
        <v>80</v>
      </c>
      <c r="BK115" t="n">
        <v>500</v>
      </c>
      <c r="BL115" t="n">
        <v>686.1</v>
      </c>
      <c r="BN115" t="n">
        <v>10824</v>
      </c>
      <c r="BO115" t="inlineStr">
        <is>
          <t>annual</t>
        </is>
      </c>
      <c r="BP115" t="inlineStr">
        <is>
          <t>Huston et al 2003 (MDRC), New Hope Five-Year Results, Tables 2.1, 3.1</t>
        </is>
      </c>
      <c r="BQ115" t="inlineStr">
        <is>
          <t>CFS (Child and Family Study) sample: 745 adults with children ages 1-10 at enrollment. Full New Hope sample was 1,357. Employment measure is 'ever employed (%)' per year from UI records. Earnings-related income (including EITC and supplement) showed larger, more persistent effects but extraction uses earnings only per protocol. Community service jobs (CSJs) contributed substantially to employment effects. Program lasted 3 years (1994-1997). Net cost ($8,112 in 1996$) from Bos et al. 1999, Table 8.2: gross program cost=$9,056 for 2 years, minus $944 savings in other programs (AFDC, Medicaid, child care). Three-year gross cost for CFS sample was $15,799 (Huston et al. 2003, Table 2.5) but no 3-year net cost computed.</t>
        </is>
      </c>
      <c r="BR115" t="n">
        <v>8112</v>
      </c>
      <c r="BT115" t="inlineStr">
        <is>
          <t>Bos et al. 1999, Table 8.3 (p.311). 2-year B-C in 1996$. Net social loss = -$2,619. Gross output gain = $639 (value of CSJ work $945 minus reduction in unsubsidized earnings $306). Program primarily delivered in-kind benefits (health insurance $1,247, child care $2,376) which are transfers. No 5-year B-C published.</t>
        </is>
      </c>
      <c r="BU115" t="inlineStr">
        <is>
          <t>WI</t>
        </is>
      </c>
      <c r="BV115" t="inlineStr">
        <is>
          <t>urban</t>
        </is>
      </c>
      <c r="BW115" t="n">
        <v>0</v>
      </c>
      <c r="BX115" t="n">
        <v>0</v>
      </c>
      <c r="BY115" t="n">
        <v>1</v>
      </c>
      <c r="BZ115" t="n">
        <v>0</v>
      </c>
      <c r="CA115" t="n">
        <v>0</v>
      </c>
      <c r="CB115" t="n">
        <v>0</v>
      </c>
      <c r="CC115" t="n">
        <v>0</v>
      </c>
      <c r="CD115" t="n">
        <v>0</v>
      </c>
      <c r="CE115" t="n">
        <v>79.2</v>
      </c>
      <c r="CF115" t="n">
        <v>0</v>
      </c>
      <c r="CG115" t="n">
        <v>-4.4</v>
      </c>
      <c r="CH115" t="n">
        <v>18.5</v>
      </c>
    </row>
    <row r="116" ht="44.1" customHeight="1">
      <c r="A116" t="inlineStr">
        <is>
          <t>Florida Project Independence</t>
        </is>
      </c>
      <c r="B116" t="inlineStr">
        <is>
          <t>Florida (9 counties pooled)</t>
        </is>
      </c>
      <c r="C116" s="13" t="inlineStr">
        <is>
          <t>FPI-Counties pooled)</t>
        </is>
      </c>
      <c r="D116" t="inlineStr">
        <is>
          <t>Florida's JOBS program: job search assistance, orientation, assessment; education and training for those designated 'not job-ready'; child care support</t>
        </is>
      </c>
      <c r="E116" t="inlineStr">
        <is>
          <t>secondary</t>
        </is>
      </c>
      <c r="F116" t="n">
        <v>1</v>
      </c>
      <c r="G116" t="n">
        <v>0</v>
      </c>
      <c r="H116" t="n">
        <v>1</v>
      </c>
      <c r="I116" t="n">
        <v>1</v>
      </c>
      <c r="J116" t="inlineStr">
        <is>
          <t>Orientation, assessment, case management, child care support</t>
        </is>
      </c>
      <c r="K116" t="inlineStr">
        <is>
          <t>mandatory</t>
        </is>
      </c>
      <c r="L116" t="inlineStr">
        <is>
          <t>public</t>
        </is>
      </c>
      <c r="M116" t="inlineStr">
        <is>
          <t>public</t>
        </is>
      </c>
      <c r="N116" t="inlineStr">
        <is>
          <t>July 1990-August 1991</t>
        </is>
      </c>
      <c r="O116" t="n">
        <v>1991.083</v>
      </c>
      <c r="P116" t="inlineStr">
        <is>
          <t>AFDC applicants and recipients</t>
        </is>
      </c>
      <c r="Q116" t="n">
        <v>32.1</v>
      </c>
      <c r="S116" t="n">
        <v>33.5</v>
      </c>
      <c r="T116" t="n">
        <v>37.7</v>
      </c>
      <c r="U116" t="n">
        <v>22.2</v>
      </c>
      <c r="V116" t="n">
        <v>41.4</v>
      </c>
      <c r="Z116" t="n">
        <v>13513</v>
      </c>
      <c r="AA116" t="n">
        <v>4724</v>
      </c>
      <c r="AK116" t="inlineStr">
        <is>
          <t>UI wage records</t>
        </is>
      </c>
      <c r="AL116" t="n">
        <v>1</v>
      </c>
      <c r="AM116" t="n">
        <v>2.8</v>
      </c>
      <c r="AN116" t="n">
        <v>1.1</v>
      </c>
      <c r="AO116" t="inlineStr">
        <is>
          <t>***</t>
        </is>
      </c>
      <c r="AP116" t="n">
        <v>52.6</v>
      </c>
      <c r="AQ116" t="n">
        <v>146</v>
      </c>
      <c r="AR116" t="n">
        <v>74.5</v>
      </c>
      <c r="AS116" t="inlineStr">
        <is>
          <t>**</t>
        </is>
      </c>
      <c r="AT116" t="n">
        <v>2401</v>
      </c>
      <c r="AU116" t="inlineStr">
        <is>
          <t>annual</t>
        </is>
      </c>
      <c r="AV116" t="n">
        <v>2</v>
      </c>
      <c r="AW116" t="n">
        <v>2.1</v>
      </c>
      <c r="AX116" t="n">
        <v>0.8</v>
      </c>
      <c r="AY116" t="inlineStr">
        <is>
          <t>***</t>
        </is>
      </c>
      <c r="AZ116" t="n">
        <v>51.2</v>
      </c>
      <c r="BA116" t="n">
        <v>80</v>
      </c>
      <c r="BD116" t="n">
        <v>3138</v>
      </c>
      <c r="BE116" t="inlineStr">
        <is>
          <t>annual</t>
        </is>
      </c>
      <c r="BP116" t="inlineStr">
        <is>
          <t>Kemple, Friedlander, and Fellerath 1995 (MDRC), Florida's Project Independence, Tables 2.2, 3 (ES-16), 6 (ES-23)</t>
        </is>
      </c>
      <c r="BQ116" t="inlineStr">
        <is>
          <t>Employment measure is 'ever employed (%)' per year from UI records. Gender not reported but AFDC population is overwhelmingly female (~95%). Cost is $1,304 per program group member (1993 dollars, 5-year total). Earnings impacts declined from Year 1 ($146**) to Year 2 ($80 n.s.). 3:1 randomization ratio for applicants, varied for recipients.</t>
        </is>
      </c>
      <c r="BR116" t="n">
        <v>1304</v>
      </c>
      <c r="BU116" t="inlineStr">
        <is>
          <t>FL</t>
        </is>
      </c>
      <c r="BV116" t="inlineStr">
        <is>
          <t>urban</t>
        </is>
      </c>
      <c r="BW116" t="n">
        <v>0</v>
      </c>
      <c r="BX116" t="n">
        <v>0</v>
      </c>
      <c r="BY116" t="n">
        <v>0</v>
      </c>
      <c r="BZ116" t="n">
        <v>0</v>
      </c>
      <c r="CA116" t="n">
        <v>0</v>
      </c>
      <c r="CB116" t="n">
        <v>0</v>
      </c>
      <c r="CC116" t="n">
        <v>0</v>
      </c>
      <c r="CD116" t="n">
        <v>0</v>
      </c>
      <c r="CE116" t="n">
        <v>23.8</v>
      </c>
      <c r="CF116" t="n">
        <v>40.1</v>
      </c>
      <c r="CG116" t="n">
        <v>11</v>
      </c>
      <c r="CH116" t="n">
        <v>30.5</v>
      </c>
      <c r="CI116" t="n">
        <v>4.3</v>
      </c>
    </row>
    <row r="117" ht="44.1" customHeight="1">
      <c r="A117" t="inlineStr">
        <is>
          <t>Work Advancement and Support Center (WASC)</t>
        </is>
      </c>
      <c r="B117" t="inlineStr">
        <is>
          <t>Dayton, OH</t>
        </is>
      </c>
      <c r="C117" s="13" t="inlineStr">
        <is>
          <t>WASCWASC-Dayton, OH</t>
        </is>
      </c>
      <c r="D117" t="inlineStr">
        <is>
          <t>Career coaching, education/training referrals, help accessing work supports (food stamps, EITC, child care subsidies, Medicaid)</t>
        </is>
      </c>
      <c r="E117" t="inlineStr">
        <is>
          <t>incidental</t>
        </is>
      </c>
      <c r="F117" t="n">
        <v>0</v>
      </c>
      <c r="G117" t="n">
        <v>0</v>
      </c>
      <c r="H117" t="n">
        <v>0</v>
      </c>
      <c r="I117" t="n">
        <v>1</v>
      </c>
      <c r="J117" t="inlineStr">
        <is>
          <t>Career coaching, work supports access (food stamps, EITC, child care, Medicaid)</t>
        </is>
      </c>
      <c r="K117" t="inlineStr">
        <is>
          <t>voluntary</t>
        </is>
      </c>
      <c r="L117" t="inlineStr">
        <is>
          <t>public</t>
        </is>
      </c>
      <c r="M117" t="inlineStr">
        <is>
          <t>public</t>
        </is>
      </c>
      <c r="N117" t="inlineStr">
        <is>
          <t>2005-2007</t>
        </is>
      </c>
      <c r="O117" t="n">
        <v>2006.5</v>
      </c>
      <c r="P117" t="inlineStr">
        <is>
          <t>Low-wage workers currently employed</t>
        </is>
      </c>
      <c r="Q117" t="n">
        <v>30.2</v>
      </c>
      <c r="R117" t="n">
        <v>19.2</v>
      </c>
      <c r="S117" t="n">
        <v>27</v>
      </c>
      <c r="T117" t="n">
        <v>67.7</v>
      </c>
      <c r="U117" t="n">
        <v>1.1</v>
      </c>
      <c r="V117" t="n">
        <v>9.800000000000001</v>
      </c>
      <c r="Z117" t="n">
        <v>590</v>
      </c>
      <c r="AA117" t="n">
        <v>586</v>
      </c>
      <c r="AK117" t="inlineStr">
        <is>
          <t>UI wage records</t>
        </is>
      </c>
      <c r="AL117" t="n">
        <v>1</v>
      </c>
      <c r="AM117" t="n">
        <v>1.7</v>
      </c>
      <c r="AN117" t="n">
        <v>1.4</v>
      </c>
      <c r="AP117" t="n">
        <v>85.2</v>
      </c>
      <c r="AQ117" t="n">
        <v>-244</v>
      </c>
      <c r="AR117" t="n">
        <v>405.4</v>
      </c>
      <c r="AT117" t="n">
        <v>12913</v>
      </c>
      <c r="AU117" t="inlineStr">
        <is>
          <t>annual</t>
        </is>
      </c>
      <c r="AV117" t="n">
        <v>2</v>
      </c>
      <c r="AW117" t="n">
        <v>5.4</v>
      </c>
      <c r="AY117" t="inlineStr">
        <is>
          <t>***</t>
        </is>
      </c>
      <c r="AZ117" t="n">
        <v>77</v>
      </c>
      <c r="BA117" t="n">
        <v>863</v>
      </c>
      <c r="BB117" t="n">
        <v>563.9</v>
      </c>
      <c r="BD117" t="n">
        <v>13238</v>
      </c>
      <c r="BE117" t="inlineStr">
        <is>
          <t>annual</t>
        </is>
      </c>
      <c r="BF117" t="n">
        <v>4</v>
      </c>
      <c r="BG117" t="n">
        <v>2.9</v>
      </c>
      <c r="BJ117" t="n">
        <v>67.8</v>
      </c>
      <c r="BK117" t="n">
        <v>939</v>
      </c>
      <c r="BL117" t="n">
        <v>792.3</v>
      </c>
      <c r="BN117" t="n">
        <v>14030</v>
      </c>
      <c r="BO117" t="inlineStr">
        <is>
          <t>annual</t>
        </is>
      </c>
      <c r="BP117" t="inlineStr">
        <is>
          <t>Miller, Tessler, and Van Dok 2009 (MDRC), WASC Implementation and Early Impacts, Tables 2.2, 5.3; Miller et al. 2012, Strategies to help low-wage workers advance, Table 4.2</t>
        </is>
      </c>
      <c r="BQ117" t="inlineStr">
        <is>
          <t>Employment measure is average quarterly UI-covered employment rate (%). Sample was currently employed at enrollment. ST (Year 1) from 2009 early impacts report; MT (Year 2) and LT (Year 4) from 2012 final report. Dayton had strongest WASC implementation: generous WIA training funds via ITAs, discretionary funds, motivated participants. Year 2 employment impact 5.4*** (p=0.003) driven by employed-all-4-quarters measure (7.1***, p=0.006). Year 3 earnings impact $1,152* (p=0.096) was largest; Year 4 impact $939 (p=0.236) not significant. No cost chapter in either WASC report.</t>
        </is>
      </c>
      <c r="BU117" t="inlineStr">
        <is>
          <t>OH</t>
        </is>
      </c>
      <c r="BV117" t="inlineStr">
        <is>
          <t>urban</t>
        </is>
      </c>
      <c r="BW117" t="n">
        <v>0</v>
      </c>
      <c r="BX117" t="n">
        <v>0</v>
      </c>
      <c r="BY117" t="n">
        <v>0</v>
      </c>
      <c r="BZ117" t="n">
        <v>0</v>
      </c>
      <c r="CA117" t="n">
        <v>0</v>
      </c>
      <c r="CB117" t="n">
        <v>0</v>
      </c>
      <c r="CC117" t="n">
        <v>0</v>
      </c>
      <c r="CD117" t="n">
        <v>0</v>
      </c>
      <c r="CE117" t="n">
        <v>12.3</v>
      </c>
      <c r="CF117" t="n">
        <v>76.2</v>
      </c>
      <c r="CG117" t="n">
        <v>22.9</v>
      </c>
      <c r="CH117" t="n">
        <v>53.7</v>
      </c>
    </row>
    <row r="118" ht="44.1" customHeight="1">
      <c r="A118" t="inlineStr">
        <is>
          <t>Work Advancement and Support Center (WASC)</t>
        </is>
      </c>
      <c r="B118" t="inlineStr">
        <is>
          <t>San Diego, CA</t>
        </is>
      </c>
      <c r="C118" s="13" t="inlineStr">
        <is>
          <t>WASCWASC-Diego, CA</t>
        </is>
      </c>
      <c r="D118" t="inlineStr">
        <is>
          <t>Career coaching, education/training referrals, help accessing work supports (food stamps, EITC, child care subsidies, Medicaid)</t>
        </is>
      </c>
      <c r="E118" t="inlineStr">
        <is>
          <t>incidental</t>
        </is>
      </c>
      <c r="F118" t="n">
        <v>0</v>
      </c>
      <c r="G118" t="n">
        <v>0</v>
      </c>
      <c r="H118" t="n">
        <v>0</v>
      </c>
      <c r="I118" t="n">
        <v>1</v>
      </c>
      <c r="J118" t="inlineStr">
        <is>
          <t>Career coaching, work supports access (food stamps, EITC, child care, Medicaid)</t>
        </is>
      </c>
      <c r="K118" t="inlineStr">
        <is>
          <t>voluntary</t>
        </is>
      </c>
      <c r="L118" t="inlineStr">
        <is>
          <t>public</t>
        </is>
      </c>
      <c r="M118" t="inlineStr">
        <is>
          <t>public</t>
        </is>
      </c>
      <c r="N118" t="inlineStr">
        <is>
          <t>2005-2007</t>
        </is>
      </c>
      <c r="O118" t="n">
        <v>2006.5</v>
      </c>
      <c r="P118" t="inlineStr">
        <is>
          <t>Low-wage workers currently employed</t>
        </is>
      </c>
      <c r="Q118" t="n">
        <v>36.4</v>
      </c>
      <c r="R118" t="n">
        <v>27.4</v>
      </c>
      <c r="S118" t="n">
        <v>10.1</v>
      </c>
      <c r="T118" t="n">
        <v>11.5</v>
      </c>
      <c r="U118" t="n">
        <v>69.7</v>
      </c>
      <c r="V118" t="n">
        <v>25.8</v>
      </c>
      <c r="Z118" t="n">
        <v>488</v>
      </c>
      <c r="AA118" t="n">
        <v>483</v>
      </c>
      <c r="AK118" t="inlineStr">
        <is>
          <t>UI wage records</t>
        </is>
      </c>
      <c r="AL118" t="n">
        <v>1</v>
      </c>
      <c r="AM118" t="n">
        <v>-3.1</v>
      </c>
      <c r="AN118" t="n">
        <v>2.1</v>
      </c>
      <c r="AP118" t="n">
        <v>81.8</v>
      </c>
      <c r="AQ118" t="n">
        <v>-961</v>
      </c>
      <c r="AR118" t="n">
        <v>660.9</v>
      </c>
      <c r="AT118" t="n">
        <v>14408</v>
      </c>
      <c r="AU118" t="inlineStr">
        <is>
          <t>annual</t>
        </is>
      </c>
      <c r="AV118" t="n">
        <v>2</v>
      </c>
      <c r="AW118" t="n">
        <v>-2.9</v>
      </c>
      <c r="AZ118" t="n">
        <v>72.59999999999999</v>
      </c>
      <c r="BA118" t="n">
        <v>-638</v>
      </c>
      <c r="BB118" t="n">
        <v>758.2</v>
      </c>
      <c r="BD118" t="n">
        <v>14356</v>
      </c>
      <c r="BE118" t="inlineStr">
        <is>
          <t>annual</t>
        </is>
      </c>
      <c r="BF118" t="n">
        <v>3</v>
      </c>
      <c r="BG118" t="n">
        <v>-1.9</v>
      </c>
      <c r="BJ118" t="n">
        <v>65.90000000000001</v>
      </c>
      <c r="BK118" t="n">
        <v>-65</v>
      </c>
      <c r="BL118" t="n">
        <v>837.7</v>
      </c>
      <c r="BN118" t="n">
        <v>13703</v>
      </c>
      <c r="BO118" t="inlineStr">
        <is>
          <t>annual</t>
        </is>
      </c>
      <c r="BP118" t="inlineStr">
        <is>
          <t>Miller, Tessler, and Van Dok 2009 (MDRC), WASC Implementation and Early Impacts, Tables 2.2, 5.3; Miller et al. 2012, Strategies to help low-wage workers advance, Table 4.5</t>
        </is>
      </c>
      <c r="BQ118" t="inlineStr">
        <is>
          <t>Employment measure is average quarterly UI-covered employment rate (%). Sample was currently employed at enrollment. ST (Year 1) from 2009 early impacts report; MT (Year 2) and LT (Year 3) from 2012 final report. San Diego implemented a 'mostly coaching' model with limited WIA training access. Year 4 data available for only ~53% of sample; Year 3 used for LT instead. No significant impacts on employment or earnings at any follow-up period. No cost chapter in either WASC report.</t>
        </is>
      </c>
      <c r="BU118" t="inlineStr">
        <is>
          <t>CA</t>
        </is>
      </c>
      <c r="BV118" t="inlineStr">
        <is>
          <t>urban</t>
        </is>
      </c>
      <c r="BW118" t="n">
        <v>0</v>
      </c>
      <c r="BX118" t="n">
        <v>0</v>
      </c>
      <c r="BY118" t="n">
        <v>0</v>
      </c>
      <c r="BZ118" t="n">
        <v>0</v>
      </c>
      <c r="CA118" t="n">
        <v>0</v>
      </c>
      <c r="CB118" t="n">
        <v>0</v>
      </c>
      <c r="CC118" t="n">
        <v>0</v>
      </c>
      <c r="CD118" t="n">
        <v>0</v>
      </c>
      <c r="CE118" t="n">
        <v>5.9</v>
      </c>
      <c r="CF118" t="n">
        <v>65.3</v>
      </c>
      <c r="CG118" t="n">
        <v>0.3</v>
      </c>
      <c r="CH118" t="n">
        <v>44.3</v>
      </c>
    </row>
    <row r="119" ht="44.1" customHeight="1">
      <c r="A119" t="inlineStr">
        <is>
          <t>Work Advancement and Support Center (WASC)</t>
        </is>
      </c>
      <c r="B119" t="inlineStr">
        <is>
          <t>Bridgeport, CT</t>
        </is>
      </c>
      <c r="C119" s="13" t="inlineStr">
        <is>
          <t>WASCWASC-Bridgeport, CT</t>
        </is>
      </c>
      <c r="D119" t="inlineStr">
        <is>
          <t>Career coaching, education/training referrals, help accessing work supports (food stamps, EITC, child care subsidies, Medicaid)</t>
        </is>
      </c>
      <c r="E119" t="inlineStr">
        <is>
          <t>incidental</t>
        </is>
      </c>
      <c r="F119" t="n">
        <v>0</v>
      </c>
      <c r="G119" t="n">
        <v>0</v>
      </c>
      <c r="H119" t="n">
        <v>0</v>
      </c>
      <c r="I119" t="n">
        <v>1</v>
      </c>
      <c r="J119" t="inlineStr">
        <is>
          <t>Career coaching, work supports access (food stamps, EITC, child care, Medicaid)</t>
        </is>
      </c>
      <c r="K119" t="inlineStr">
        <is>
          <t>voluntary</t>
        </is>
      </c>
      <c r="L119" t="inlineStr">
        <is>
          <t>public</t>
        </is>
      </c>
      <c r="M119" t="inlineStr">
        <is>
          <t>public</t>
        </is>
      </c>
      <c r="N119" t="inlineStr">
        <is>
          <t>2006-2008</t>
        </is>
      </c>
      <c r="O119" t="n">
        <v>2007</v>
      </c>
      <c r="P119" t="inlineStr">
        <is>
          <t>Low-wage workers currently employed</t>
        </is>
      </c>
      <c r="Q119" t="n">
        <v>33.4</v>
      </c>
      <c r="R119" t="n">
        <v>33.5</v>
      </c>
      <c r="S119" t="n">
        <v>8.199999999999999</v>
      </c>
      <c r="T119" t="n">
        <v>60.5</v>
      </c>
      <c r="U119" t="n">
        <v>23.2</v>
      </c>
      <c r="V119" t="n">
        <v>16.6</v>
      </c>
      <c r="Z119" t="n">
        <v>351</v>
      </c>
      <c r="AA119" t="n">
        <v>354</v>
      </c>
      <c r="AK119" t="inlineStr">
        <is>
          <t>UI wage records</t>
        </is>
      </c>
      <c r="AL119" t="n">
        <v>1</v>
      </c>
      <c r="AM119" t="n">
        <v>-1.3</v>
      </c>
      <c r="AP119" t="n">
        <v>82.7</v>
      </c>
      <c r="AQ119" t="n">
        <v>-662</v>
      </c>
      <c r="AR119" t="n">
        <v>638.7</v>
      </c>
      <c r="AT119" t="n">
        <v>14420</v>
      </c>
      <c r="AU119" t="inlineStr">
        <is>
          <t>annual</t>
        </is>
      </c>
      <c r="AV119" t="n">
        <v>2</v>
      </c>
      <c r="AW119" t="n">
        <v>2</v>
      </c>
      <c r="AZ119" t="n">
        <v>69.3</v>
      </c>
      <c r="BA119" t="n">
        <v>689</v>
      </c>
      <c r="BB119" t="n">
        <v>822.3</v>
      </c>
      <c r="BD119" t="n">
        <v>13621</v>
      </c>
      <c r="BE119" t="inlineStr">
        <is>
          <t>annual</t>
        </is>
      </c>
      <c r="BP119" t="inlineStr">
        <is>
          <t>Miller et al. 2012, Strategies to help low-wage workers advance, Tables 1.3, 4.7, 4.8</t>
        </is>
      </c>
      <c r="BQ119" t="inlineStr">
        <is>
          <t>Employment measure is average quarterly UI-covered employment rate (%). Sample was currently employed at enrollment. Bridgeport implemented a 'mostly training' model focused on CNA and CDL credentials. Individual-level UI data available for Years 1-2 only; Year 3 earnings ($2,244 impact) are unadjusted group-level averages without significance tests (CT Dept of Labor provided group-level data for Year 3), so Year 3 not used for LT. No significant impacts on employment or earnings in Years 1-2. No cost chapter in either WASC report.</t>
        </is>
      </c>
      <c r="BU119" t="inlineStr">
        <is>
          <t>CT</t>
        </is>
      </c>
      <c r="BV119" t="inlineStr">
        <is>
          <t>urban</t>
        </is>
      </c>
      <c r="BW119" t="n">
        <v>0</v>
      </c>
      <c r="BX119" t="n">
        <v>0</v>
      </c>
      <c r="BY119" t="n">
        <v>0</v>
      </c>
    </row>
    <row r="120" ht="44.1" customHeight="1">
      <c r="A120" t="inlineStr">
        <is>
          <t>YouthBuild</t>
        </is>
      </c>
      <c r="B120" t="inlineStr">
        <is>
          <t>Pooled (75 programs nationwide)</t>
        </is>
      </c>
      <c r="C120" s="13" t="inlineStr">
        <is>
          <t>YB-Programs nationwide)</t>
        </is>
      </c>
      <c r="D120" t="inlineStr">
        <is>
          <t>Construction-related vocational training, GED/high school diploma preparation, leadership development, community service, counseling, case management</t>
        </is>
      </c>
      <c r="E120" t="inlineStr">
        <is>
          <t>primary</t>
        </is>
      </c>
      <c r="F120" t="n">
        <v>1</v>
      </c>
      <c r="G120" t="n">
        <v>1</v>
      </c>
      <c r="H120" t="n">
        <v>0</v>
      </c>
      <c r="I120" t="n">
        <v>1</v>
      </c>
      <c r="J120" t="inlineStr">
        <is>
          <t>Leadership development, community service, counseling, case management</t>
        </is>
      </c>
      <c r="K120" t="inlineStr">
        <is>
          <t>voluntary</t>
        </is>
      </c>
      <c r="L120" t="inlineStr">
        <is>
          <t>public</t>
        </is>
      </c>
      <c r="M120" t="inlineStr">
        <is>
          <t>private</t>
        </is>
      </c>
      <c r="N120" t="inlineStr">
        <is>
          <t>2011-2013</t>
        </is>
      </c>
      <c r="O120" t="n">
        <v>2012.5</v>
      </c>
      <c r="P120" t="inlineStr">
        <is>
          <t>Out-of-school youth ages 16-24 without high school diploma</t>
        </is>
      </c>
      <c r="Q120" t="n">
        <v>20</v>
      </c>
      <c r="R120" t="n">
        <v>64.09999999999999</v>
      </c>
      <c r="S120" t="n">
        <v>15.3</v>
      </c>
      <c r="T120" t="n">
        <v>62.9</v>
      </c>
      <c r="U120" t="n">
        <v>14.6</v>
      </c>
      <c r="V120" t="n">
        <v>90.8</v>
      </c>
      <c r="W120" t="n">
        <v>10.1</v>
      </c>
      <c r="Z120" t="n">
        <v>2662</v>
      </c>
      <c r="AA120" t="n">
        <v>1216</v>
      </c>
      <c r="AK120" t="inlineStr">
        <is>
          <t>National Directory of New Hires (NDNH)</t>
        </is>
      </c>
      <c r="AL120" t="n">
        <v>1</v>
      </c>
      <c r="AM120" t="n">
        <v>-2.4</v>
      </c>
      <c r="AN120" t="n">
        <v>1.5</v>
      </c>
      <c r="AP120" t="n">
        <v>51.3</v>
      </c>
      <c r="AQ120" t="n">
        <v>-314</v>
      </c>
      <c r="AR120" t="n">
        <v>130.3</v>
      </c>
      <c r="AS120" t="inlineStr">
        <is>
          <t>**</t>
        </is>
      </c>
      <c r="AT120" t="n">
        <v>2408</v>
      </c>
      <c r="AU120" t="inlineStr">
        <is>
          <t>annual</t>
        </is>
      </c>
      <c r="AV120" t="n">
        <v>2</v>
      </c>
      <c r="AW120" t="n">
        <v>3.2</v>
      </c>
      <c r="AX120" t="n">
        <v>1.6</v>
      </c>
      <c r="AY120" t="inlineStr">
        <is>
          <t>**</t>
        </is>
      </c>
      <c r="AZ120" t="n">
        <v>59.7</v>
      </c>
      <c r="BA120" t="n">
        <v>-201</v>
      </c>
      <c r="BB120" t="n">
        <v>191.1</v>
      </c>
      <c r="BD120" t="n">
        <v>3937</v>
      </c>
      <c r="BE120" t="inlineStr">
        <is>
          <t>annual</t>
        </is>
      </c>
      <c r="BF120" t="n">
        <v>4</v>
      </c>
      <c r="BG120" t="n">
        <v>0.2</v>
      </c>
      <c r="BJ120" t="n">
        <v>69.8</v>
      </c>
      <c r="BK120" t="n">
        <v>251</v>
      </c>
      <c r="BL120" t="n">
        <v>302.8</v>
      </c>
      <c r="BN120" t="n">
        <v>6729</v>
      </c>
      <c r="BO120" t="inlineStr">
        <is>
          <t>annual</t>
        </is>
      </c>
      <c r="BP120" t="inlineStr">
        <is>
          <t>Miller et al. 2018 (MDRC), Laying a Foundation: Four-Year Results from the National YouthBuild Evaluation, Table 3.2, Appendix Table B.1</t>
        </is>
      </c>
      <c r="BQ120" t="inlineStr">
        <is>
          <t>NDNH admin records data (preferred over survey). Year 1 is lock-in period (negative employment and earnings impacts due to program participation). Earnings mapped: Year 1→ST, Year 2→MT, Year 4→LT. Employment mapped: Year 1→ST, Year 2→MT, avg(Year 3, Year 4)→LT; LT employment SE not computed (average of two annual estimates). Survey data showed significant positive impacts at 48 months (employment +4.5**, weekly earnings +$32.6***) but NDNH records did not confirm these effects. 9.2% had HS diploma at baseline; pct_no_hs_diploma = 90.8%. All earnings are annual and include zeros for non-employed. Net cost per sample member $12,820 (2017$) from Miller et al. 2018, Table 5.3: gross program=$16,965, gross control=$4,145. Cost adjusted for inflation using GNP implicit price deflator.</t>
        </is>
      </c>
      <c r="BR120" t="n">
        <v>12820</v>
      </c>
      <c r="BU120" t="inlineStr">
        <is>
          <t>multiple</t>
        </is>
      </c>
      <c r="BV120" t="inlineStr">
        <is>
          <t>urban</t>
        </is>
      </c>
      <c r="BW120" t="n">
        <v>0</v>
      </c>
      <c r="BX120" t="n">
        <v>0</v>
      </c>
      <c r="BY120" t="n">
        <v>0</v>
      </c>
      <c r="BZ120" t="n">
        <v>0</v>
      </c>
      <c r="CA120" t="n">
        <v>0</v>
      </c>
      <c r="CB120" t="n">
        <v>0</v>
      </c>
      <c r="CC120" t="n">
        <v>1</v>
      </c>
      <c r="CD120" t="n">
        <v>0</v>
      </c>
      <c r="CE120" t="n">
        <v>82.09999999999999</v>
      </c>
      <c r="CF120" t="n">
        <v>0</v>
      </c>
      <c r="CG120" t="n">
        <v>8.699999999999999</v>
      </c>
      <c r="CH120" t="n">
        <v>75.40000000000001</v>
      </c>
      <c r="CI120" t="n">
        <v>9</v>
      </c>
    </row>
    <row r="121" ht="44.1" customHeight="1">
      <c r="A121" t="inlineStr">
        <is>
          <t>Child Support Noncustodial Parent Employment Demonstration (CSPED)</t>
        </is>
      </c>
      <c r="B121" t="inlineStr">
        <is>
          <t>8 states pooled (CA, CO, IA, OH, SC, TN, TX, WI)</t>
        </is>
      </c>
      <c r="C121" s="13" t="inlineStr">
        <is>
          <t>CSNPEDCSPED-TX, WI)</t>
        </is>
      </c>
      <c r="D121" t="inlineStr">
        <is>
          <t>Case management, employment services (job search, short-term skills training, OJT, vocational training), parenting services, and child support order modification for noncustodial parents</t>
        </is>
      </c>
      <c r="E121" t="inlineStr">
        <is>
          <t>secondary</t>
        </is>
      </c>
      <c r="F121" t="n">
        <v>1</v>
      </c>
      <c r="G121" t="n">
        <v>1</v>
      </c>
      <c r="H121" t="n">
        <v>1</v>
      </c>
      <c r="I121" t="n">
        <v>1</v>
      </c>
      <c r="J121" t="inlineStr">
        <is>
          <t>case management; parenting services; child support order modification</t>
        </is>
      </c>
      <c r="K121" t="inlineStr">
        <is>
          <t>voluntary</t>
        </is>
      </c>
      <c r="L121" t="inlineStr">
        <is>
          <t>public</t>
        </is>
      </c>
      <c r="M121" t="inlineStr">
        <is>
          <t>public</t>
        </is>
      </c>
      <c r="N121" t="inlineStr">
        <is>
          <t>2013-2016</t>
        </is>
      </c>
      <c r="O121" t="n">
        <v>2015</v>
      </c>
      <c r="P121" t="inlineStr">
        <is>
          <t>Noncustodial parents with child support orders</t>
        </is>
      </c>
      <c r="Q121" t="n">
        <v>34.9</v>
      </c>
      <c r="R121" t="n">
        <v>89.90000000000001</v>
      </c>
      <c r="S121" t="n">
        <v>33</v>
      </c>
      <c r="T121" t="n">
        <v>39.9</v>
      </c>
      <c r="U121" t="n">
        <v>21.7</v>
      </c>
      <c r="V121" t="n">
        <v>25.6</v>
      </c>
      <c r="X121" t="inlineStr">
        <is>
          <t>broad</t>
        </is>
      </c>
      <c r="Z121" t="n">
        <v>5083</v>
      </c>
      <c r="AA121" t="n">
        <v>5067</v>
      </c>
      <c r="AK121" t="inlineStr">
        <is>
          <t>NDNH administrative records</t>
        </is>
      </c>
      <c r="AL121" t="n">
        <v>1</v>
      </c>
      <c r="AM121" t="n">
        <v>1.4</v>
      </c>
      <c r="AP121" t="n">
        <v>53.5</v>
      </c>
      <c r="AQ121" t="n">
        <v>359</v>
      </c>
      <c r="AR121" t="n">
        <v>208.4</v>
      </c>
      <c r="AS121" t="inlineStr">
        <is>
          <t>*</t>
        </is>
      </c>
      <c r="AT121" t="n">
        <v>8986</v>
      </c>
      <c r="AU121" t="inlineStr">
        <is>
          <t>annual</t>
        </is>
      </c>
      <c r="AV121" t="n">
        <v>2</v>
      </c>
      <c r="AW121" t="n">
        <v>0.2</v>
      </c>
      <c r="AZ121" t="n">
        <v>53.5</v>
      </c>
      <c r="BA121" t="n">
        <v>-24</v>
      </c>
      <c r="BD121" t="n">
        <v>11156</v>
      </c>
      <c r="BE121" t="inlineStr">
        <is>
          <t>annual</t>
        </is>
      </c>
      <c r="BP121" t="inlineStr">
        <is>
          <t>Cancian et al. 2019, CSPED Impact Report, Tables 15-17</t>
        </is>
      </c>
      <c r="BQ121" t="inlineStr">
        <is>
          <t>Admin earnings from NDNH. Year 1 earnings impact $359 (p=.085) not robust to multiple comparison adjustment. Employment impacts mostly null across all quarters. Net cost per participant $2,505 (2017$) from Cancian, Meyer, and Wood 2019, Table 6: gross CSPED=$2,647/yr, BAU child support=$142/yr. Broader BAU estimate including employment/parenting services yields net cost of $1,574.</t>
        </is>
      </c>
      <c r="BR121" t="n">
        <v>2505</v>
      </c>
      <c r="BS121" t="n">
        <v>1663</v>
      </c>
      <c r="BT121" t="inlineStr">
        <is>
          <t>Cancian et al. 2019, Table 9. Total societal benefit = $1,663 per participant (2017$). Net cost = $2,505. Net = -$842.</t>
        </is>
      </c>
      <c r="BU121" t="inlineStr">
        <is>
          <t>multiple</t>
        </is>
      </c>
      <c r="BV121" t="inlineStr">
        <is>
          <t>urban</t>
        </is>
      </c>
      <c r="BW121" t="n">
        <v>0</v>
      </c>
      <c r="BX121" t="n">
        <v>0</v>
      </c>
      <c r="BY121" t="n">
        <v>0</v>
      </c>
      <c r="BZ121" t="n">
        <v>0</v>
      </c>
      <c r="CA121" t="n">
        <v>0</v>
      </c>
      <c r="CB121" t="n">
        <v>0</v>
      </c>
      <c r="CC121" t="n">
        <v>0</v>
      </c>
      <c r="CD121" t="n">
        <v>0</v>
      </c>
      <c r="CE121" t="n">
        <v>11.9</v>
      </c>
      <c r="CF121" t="n">
        <v>15.2</v>
      </c>
      <c r="CG121" t="n">
        <v>2.4</v>
      </c>
      <c r="CH121" t="n">
        <v>3.8</v>
      </c>
    </row>
    <row r="122" ht="44.1" customHeight="1">
      <c r="A122" t="inlineStr">
        <is>
          <t>Year Up Professional Training Corps (PTC)</t>
        </is>
      </c>
      <c r="B122" t="inlineStr">
        <is>
          <t>3 PTC sites pooled (Study 1)</t>
        </is>
      </c>
      <c r="C122" s="13" t="inlineStr">
        <is>
          <t>YUPTCPTC-Pooled (Study 1)</t>
        </is>
      </c>
      <c r="D122" t="inlineStr">
        <is>
          <t>Year-long occupational training program for young adults (ages 18-24 at time of study) combining classroom instruction, college courses, and internships at partner companies</t>
        </is>
      </c>
      <c r="E122" t="inlineStr">
        <is>
          <t>primary</t>
        </is>
      </c>
      <c r="F122" t="n">
        <v>1</v>
      </c>
      <c r="G122" t="n">
        <v>1</v>
      </c>
      <c r="H122" t="n">
        <v>0</v>
      </c>
      <c r="I122" t="n">
        <v>1</v>
      </c>
      <c r="J122" t="inlineStr">
        <is>
          <t>college enrollment; corporate internships; mentoring</t>
        </is>
      </c>
      <c r="K122" t="inlineStr">
        <is>
          <t>voluntary</t>
        </is>
      </c>
      <c r="L122" t="inlineStr">
        <is>
          <t>mixed</t>
        </is>
      </c>
      <c r="M122" t="inlineStr">
        <is>
          <t>private</t>
        </is>
      </c>
      <c r="N122" t="inlineStr">
        <is>
          <t>2017-2019</t>
        </is>
      </c>
      <c r="O122" t="n">
        <v>2018.5</v>
      </c>
      <c r="P122" t="inlineStr">
        <is>
          <t>Young adults ages 18-29, low-income, with HS diploma/GED</t>
        </is>
      </c>
      <c r="R122" t="n">
        <v>50.5</v>
      </c>
      <c r="T122" t="n">
        <v>61.6</v>
      </c>
      <c r="U122" t="n">
        <v>16</v>
      </c>
      <c r="V122" t="n">
        <v>0</v>
      </c>
      <c r="X122" t="inlineStr">
        <is>
          <t>selective</t>
        </is>
      </c>
      <c r="Z122" t="n">
        <v>389</v>
      </c>
      <c r="AA122" t="n">
        <v>163</v>
      </c>
      <c r="AK122" t="inlineStr">
        <is>
          <t>NDNH administrative records</t>
        </is>
      </c>
      <c r="AL122" t="n">
        <v>2</v>
      </c>
      <c r="AQ122" t="n">
        <v>-377</v>
      </c>
      <c r="AR122" t="n">
        <v>1453</v>
      </c>
      <c r="AT122" t="n">
        <v>17280</v>
      </c>
      <c r="AU122" t="inlineStr">
        <is>
          <t>annual</t>
        </is>
      </c>
      <c r="AV122" t="n">
        <v>3</v>
      </c>
      <c r="BA122" t="n">
        <v>-62</v>
      </c>
      <c r="BB122" t="n">
        <v>1771</v>
      </c>
      <c r="BD122" t="n">
        <v>20970</v>
      </c>
      <c r="BE122" t="inlineStr">
        <is>
          <t>annual</t>
        </is>
      </c>
      <c r="BP122" t="inlineStr">
        <is>
          <t>Fein &amp; Maynard 2022, Improvement Testing in the Year Up Professional Training Corps Program: Final Grant Report. Table 1 (annual earnings, p. 5), Table 3 (quarterly earnings and employment, p. 7), Appendix Exhibit B (baseline characteristics, p. 23).</t>
        </is>
      </c>
      <c r="BQ122" t="inlineStr">
        <is>
          <t>Year 1 earnings impact -$5,314*** reflects lock-in during intensive training. Post-program impacts (Years 2-3) show no significant earnings gains. Contrasts sharply with Year Up core program which showed large positive impacts in Years 2-3.</t>
        </is>
      </c>
      <c r="BU122" t="inlineStr">
        <is>
          <t>multiple</t>
        </is>
      </c>
      <c r="BV122" t="inlineStr">
        <is>
          <t>urban</t>
        </is>
      </c>
      <c r="BW122" t="n">
        <v>0</v>
      </c>
      <c r="BX122" t="n">
        <v>1</v>
      </c>
      <c r="BY122" t="n">
        <v>1</v>
      </c>
      <c r="BZ122" t="n">
        <v>0</v>
      </c>
      <c r="CA122" t="n">
        <v>1</v>
      </c>
      <c r="CB122" t="n">
        <v>0</v>
      </c>
      <c r="CC122" t="n">
        <v>1</v>
      </c>
      <c r="CD122" t="n">
        <v>0</v>
      </c>
      <c r="CE122" t="n">
        <v>76</v>
      </c>
      <c r="CF122" t="n">
        <v>0</v>
      </c>
      <c r="CI122" t="n">
        <v>12</v>
      </c>
    </row>
    <row r="123" ht="44.1" customHeight="1">
      <c r="A123" t="inlineStr">
        <is>
          <t>Food Stamp Employment and Training (FSET) Program</t>
        </is>
      </c>
      <c r="B123" t="inlineStr">
        <is>
          <t>53 local offices in 7 states pooled</t>
        </is>
      </c>
      <c r="C123" s="13" t="inlineStr">
        <is>
          <t>FSETFSETP-States pooled</t>
        </is>
      </c>
      <c r="D123" t="inlineStr">
        <is>
          <t>Mandatory E&amp;T program for food stamp recipients including job search assistance, work experience, and classroom training components</t>
        </is>
      </c>
      <c r="E123" t="inlineStr">
        <is>
          <t>secondary</t>
        </is>
      </c>
      <c r="F123" t="n">
        <v>1</v>
      </c>
      <c r="G123" t="n">
        <v>0</v>
      </c>
      <c r="H123" t="n">
        <v>1</v>
      </c>
      <c r="I123" t="n">
        <v>1</v>
      </c>
      <c r="J123" t="inlineStr">
        <is>
          <t>work experience (workfare); job readiness</t>
        </is>
      </c>
      <c r="K123" t="inlineStr">
        <is>
          <t>mandatory</t>
        </is>
      </c>
      <c r="L123" t="inlineStr">
        <is>
          <t>public</t>
        </is>
      </c>
      <c r="M123" t="inlineStr">
        <is>
          <t>public</t>
        </is>
      </c>
      <c r="N123" t="inlineStr">
        <is>
          <t>1989-1991</t>
        </is>
      </c>
      <c r="O123" t="n">
        <v>1990.5</v>
      </c>
      <c r="P123" t="inlineStr">
        <is>
          <t>Food stamp recipients required to participate in E&amp;T</t>
        </is>
      </c>
      <c r="Q123" t="n">
        <v>32</v>
      </c>
      <c r="R123" t="n">
        <v>56.3</v>
      </c>
      <c r="S123" t="n">
        <v>47.6</v>
      </c>
      <c r="T123" t="n">
        <v>45.1</v>
      </c>
      <c r="U123" t="n">
        <v>6.2</v>
      </c>
      <c r="V123" t="n">
        <v>49.5</v>
      </c>
      <c r="X123" t="inlineStr">
        <is>
          <t>broad</t>
        </is>
      </c>
      <c r="Z123" t="n">
        <v>6500</v>
      </c>
      <c r="AA123" t="n">
        <v>6500</v>
      </c>
      <c r="AD123" t="n">
        <v>0.5</v>
      </c>
      <c r="AK123" t="inlineStr">
        <is>
          <t>Survey (follow-up interviews)</t>
        </is>
      </c>
      <c r="AL123" t="n">
        <v>1</v>
      </c>
      <c r="AM123" t="n">
        <v>-3</v>
      </c>
      <c r="AN123" t="n">
        <v>3.3</v>
      </c>
      <c r="AP123" t="n">
        <v>54.5</v>
      </c>
      <c r="AQ123" t="n">
        <v>-67</v>
      </c>
      <c r="AR123" t="n">
        <v>161</v>
      </c>
      <c r="AT123" t="n">
        <v>2543</v>
      </c>
      <c r="AU123" t="inlineStr">
        <is>
          <t>annual</t>
        </is>
      </c>
      <c r="BP123" t="inlineStr">
        <is>
          <t>Puma &amp; Burstein 1994, 'The Food Stamp Employment and Training Program,' Tables 2-5</t>
        </is>
      </c>
      <c r="BQ123" t="inlineStr">
        <is>
          <t>All employment and earnings impacts null. Cost only $135/participant, one of lowest-cost E&amp;T programs evaluated. Very low-cost intervention with minimal services.</t>
        </is>
      </c>
      <c r="BR123" t="n">
        <v>135</v>
      </c>
      <c r="BU123" t="inlineStr">
        <is>
          <t>multiple</t>
        </is>
      </c>
      <c r="BV123" t="inlineStr">
        <is>
          <t>urban</t>
        </is>
      </c>
      <c r="BW123" t="n">
        <v>1</v>
      </c>
      <c r="BX123" t="n">
        <v>0</v>
      </c>
      <c r="BY123" t="n">
        <v>0</v>
      </c>
      <c r="BZ123" t="n">
        <v>0</v>
      </c>
      <c r="CA123" t="n">
        <v>0</v>
      </c>
      <c r="CB123" t="n">
        <v>0</v>
      </c>
      <c r="CC123" t="n">
        <v>0</v>
      </c>
      <c r="CD123" t="n">
        <v>0</v>
      </c>
      <c r="CE123" t="n">
        <v>12</v>
      </c>
      <c r="CF123" t="n">
        <v>28</v>
      </c>
      <c r="CG123" t="n">
        <v>9</v>
      </c>
      <c r="CH123" t="n">
        <v>6</v>
      </c>
      <c r="CI123" t="n">
        <v>2</v>
      </c>
    </row>
    <row r="124" ht="44.1" customHeight="1">
      <c r="A124" t="inlineStr">
        <is>
          <t>Indiana Welfare Reform (IMPACT)</t>
        </is>
      </c>
      <c r="B124" t="inlineStr">
        <is>
          <t>Indiana statewide (single-parent families, first-year cohort)</t>
        </is>
      </c>
      <c r="C124" s="13" t="inlineStr">
        <is>
          <t>IWRIMPACT-Year cohort)</t>
        </is>
      </c>
      <c r="D124" t="inlineStr">
        <is>
          <t>Welfare reform program requiring TANF recipients to participate in IMPACT program activities including job search, education, and training; compared to traditional welfare without mandatory participation</t>
        </is>
      </c>
      <c r="E124" t="inlineStr">
        <is>
          <t>secondary</t>
        </is>
      </c>
      <c r="F124" t="n">
        <v>1</v>
      </c>
      <c r="G124" t="n">
        <v>0</v>
      </c>
      <c r="H124" t="n">
        <v>1</v>
      </c>
      <c r="I124" t="n">
        <v>1</v>
      </c>
      <c r="J124" t="inlineStr">
        <is>
          <t>mandatory participation requirements; time limits; earned income disregards; transitional benefits</t>
        </is>
      </c>
      <c r="K124" t="inlineStr">
        <is>
          <t>mandatory</t>
        </is>
      </c>
      <c r="L124" t="inlineStr">
        <is>
          <t>public</t>
        </is>
      </c>
      <c r="M124" t="inlineStr">
        <is>
          <t>public</t>
        </is>
      </c>
      <c r="N124" t="inlineStr">
        <is>
          <t>1995</t>
        </is>
      </c>
      <c r="O124" t="n">
        <v>1995.5</v>
      </c>
      <c r="P124" t="inlineStr">
        <is>
          <t>Single-parent TANF recipients</t>
        </is>
      </c>
      <c r="Q124" t="n">
        <v>28.6</v>
      </c>
      <c r="R124" t="n">
        <v>3</v>
      </c>
      <c r="S124" t="n">
        <v>58</v>
      </c>
      <c r="T124" t="n">
        <v>38</v>
      </c>
      <c r="X124" t="inlineStr">
        <is>
          <t>broad</t>
        </is>
      </c>
      <c r="Z124" t="n">
        <v>63197</v>
      </c>
      <c r="AA124" t="n">
        <v>3216</v>
      </c>
      <c r="AK124" t="inlineStr">
        <is>
          <t>Indiana UI wage records</t>
        </is>
      </c>
      <c r="AL124" t="n">
        <v>1</v>
      </c>
      <c r="AM124" t="n">
        <v>2.5</v>
      </c>
      <c r="AN124" t="n">
        <v>1</v>
      </c>
      <c r="AO124" t="inlineStr">
        <is>
          <t>***</t>
        </is>
      </c>
      <c r="AP124" t="n">
        <v>45.1</v>
      </c>
      <c r="AQ124" t="n">
        <v>231</v>
      </c>
      <c r="AR124" t="n">
        <v>89.7</v>
      </c>
      <c r="AS124" t="inlineStr">
        <is>
          <t>***</t>
        </is>
      </c>
      <c r="AT124" t="n">
        <v>2647</v>
      </c>
      <c r="AU124" t="inlineStr">
        <is>
          <t>annual</t>
        </is>
      </c>
      <c r="AV124" t="n">
        <v>3</v>
      </c>
      <c r="AW124" t="n">
        <v>3.5</v>
      </c>
      <c r="AX124" t="n">
        <v>1.4</v>
      </c>
      <c r="AY124" t="inlineStr">
        <is>
          <t>***</t>
        </is>
      </c>
      <c r="AZ124" t="n">
        <v>51.4</v>
      </c>
      <c r="BA124" t="n">
        <v>426</v>
      </c>
      <c r="BB124" t="n">
        <v>165.4</v>
      </c>
      <c r="BC124" t="inlineStr">
        <is>
          <t>***</t>
        </is>
      </c>
      <c r="BD124" t="n">
        <v>4929</v>
      </c>
      <c r="BE124" t="inlineStr">
        <is>
          <t>annual</t>
        </is>
      </c>
      <c r="BF124" t="n">
        <v>5</v>
      </c>
      <c r="BG124" t="n">
        <v>3.6</v>
      </c>
      <c r="BH124" t="n">
        <v>1.4</v>
      </c>
      <c r="BI124" t="inlineStr">
        <is>
          <t>***</t>
        </is>
      </c>
      <c r="BJ124" t="n">
        <v>51</v>
      </c>
      <c r="BK124" t="n">
        <v>570</v>
      </c>
      <c r="BL124" t="n">
        <v>221.3</v>
      </c>
      <c r="BM124" t="inlineStr">
        <is>
          <t>***</t>
        </is>
      </c>
      <c r="BN124" t="n">
        <v>6320</v>
      </c>
      <c r="BO124" t="inlineStr">
        <is>
          <t>annual</t>
        </is>
      </c>
      <c r="BP124" t="inlineStr">
        <is>
          <t>Beecroft, Lee, and Long 2003, 'Indiana Welfare Reform Evaluation: Five-Year Impacts,' Exhibit 4.4</t>
        </is>
      </c>
      <c r="BQ124" t="inlineStr">
        <is>
          <t>Very large sample (66,413). Treatment is entire welfare reform package vs traditional welfare; IMPACT training/education is one component. Earnings impacts persistent and growing over 5 years. Employment measured as last-quarter-of-year rate from UI records. Net cost $288 (2001$, discounted) from Beecroft, Lee, and Long 2003, Exhibit 6.2: 5-year total admin costs net=-$161 (WR group had fewer months on TANF/Medicaid), services net=+$449 (IMPACT services $189 + child care $260).</t>
        </is>
      </c>
      <c r="BR124" t="n">
        <v>288</v>
      </c>
      <c r="BS124" t="n">
        <v>2757</v>
      </c>
      <c r="BT124" t="inlineStr">
        <is>
          <t>Beecroft, Lee, and Long 2003, Exhibit 6.5 (p.116). Social perspective: earnings $2,397 + fringe benefits $360 = $2,757 (2001$, 5-year NPV, discounted). Net social value = $2,728.</t>
        </is>
      </c>
      <c r="BU124" t="inlineStr">
        <is>
          <t>IN</t>
        </is>
      </c>
      <c r="BV124" t="inlineStr">
        <is>
          <t>urban</t>
        </is>
      </c>
      <c r="BW124" t="n">
        <v>0</v>
      </c>
      <c r="BX124" t="n">
        <v>0</v>
      </c>
      <c r="BY124" t="n">
        <v>0</v>
      </c>
      <c r="BZ124" t="n">
        <v>0</v>
      </c>
      <c r="CA124" t="n">
        <v>0</v>
      </c>
      <c r="CB124" t="n">
        <v>0</v>
      </c>
      <c r="CC124" t="n">
        <v>0</v>
      </c>
      <c r="CD124" t="n">
        <v>0</v>
      </c>
      <c r="CE124" t="n">
        <v>7</v>
      </c>
      <c r="CF124" t="n">
        <v>66</v>
      </c>
      <c r="CG124" t="n">
        <v>4.5</v>
      </c>
      <c r="CH124" t="n">
        <v>49.6</v>
      </c>
    </row>
    <row r="125" ht="44.1" customHeight="1">
      <c r="A125" t="inlineStr">
        <is>
          <t>American Conservation and Youth Service Corps (ACYSC)</t>
        </is>
      </c>
      <c r="B125" t="inlineStr">
        <is>
          <t>4 experimental sites pooled</t>
        </is>
      </c>
      <c r="C125" s="13" t="inlineStr">
        <is>
          <t>ACYSCACYSC-Sites pooled</t>
        </is>
      </c>
      <c r="D125" t="inlineStr">
        <is>
          <t>Conservation and youth service corps providing structured work experience on environmental/community service projects, combined with education (GED prep, life skills), stipends, and post-program benefits</t>
        </is>
      </c>
      <c r="E125" t="inlineStr">
        <is>
          <t>secondary</t>
        </is>
      </c>
      <c r="F125" t="n">
        <v>1</v>
      </c>
      <c r="G125" t="n">
        <v>1</v>
      </c>
      <c r="H125" t="n">
        <v>0</v>
      </c>
      <c r="I125" t="n">
        <v>1</v>
      </c>
      <c r="J125" t="inlineStr">
        <is>
          <t>conservation service projects; stipends; post-program education benefits</t>
        </is>
      </c>
      <c r="K125" t="inlineStr">
        <is>
          <t>voluntary</t>
        </is>
      </c>
      <c r="L125" t="inlineStr">
        <is>
          <t>public</t>
        </is>
      </c>
      <c r="M125" t="inlineStr">
        <is>
          <t>mixed</t>
        </is>
      </c>
      <c r="N125" t="inlineStr">
        <is>
          <t>1993-1994</t>
        </is>
      </c>
      <c r="O125" t="n">
        <v>1994</v>
      </c>
      <c r="P125" t="inlineStr">
        <is>
          <t>Disadvantaged youth ages 18-25</t>
        </is>
      </c>
      <c r="R125" t="n">
        <v>57</v>
      </c>
      <c r="T125" t="n">
        <v>50</v>
      </c>
      <c r="V125" t="n">
        <v>56</v>
      </c>
      <c r="X125" t="inlineStr">
        <is>
          <t>selective</t>
        </is>
      </c>
      <c r="Z125" t="n">
        <v>1040</v>
      </c>
      <c r="AA125" t="n">
        <v>1039</v>
      </c>
      <c r="AK125" t="inlineStr">
        <is>
          <t>Follow-up survey (15 months post-RA)</t>
        </is>
      </c>
      <c r="AL125" t="n">
        <v>1.25</v>
      </c>
      <c r="AM125" t="n">
        <v>26</v>
      </c>
      <c r="AO125" t="inlineStr">
        <is>
          <t>***</t>
        </is>
      </c>
      <c r="AP125" t="n">
        <v>73</v>
      </c>
      <c r="AQ125" t="n">
        <v>83</v>
      </c>
      <c r="AU125" t="inlineStr">
        <is>
          <t>monthly</t>
        </is>
      </c>
      <c r="BP125" s="12" t="inlineStr">
        <is>
          <t xml:space="preserve">Jastrzab et al. 1996, 'Evaluation of national and community service programs,' </t>
        </is>
      </c>
      <c r="BQ125" t="inlineStr">
        <is>
          <t>CRITICAL: Employment and earnings impacts heavily contaminated by during-program work (corps employment). The +$83/month earnings impact decomposes into +$197 corps earnings and -$114 regular earnings. The 99% vs 73% employment includes corps participation. Post-program regular employment effects likely null or negative.</t>
        </is>
      </c>
      <c r="BU125" t="inlineStr">
        <is>
          <t>multiple</t>
        </is>
      </c>
      <c r="BV125" t="inlineStr">
        <is>
          <t>urban</t>
        </is>
      </c>
      <c r="BW125" t="n">
        <v>0</v>
      </c>
      <c r="BX125" t="n">
        <v>0</v>
      </c>
      <c r="BY125" t="n">
        <v>0</v>
      </c>
      <c r="BZ125" t="n">
        <v>0</v>
      </c>
      <c r="CA125" t="n">
        <v>0</v>
      </c>
      <c r="CB125" t="n">
        <v>0</v>
      </c>
      <c r="CC125" t="n">
        <v>0</v>
      </c>
      <c r="CD125" t="n">
        <v>0</v>
      </c>
      <c r="CE125" t="n">
        <v>99</v>
      </c>
      <c r="CF125" t="n">
        <v>0</v>
      </c>
      <c r="CG125" t="n">
        <v>3</v>
      </c>
      <c r="CH125" t="n">
        <v>19</v>
      </c>
      <c r="CI125" t="n">
        <v>10</v>
      </c>
    </row>
    <row r="126" ht="44.1" customHeight="1">
      <c r="A126" t="inlineStr">
        <is>
          <t>New Visions (GAIN Education &amp; Training Program)</t>
        </is>
      </c>
      <c r="B126" t="inlineStr">
        <is>
          <t>Riverside County, CA (Riverside Community College)</t>
        </is>
      </c>
      <c r="C126" s="13" t="inlineStr">
        <is>
          <t>NVGAINETP-Community College)</t>
        </is>
      </c>
      <c r="D126" t="inlineStr">
        <is>
          <t>Integrated basic education and workforce preparation program at community college for GAIN (welfare-to-work) participants, combining basic skills, workplace skills, and college courses</t>
        </is>
      </c>
      <c r="E126" t="inlineStr">
        <is>
          <t>primary</t>
        </is>
      </c>
      <c r="F126" t="n">
        <v>1</v>
      </c>
      <c r="G126" t="n">
        <v>0</v>
      </c>
      <c r="H126" t="n">
        <v>0</v>
      </c>
      <c r="I126" t="n">
        <v>1</v>
      </c>
      <c r="J126" t="inlineStr">
        <is>
          <t>case management; GAIN welfare-to-work services</t>
        </is>
      </c>
      <c r="K126" t="inlineStr">
        <is>
          <t>voluntary</t>
        </is>
      </c>
      <c r="L126" t="inlineStr">
        <is>
          <t>public</t>
        </is>
      </c>
      <c r="M126" t="inlineStr">
        <is>
          <t>public</t>
        </is>
      </c>
      <c r="N126" t="inlineStr">
        <is>
          <t>1999-2000</t>
        </is>
      </c>
      <c r="O126" t="n">
        <v>2000</v>
      </c>
      <c r="P126" t="inlineStr">
        <is>
          <t>GAIN (TANF) participants needing basic education</t>
        </is>
      </c>
      <c r="R126" t="n">
        <v>5.9</v>
      </c>
      <c r="S126" t="n">
        <v>33.6</v>
      </c>
      <c r="T126" t="n">
        <v>31.2</v>
      </c>
      <c r="U126" t="n">
        <v>30.8</v>
      </c>
      <c r="X126" t="inlineStr">
        <is>
          <t>selective</t>
        </is>
      </c>
      <c r="Z126" t="n">
        <v>528</v>
      </c>
      <c r="AA126" t="n">
        <v>515</v>
      </c>
      <c r="AK126" t="inlineStr">
        <is>
          <t>UI quarterly earnings records</t>
        </is>
      </c>
      <c r="AL126" t="n">
        <v>1</v>
      </c>
      <c r="AM126" t="n">
        <v>-0.8</v>
      </c>
      <c r="AP126" t="n">
        <v>72.59999999999999</v>
      </c>
      <c r="AQ126" t="n">
        <v>-573</v>
      </c>
      <c r="AS126" t="inlineStr">
        <is>
          <t>*</t>
        </is>
      </c>
      <c r="AT126" t="n">
        <v>6909</v>
      </c>
      <c r="AU126" t="inlineStr">
        <is>
          <t>annual</t>
        </is>
      </c>
      <c r="AV126" t="n">
        <v>2</v>
      </c>
      <c r="AW126" t="n">
        <v>-4.1</v>
      </c>
      <c r="AY126" t="inlineStr">
        <is>
          <t>*</t>
        </is>
      </c>
      <c r="AZ126" t="n">
        <v>65.5</v>
      </c>
      <c r="BA126" t="n">
        <v>-1193</v>
      </c>
      <c r="BC126" t="inlineStr">
        <is>
          <t>**</t>
        </is>
      </c>
      <c r="BD126" t="n">
        <v>8341</v>
      </c>
      <c r="BE126" t="inlineStr">
        <is>
          <t>annual</t>
        </is>
      </c>
      <c r="BP126" t="inlineStr">
        <is>
          <t>Fein and Beecroft 2006, 'College as a Job Advancement Strategy: Final Report on the New Visions Self-Sufficiency and Lifelong Learning Project,' Exhibits ES.1, 3.6</t>
        </is>
      </c>
      <c r="BQ126" t="inlineStr">
        <is>
          <t>NEGATIVE impacts: treatment group earned $2,301 less over 2.5 years (-12%). Negative earnings arose from fewer hours worked, not lower wages. Program increased TANF payments by $945. No evidence of improving trends by end of follow-up.</t>
        </is>
      </c>
      <c r="BU126" t="inlineStr">
        <is>
          <t>CA</t>
        </is>
      </c>
      <c r="BV126" t="inlineStr">
        <is>
          <t>urban</t>
        </is>
      </c>
      <c r="BW126" t="n">
        <v>0</v>
      </c>
      <c r="BX126" t="n">
        <v>0</v>
      </c>
      <c r="BY126" t="n">
        <v>0</v>
      </c>
      <c r="BZ126" t="n">
        <v>0</v>
      </c>
      <c r="CA126" t="n">
        <v>0</v>
      </c>
      <c r="CB126" t="n">
        <v>0</v>
      </c>
      <c r="CC126" t="n">
        <v>0</v>
      </c>
      <c r="CD126" t="n">
        <v>0</v>
      </c>
      <c r="CE126" t="n">
        <v>68.90000000000001</v>
      </c>
      <c r="CF126" t="n">
        <v>0</v>
      </c>
      <c r="CG126" t="n">
        <v>20.2</v>
      </c>
      <c r="CH126" t="n">
        <v>58.6</v>
      </c>
      <c r="CI126" t="n">
        <v>6</v>
      </c>
    </row>
    <row r="127" ht="44.1" customHeight="1">
      <c r="A127" t="inlineStr">
        <is>
          <t>Saturation Work Initiative Model (SWIM)</t>
        </is>
      </c>
      <c r="B127" t="inlineStr">
        <is>
          <t>San Diego, AFDC-FG (single parents)</t>
        </is>
      </c>
      <c r="C127" s="13" t="inlineStr">
        <is>
          <t>SWIMSWIM-Single parents)</t>
        </is>
      </c>
      <c r="D127" t="inlineStr">
        <is>
          <t>Mandatory welfare-to-work: job search workshop, then unpaid community work experience (workfare), then education/training (ESL, GED, vocational training, college) for those not finding employment. Ongoing participation mandate.</t>
        </is>
      </c>
      <c r="E127" t="inlineStr">
        <is>
          <t>secondary</t>
        </is>
      </c>
      <c r="F127" t="n">
        <v>1</v>
      </c>
      <c r="G127" t="n">
        <v>0</v>
      </c>
      <c r="H127" t="n">
        <v>1</v>
      </c>
      <c r="I127" t="n">
        <v>1</v>
      </c>
      <c r="J127" t="inlineStr">
        <is>
          <t>workfare (unpaid work experience)</t>
        </is>
      </c>
      <c r="K127" t="inlineStr">
        <is>
          <t>mandatory</t>
        </is>
      </c>
      <c r="L127" t="inlineStr">
        <is>
          <t>public</t>
        </is>
      </c>
      <c r="M127" t="inlineStr">
        <is>
          <t>public</t>
        </is>
      </c>
      <c r="N127" t="inlineStr">
        <is>
          <t>1985-1986</t>
        </is>
      </c>
      <c r="O127" t="n">
        <v>1986</v>
      </c>
      <c r="P127" t="inlineStr">
        <is>
          <t>AFDC single-parent (FG) case heads without preschool-age children</t>
        </is>
      </c>
      <c r="S127" t="n">
        <v>27.3</v>
      </c>
      <c r="T127" t="n">
        <v>42.4</v>
      </c>
      <c r="U127" t="n">
        <v>25.4</v>
      </c>
      <c r="V127" t="n">
        <v>43.9</v>
      </c>
      <c r="X127" t="inlineStr">
        <is>
          <t>broad</t>
        </is>
      </c>
      <c r="Z127" t="n">
        <v>1604</v>
      </c>
      <c r="AA127" t="n">
        <v>1606</v>
      </c>
      <c r="AK127" t="inlineStr">
        <is>
          <t>CA UI wage records + county AFDC records</t>
        </is>
      </c>
      <c r="AL127" t="n">
        <v>1</v>
      </c>
      <c r="AM127" t="n">
        <v>7.3</v>
      </c>
      <c r="AN127" t="n">
        <v>2.8</v>
      </c>
      <c r="AO127" t="inlineStr">
        <is>
          <t>***</t>
        </is>
      </c>
      <c r="AP127" t="n">
        <v>25.7</v>
      </c>
      <c r="AQ127" t="n">
        <v>352</v>
      </c>
      <c r="AR127" t="n">
        <v>136.6</v>
      </c>
      <c r="AS127" t="inlineStr">
        <is>
          <t>***</t>
        </is>
      </c>
      <c r="AT127" t="n">
        <v>1678</v>
      </c>
      <c r="AU127" t="inlineStr">
        <is>
          <t>annual</t>
        </is>
      </c>
      <c r="AV127" t="n">
        <v>2</v>
      </c>
      <c r="AW127" t="n">
        <v>7.2</v>
      </c>
      <c r="AX127" t="n">
        <v>2.8</v>
      </c>
      <c r="AY127" t="inlineStr">
        <is>
          <t>***</t>
        </is>
      </c>
      <c r="AZ127" t="n">
        <v>27.9</v>
      </c>
      <c r="BA127" t="n">
        <v>644</v>
      </c>
      <c r="BB127" t="n">
        <v>250</v>
      </c>
      <c r="BC127" t="inlineStr">
        <is>
          <t>***</t>
        </is>
      </c>
      <c r="BD127" t="n">
        <v>2248</v>
      </c>
      <c r="BE127" t="inlineStr">
        <is>
          <t>annual</t>
        </is>
      </c>
      <c r="BF127" t="n">
        <v>5</v>
      </c>
      <c r="BG127" t="n">
        <v>1.3</v>
      </c>
      <c r="BJ127" t="n">
        <v>32</v>
      </c>
      <c r="BK127" t="n">
        <v>148</v>
      </c>
      <c r="BN127" t="n">
        <v>3978</v>
      </c>
      <c r="BO127" t="inlineStr">
        <is>
          <t>annual</t>
        </is>
      </c>
      <c r="BP127" t="inlineStr">
        <is>
          <t>Friedlander &amp; Hamilton 1993, Tables ES.1, ES.3, B.1; cost from p. xxvi</t>
        </is>
      </c>
      <c r="BQ127" t="inlineStr">
        <is>
          <t>Training role secondary: primary intervention was job search + workfare; education/training was third-stage activity for those not finding jobs. Year 3 earn impact +$555*** still significant. Year 4 +$378 not significant. pct_male not reported exactly; AFDC-FG were 'mostly women.'</t>
        </is>
      </c>
      <c r="BR127" t="n">
        <v>920</v>
      </c>
      <c r="BU127" t="inlineStr">
        <is>
          <t>CA</t>
        </is>
      </c>
      <c r="BV127" t="inlineStr">
        <is>
          <t>urban</t>
        </is>
      </c>
      <c r="BW127" t="n">
        <v>0</v>
      </c>
      <c r="BX127" t="n">
        <v>0</v>
      </c>
      <c r="BY127" t="n">
        <v>0</v>
      </c>
      <c r="BZ127" t="n">
        <v>0</v>
      </c>
      <c r="CA127" t="n">
        <v>0</v>
      </c>
      <c r="CB127" t="n">
        <v>0</v>
      </c>
      <c r="CC127" t="n">
        <v>0</v>
      </c>
      <c r="CD127" t="n">
        <v>0</v>
      </c>
      <c r="CE127" t="n">
        <v>39</v>
      </c>
      <c r="CF127" t="n">
        <v>30</v>
      </c>
      <c r="CG127" t="n">
        <v>10</v>
      </c>
      <c r="CH127" t="n">
        <v>29</v>
      </c>
    </row>
    <row r="128" ht="44.1" customHeight="1">
      <c r="A128" t="inlineStr">
        <is>
          <t>Saturation Work Initiative Model (SWIM)</t>
        </is>
      </c>
      <c r="B128" t="inlineStr">
        <is>
          <t>San Diego, AFDC-U (two-parent families)</t>
        </is>
      </c>
      <c r="C128" s="13" t="inlineStr">
        <is>
          <t>SWIMSWIM-Parent families)</t>
        </is>
      </c>
      <c r="D128" t="inlineStr">
        <is>
          <t>Mandatory welfare-to-work: job search workshop, then unpaid community work experience (workfare), then education/training for those not finding employment. Ongoing participation mandate.</t>
        </is>
      </c>
      <c r="E128" t="inlineStr">
        <is>
          <t>secondary</t>
        </is>
      </c>
      <c r="F128" t="n">
        <v>1</v>
      </c>
      <c r="G128" t="n">
        <v>0</v>
      </c>
      <c r="H128" t="n">
        <v>1</v>
      </c>
      <c r="I128" t="n">
        <v>1</v>
      </c>
      <c r="J128" t="inlineStr">
        <is>
          <t>workfare (unpaid work experience)</t>
        </is>
      </c>
      <c r="K128" t="inlineStr">
        <is>
          <t>mandatory</t>
        </is>
      </c>
      <c r="L128" t="inlineStr">
        <is>
          <t>public</t>
        </is>
      </c>
      <c r="M128" t="inlineStr">
        <is>
          <t>public</t>
        </is>
      </c>
      <c r="N128" t="inlineStr">
        <is>
          <t>1985-1986</t>
        </is>
      </c>
      <c r="O128" t="n">
        <v>1986</v>
      </c>
      <c r="P128" t="inlineStr">
        <is>
          <t>AFDC-U (Unemployed Parent) two-parent case heads</t>
        </is>
      </c>
      <c r="S128" t="n">
        <v>25.6</v>
      </c>
      <c r="T128" t="n">
        <v>20.8</v>
      </c>
      <c r="U128" t="n">
        <v>40.2</v>
      </c>
      <c r="V128" t="n">
        <v>53</v>
      </c>
      <c r="X128" t="inlineStr">
        <is>
          <t>broad</t>
        </is>
      </c>
      <c r="Z128" t="n">
        <v>686</v>
      </c>
      <c r="AA128" t="n">
        <v>654</v>
      </c>
      <c r="AK128" t="inlineStr">
        <is>
          <t>CA UI wage records + county AFDC records</t>
        </is>
      </c>
      <c r="AL128" t="n">
        <v>1</v>
      </c>
      <c r="AM128" t="n">
        <v>5.6</v>
      </c>
      <c r="AN128" t="n">
        <v>2.2</v>
      </c>
      <c r="AO128" t="inlineStr">
        <is>
          <t>***</t>
        </is>
      </c>
      <c r="AP128" t="n">
        <v>32</v>
      </c>
      <c r="AQ128" t="n">
        <v>487</v>
      </c>
      <c r="AR128" t="n">
        <v>296</v>
      </c>
      <c r="AS128" t="inlineStr">
        <is>
          <t>*</t>
        </is>
      </c>
      <c r="AT128" t="n">
        <v>2815</v>
      </c>
      <c r="AU128" t="inlineStr">
        <is>
          <t>annual</t>
        </is>
      </c>
      <c r="AV128" t="n">
        <v>2</v>
      </c>
      <c r="AW128" t="n">
        <v>4.8</v>
      </c>
      <c r="AX128" t="n">
        <v>2.4</v>
      </c>
      <c r="AY128" t="inlineStr">
        <is>
          <t>**</t>
        </is>
      </c>
      <c r="AZ128" t="n">
        <v>36.9</v>
      </c>
      <c r="BA128" t="n">
        <v>478</v>
      </c>
      <c r="BD128" t="n">
        <v>3831</v>
      </c>
      <c r="BE128" t="inlineStr">
        <is>
          <t>annual</t>
        </is>
      </c>
      <c r="BF128" t="n">
        <v>5</v>
      </c>
      <c r="BG128" t="n">
        <v>1.8</v>
      </c>
      <c r="BJ128" t="n">
        <v>35.6</v>
      </c>
      <c r="BK128" t="n">
        <v>-251</v>
      </c>
      <c r="BN128" t="n">
        <v>5510</v>
      </c>
      <c r="BO128" t="inlineStr">
        <is>
          <t>annual</t>
        </is>
      </c>
      <c r="BP128" t="inlineStr">
        <is>
          <t>Friedlander &amp; Hamilton 1993, Tables ES.2, ES.4, C.1; cost from p. xxvi</t>
        </is>
      </c>
      <c r="BQ128" t="inlineStr">
        <is>
          <t>Training role secondary (same as AFDC-FG). Earnings impacts fade by Year 4 and turn negative by Year 5. Five-year cumulative impact +$1,060 (4.9% over controls) not statistically significant. pct_male not exactly reported; AFDC-U case heads were 'mostly male.'</t>
        </is>
      </c>
      <c r="BR128" t="n">
        <v>840</v>
      </c>
      <c r="BU128" t="inlineStr">
        <is>
          <t>CA</t>
        </is>
      </c>
      <c r="BV128" t="inlineStr">
        <is>
          <t>urban</t>
        </is>
      </c>
      <c r="BW128" t="n">
        <v>0</v>
      </c>
      <c r="BX128" t="n">
        <v>0</v>
      </c>
      <c r="BY128" t="n">
        <v>0</v>
      </c>
      <c r="BZ128" t="n">
        <v>0</v>
      </c>
      <c r="CA128" t="n">
        <v>0</v>
      </c>
      <c r="CB128" t="n">
        <v>0</v>
      </c>
      <c r="CC128" t="n">
        <v>0</v>
      </c>
      <c r="CD128" t="n">
        <v>0</v>
      </c>
      <c r="CE128" t="n">
        <v>47</v>
      </c>
      <c r="CF128" t="n">
        <v>23</v>
      </c>
      <c r="CG128" t="n">
        <v>11</v>
      </c>
      <c r="CH128" t="n">
        <v>23</v>
      </c>
    </row>
    <row r="129" ht="44.1" customHeight="1">
      <c r="A129" t="inlineStr">
        <is>
          <t>Accelerated Training for Illinois Manufacturing (ATIM)</t>
        </is>
      </c>
      <c r="B129" t="inlineStr">
        <is>
          <t>5 Illinois regions pooled</t>
        </is>
      </c>
      <c r="C129" s="13" t="inlineStr">
        <is>
          <t>ATIMATIM-Regions pooled</t>
        </is>
      </c>
      <c r="D129" t="inlineStr">
        <is>
          <t>Accelerated sector-based manufacturing training: individualized assessment, career counseling, accelerated occupational skills training (machine production, welding, mechatronics, logistics), work-based training (internships, OJT, job shadowing), and stackable industry-recognized credentials.</t>
        </is>
      </c>
      <c r="E129" t="inlineStr">
        <is>
          <t>primary</t>
        </is>
      </c>
      <c r="F129" t="n">
        <v>1</v>
      </c>
      <c r="G129" t="n">
        <v>1</v>
      </c>
      <c r="H129" t="n">
        <v>0</v>
      </c>
      <c r="I129" t="n">
        <v>1</v>
      </c>
      <c r="J129" t="inlineStr">
        <is>
          <t>career counseling, case management</t>
        </is>
      </c>
      <c r="K129" t="inlineStr">
        <is>
          <t>voluntary</t>
        </is>
      </c>
      <c r="L129" t="inlineStr">
        <is>
          <t>public</t>
        </is>
      </c>
      <c r="M129" t="inlineStr">
        <is>
          <t>public</t>
        </is>
      </c>
      <c r="N129" t="inlineStr">
        <is>
          <t>2013-2015</t>
        </is>
      </c>
      <c r="O129" t="n">
        <v>2014.5</v>
      </c>
      <c r="P129" t="inlineStr">
        <is>
          <t>Adults and dislocated workers eligible for WIA services, seeking manufacturing employment</t>
        </is>
      </c>
      <c r="Q129" t="n">
        <v>40</v>
      </c>
      <c r="R129" t="n">
        <v>80</v>
      </c>
      <c r="S129" t="n">
        <v>72</v>
      </c>
      <c r="T129" t="n">
        <v>26</v>
      </c>
      <c r="U129" t="n">
        <v>11</v>
      </c>
      <c r="V129" t="n">
        <v>2</v>
      </c>
      <c r="X129" t="inlineStr">
        <is>
          <t>moderate</t>
        </is>
      </c>
      <c r="Z129" t="n">
        <v>514</v>
      </c>
      <c r="AA129" t="n">
        <v>224</v>
      </c>
      <c r="AK129" t="inlineStr">
        <is>
          <t>IL Dept of Employment Security UI wage records</t>
        </is>
      </c>
      <c r="AL129" t="n">
        <v>1</v>
      </c>
      <c r="AQ129" t="n">
        <v>-231</v>
      </c>
      <c r="AT129" t="n">
        <v>15029</v>
      </c>
      <c r="AU129" t="inlineStr">
        <is>
          <t>annual</t>
        </is>
      </c>
      <c r="AV129" t="n">
        <v>2</v>
      </c>
      <c r="BA129" t="n">
        <v>5476</v>
      </c>
      <c r="BB129" t="n">
        <v>2793.3</v>
      </c>
      <c r="BC129" t="inlineStr">
        <is>
          <t>**</t>
        </is>
      </c>
      <c r="BD129" t="n">
        <v>19862</v>
      </c>
      <c r="BE129" t="inlineStr">
        <is>
          <t>annual</t>
        </is>
      </c>
      <c r="BP129" t="inlineStr">
        <is>
          <t>Betesh et al. 2017, ATIM Final Impact Report, Exhibits II-3, IV-2, IV-5; cost from p. viii ($9,991 per participant)</t>
        </is>
      </c>
      <c r="BQ129" t="inlineStr">
        <is>
          <t>Lock-in effect in Year 1: ATIM participants in training had lower employment and earnings than controls initially, but surpassed controls by Q3 post-RA. Year 2 data available for only 357 of 738 participants (those enrolled early enough). Employment reported as quarters employed (0-4), not %; cannot directly extract employment rate impact. Control group had access to WIA services. Randomization ratio ~2.3:1 (514 treatment vs 224 control).</t>
        </is>
      </c>
      <c r="BR129" t="n">
        <v>9991</v>
      </c>
      <c r="BU129" t="inlineStr">
        <is>
          <t>IL</t>
        </is>
      </c>
      <c r="BV129" t="inlineStr">
        <is>
          <t>urban</t>
        </is>
      </c>
      <c r="BW129" t="n">
        <v>0</v>
      </c>
      <c r="BX129" t="n">
        <v>0</v>
      </c>
      <c r="BY129" t="n">
        <v>0</v>
      </c>
      <c r="BZ129" t="n">
        <v>1</v>
      </c>
      <c r="CA129" t="n">
        <v>1</v>
      </c>
      <c r="CB129" t="n">
        <v>1</v>
      </c>
      <c r="CC129" t="n">
        <v>1</v>
      </c>
      <c r="CD129" t="n">
        <v>0</v>
      </c>
      <c r="CE129" t="n">
        <v>95.59999999999999</v>
      </c>
      <c r="CF129" t="n">
        <v>0</v>
      </c>
      <c r="CG129" t="n">
        <v>71.90000000000001</v>
      </c>
      <c r="CH129" t="n">
        <v>23.7</v>
      </c>
      <c r="CI129" t="n">
        <v>5</v>
      </c>
    </row>
    <row r="130" ht="44.1" customHeight="1">
      <c r="A130" t="inlineStr">
        <is>
          <t>Accelerating Connections to Employment (ACE)</t>
        </is>
      </c>
      <c r="B130" t="inlineStr">
        <is>
          <t>Maryland (6 sites) + Texas (Austin) pooled</t>
        </is>
      </c>
      <c r="C130" s="13" t="inlineStr">
        <is>
          <t>ACEACE-Austin) pooled</t>
        </is>
      </c>
      <c r="D130" t="inlineStr">
        <is>
          <t>WIB-community college partnership: integrated basic skills and vocational instruction (I-BEST model), occupational training (CNA, welding, construction, medical billing, IT, etc.), support services, job readiness and placement services. Stackable credentials.</t>
        </is>
      </c>
      <c r="E130" t="inlineStr">
        <is>
          <t>primary</t>
        </is>
      </c>
      <c r="F130" t="n">
        <v>1</v>
      </c>
      <c r="G130" t="n">
        <v>0</v>
      </c>
      <c r="H130" t="n">
        <v>1</v>
      </c>
      <c r="I130" t="n">
        <v>1</v>
      </c>
      <c r="J130" t="inlineStr">
        <is>
          <t>support services (transportation, academic), job placement</t>
        </is>
      </c>
      <c r="K130" t="inlineStr">
        <is>
          <t>voluntary</t>
        </is>
      </c>
      <c r="L130" t="inlineStr">
        <is>
          <t>public</t>
        </is>
      </c>
      <c r="M130" t="inlineStr">
        <is>
          <t>public</t>
        </is>
      </c>
      <c r="N130" t="inlineStr">
        <is>
          <t>2012-2015</t>
        </is>
      </c>
      <c r="O130" t="n">
        <v>2014</v>
      </c>
      <c r="P130" t="inlineStr">
        <is>
          <t>Low-skilled workers seeking employment through WIB-community college partnerships</t>
        </is>
      </c>
      <c r="Q130" t="n">
        <v>33</v>
      </c>
      <c r="R130" t="n">
        <v>27</v>
      </c>
      <c r="S130" t="n">
        <v>18</v>
      </c>
      <c r="T130" t="n">
        <v>71</v>
      </c>
      <c r="U130" t="n">
        <v>10</v>
      </c>
      <c r="V130" t="n">
        <v>16</v>
      </c>
      <c r="X130" t="inlineStr">
        <is>
          <t>broad</t>
        </is>
      </c>
      <c r="Z130" t="n">
        <v>940</v>
      </c>
      <c r="AA130" t="n">
        <v>573</v>
      </c>
      <c r="AK130" t="inlineStr">
        <is>
          <t>State UI wage records (MD, TX)</t>
        </is>
      </c>
      <c r="AL130" t="n">
        <v>1.5</v>
      </c>
      <c r="AM130" t="n">
        <v>12.9</v>
      </c>
      <c r="AN130" t="n">
        <v>5</v>
      </c>
      <c r="AO130" t="inlineStr">
        <is>
          <t>***</t>
        </is>
      </c>
      <c r="AP130" t="n">
        <v>69.2</v>
      </c>
      <c r="AQ130" t="n">
        <v>1295</v>
      </c>
      <c r="AR130" t="n">
        <v>502.7</v>
      </c>
      <c r="AS130" t="inlineStr">
        <is>
          <t>***</t>
        </is>
      </c>
      <c r="AT130" t="n">
        <v>11602</v>
      </c>
      <c r="AU130" t="inlineStr">
        <is>
          <t>annual</t>
        </is>
      </c>
      <c r="AV130" t="n">
        <v>2.5</v>
      </c>
      <c r="AW130" t="n">
        <v>13.5</v>
      </c>
      <c r="AX130" t="n">
        <v>5.2</v>
      </c>
      <c r="AY130" t="inlineStr">
        <is>
          <t>***</t>
        </is>
      </c>
      <c r="AZ130" t="n">
        <v>65.5</v>
      </c>
      <c r="BA130" t="n">
        <v>5263</v>
      </c>
      <c r="BB130" t="n">
        <v>2042.9</v>
      </c>
      <c r="BC130" t="inlineStr">
        <is>
          <t>***</t>
        </is>
      </c>
      <c r="BD130" t="n">
        <v>21790</v>
      </c>
      <c r="BE130" t="inlineStr">
        <is>
          <t>biennial (cumulative 8-quarter)</t>
        </is>
      </c>
      <c r="BP130" t="inlineStr">
        <is>
          <t>Modicamore et al. 2017, ACE Final Evaluation Report, Exhibits ES2, ES3, ES5, ES6, ES12, 6.9</t>
        </is>
      </c>
      <c r="BQ130" t="inlineStr">
        <is>
          <t>MT earnings impact ($5,263) and control mean ($21,790) are CUMULATIVE 8-quarter (2-year) figures, not single-year. MT sample (n=619) is smaller than ST sample (n=1,513) due to follow-up window. Treatment/control N's are approximate, calculated from site enrollment tables. Mean age approximate. Atlanta GA site (n=203) showed NEGATIVE earnings impact and is excluded from this MD/TX grouping. CT (New Haven, n=348) had positive but smaller Year 1 impact ($1,546, ns) and large Year 2 impact ($11,287***, n=136). Employment rates are 'ever earned a wage in the year' (not quarterly rate).</t>
        </is>
      </c>
      <c r="BR130" t="n">
        <v>6600</v>
      </c>
      <c r="BU130" t="inlineStr">
        <is>
          <t>multiple</t>
        </is>
      </c>
      <c r="BV130" t="inlineStr">
        <is>
          <t>urban</t>
        </is>
      </c>
      <c r="BW130" t="n">
        <v>0</v>
      </c>
      <c r="BX130" t="n">
        <v>0</v>
      </c>
      <c r="BY130" t="n">
        <v>0</v>
      </c>
      <c r="BZ130" t="n">
        <v>0</v>
      </c>
      <c r="CA130" t="n">
        <v>1</v>
      </c>
      <c r="CB130" t="n">
        <v>1</v>
      </c>
      <c r="CC130" t="n">
        <v>1</v>
      </c>
      <c r="CD130" t="n">
        <v>0</v>
      </c>
      <c r="CE130" t="n">
        <v>77</v>
      </c>
      <c r="CF130" t="n">
        <v>0</v>
      </c>
      <c r="CI130" t="n">
        <v>3.5</v>
      </c>
    </row>
    <row r="131" ht="44.1" customHeight="1">
      <c r="A131" t="inlineStr">
        <is>
          <t>Wisconsin Welfare Employment Experiment (WEJT)</t>
        </is>
      </c>
      <c r="B131" t="inlineStr">
        <is>
          <t>Rock County, WI</t>
        </is>
      </c>
      <c r="C131" s="13" t="inlineStr">
        <is>
          <t>WWEEWEJT-County, WI</t>
        </is>
      </c>
      <c r="D131" t="inlineStr">
        <is>
          <t>Mandatory welfare-to-work: job search (primary), remedial education, vocational/technical education, JTPA training, OJT, community work experience placements (16-week max), day care and supportive services. 27-31% of clients participated in education/training activities.</t>
        </is>
      </c>
      <c r="E131" t="inlineStr">
        <is>
          <t>secondary</t>
        </is>
      </c>
      <c r="F131" t="n">
        <v>1</v>
      </c>
      <c r="G131" t="n">
        <v>1</v>
      </c>
      <c r="H131" t="n">
        <v>1</v>
      </c>
      <c r="I131" t="n">
        <v>1</v>
      </c>
      <c r="J131" t="inlineStr">
        <is>
          <t>community work experience, day care</t>
        </is>
      </c>
      <c r="K131" t="inlineStr">
        <is>
          <t>mandatory</t>
        </is>
      </c>
      <c r="L131" t="inlineStr">
        <is>
          <t>public</t>
        </is>
      </c>
      <c r="M131" t="inlineStr">
        <is>
          <t>public</t>
        </is>
      </c>
      <c r="N131" t="inlineStr">
        <is>
          <t>1987-1988</t>
        </is>
      </c>
      <c r="O131" t="n">
        <v>1988</v>
      </c>
      <c r="P131" t="inlineStr">
        <is>
          <t>AFDC recipients (single-parent and two-parent families, children age 6+)</t>
        </is>
      </c>
      <c r="X131" t="inlineStr">
        <is>
          <t>broad</t>
        </is>
      </c>
      <c r="Z131" t="n">
        <v>538</v>
      </c>
      <c r="AA131" t="n">
        <v>487</v>
      </c>
      <c r="AK131" t="inlineStr">
        <is>
          <t>WI UI wage records + AFDC administrative records</t>
        </is>
      </c>
      <c r="AV131" t="n">
        <v>2.5</v>
      </c>
      <c r="AW131" t="n">
        <v>-3.4</v>
      </c>
      <c r="AZ131" t="n">
        <v>26.1</v>
      </c>
      <c r="BA131" t="n">
        <v>-125</v>
      </c>
      <c r="BD131" t="n">
        <v>1744</v>
      </c>
      <c r="BE131" t="inlineStr">
        <is>
          <t>quarterly</t>
        </is>
      </c>
      <c r="BP131" t="inlineStr">
        <is>
          <t>Pawasarat &amp; Quinn 1993, pp. 69, 113; cost from p. 69 ($718/participant in 1990)</t>
        </is>
      </c>
      <c r="BQ131" t="inlineStr">
        <is>
          <t>Negative/null impacts: WEJT group had LOWER employment and earnings than control group (WIN/WEOP programs), though differences not significant. Control group received existing WIN/WEOP job service programs, not a pure no-services control. Employment measure is % off AFDC with earnings &gt;$2,500 in Q4 1990, not standard employment rate. Only Rock County had random assignment; other WEJT counties used quasi-experimental designs. Demographics not reported for Rock County specifically. Earnings are average quarterly earnings (Q4 1990) from UI wage records.</t>
        </is>
      </c>
      <c r="BR131" t="n">
        <v>718</v>
      </c>
      <c r="BU131" t="inlineStr">
        <is>
          <t>WI</t>
        </is>
      </c>
      <c r="BV131" t="inlineStr">
        <is>
          <t>rural</t>
        </is>
      </c>
      <c r="BW131" t="n">
        <v>0</v>
      </c>
      <c r="BX131" t="n">
        <v>0</v>
      </c>
      <c r="BY131" t="n">
        <v>0</v>
      </c>
      <c r="BZ131" t="n">
        <v>0</v>
      </c>
      <c r="CA131" t="n">
        <v>0</v>
      </c>
      <c r="CB131" t="n">
        <v>0</v>
      </c>
      <c r="CC131" t="n">
        <v>0</v>
      </c>
      <c r="CD131" t="n">
        <v>0</v>
      </c>
    </row>
    <row r="132" ht="44.1" customHeight="1">
      <c r="A132" t="inlineStr">
        <is>
          <t>Health Profession Opportunity Grants 2.0 (HPOG 2.0)</t>
        </is>
      </c>
      <c r="B132" t="inlineStr">
        <is>
          <t>27 non-Tribal grantees pooled (17 states)</t>
        </is>
      </c>
      <c r="C132" s="13" t="inlineStr">
        <is>
          <t>HPOGHPOG-Pooled (17 states)</t>
        </is>
      </c>
      <c r="D132" t="inlineStr">
        <is>
          <t>Healthcare occupational training for low-income adults: healthcare skills training (CNA, medical assistant, phlebotomy, etc.), career counseling, academic advising, financial aid advising, job search and placement assistance, support services. Career pathways approach with stackable credentials. 77% of treatment group started healthcare training.</t>
        </is>
      </c>
      <c r="E132" t="inlineStr">
        <is>
          <t>primary</t>
        </is>
      </c>
      <c r="F132" t="n">
        <v>1</v>
      </c>
      <c r="G132" t="n">
        <v>0</v>
      </c>
      <c r="H132" t="n">
        <v>1</v>
      </c>
      <c r="I132" t="n">
        <v>1</v>
      </c>
      <c r="J132" t="inlineStr">
        <is>
          <t>career counseling, academic advising, support services</t>
        </is>
      </c>
      <c r="K132" t="inlineStr">
        <is>
          <t>voluntary</t>
        </is>
      </c>
      <c r="L132" t="inlineStr">
        <is>
          <t>public</t>
        </is>
      </c>
      <c r="M132" t="inlineStr">
        <is>
          <t>mixed</t>
        </is>
      </c>
      <c r="N132" t="inlineStr">
        <is>
          <t>2015-2021</t>
        </is>
      </c>
      <c r="O132" t="n">
        <v>2018.5</v>
      </c>
      <c r="P132" t="inlineStr">
        <is>
          <t>TANF recipients and other low-income adults seeking healthcare careers</t>
        </is>
      </c>
      <c r="Q132" t="n">
        <v>32</v>
      </c>
      <c r="R132" t="n">
        <v>8</v>
      </c>
      <c r="S132" t="n">
        <v>24</v>
      </c>
      <c r="T132" t="n">
        <v>47</v>
      </c>
      <c r="U132" t="n">
        <v>23</v>
      </c>
      <c r="V132" t="n">
        <v>10.2</v>
      </c>
      <c r="X132" t="inlineStr">
        <is>
          <t>broad</t>
        </is>
      </c>
      <c r="Z132" t="n">
        <v>15060</v>
      </c>
      <c r="AA132" t="n">
        <v>7371</v>
      </c>
      <c r="AG132" t="n">
        <v>0.66</v>
      </c>
      <c r="AK132" t="inlineStr">
        <is>
          <t>NDNH (National Directory of New Hires) wage records</t>
        </is>
      </c>
      <c r="AL132" t="n">
        <v>1</v>
      </c>
      <c r="AQ132" t="n">
        <v>-12</v>
      </c>
      <c r="AU132" t="inlineStr">
        <is>
          <t>quarterly</t>
        </is>
      </c>
      <c r="AV132" t="n">
        <v>3</v>
      </c>
      <c r="AW132" t="n">
        <v>3</v>
      </c>
      <c r="AX132" t="n">
        <v>2</v>
      </c>
      <c r="AZ132" t="n">
        <v>63</v>
      </c>
      <c r="BA132" t="n">
        <v>94</v>
      </c>
      <c r="BB132" t="n">
        <v>60</v>
      </c>
      <c r="BD132" t="n">
        <v>4971</v>
      </c>
      <c r="BE132" t="inlineStr">
        <is>
          <t>quarterly</t>
        </is>
      </c>
      <c r="BP132" t="inlineStr">
        <is>
          <t>Klerman et al. 2023, HPOG 2.0 Intermediate-Term Impact Report, Exhibits 1-2, 1-4, 2-1, 4-1, 4-3</t>
        </is>
      </c>
      <c r="BQ132" t="inlineStr">
        <is>
          <t>NULL RESULT: Despite increasing training completion by +14.5pp, HPOG 2.0 had no detected impact on earnings at 3 years. Confirmatory Q12 earnings impact +$94 (SE=$60) not significant. This mirrors HPOG 1.0 results. Very large sample (N≈22,400 for NDNH analysis). Control group could access non-HPOG training and services. 59% of controls started healthcare training on their own. Earnings cadence is quarterly from NDNH. Employment impact from survey data (36-month follow-up, 66% response rate). HPOG 2.0 grantees are distinct from PACE programs (different cohort, different set of organizations). pct_no_hs_diploma computed from Klerman et al. 2023 (HPOG 2.0) Exhibit 5-3 educational-attainment subgroup sample sizes: less-than-secondary T=2,052, C=1,060 of pooled subgroup totals T=20,450, C=10,086; share = 3,112/30,536 = 10.2%. (Exhibit 1-2 graphic does not report this directly.)</t>
        </is>
      </c>
      <c r="BU132" t="inlineStr">
        <is>
          <t>multiple</t>
        </is>
      </c>
      <c r="BV132" t="inlineStr">
        <is>
          <t>urban</t>
        </is>
      </c>
      <c r="BW132" t="n">
        <v>0</v>
      </c>
      <c r="BX132" t="n">
        <v>0</v>
      </c>
      <c r="BY132" t="n">
        <v>0</v>
      </c>
      <c r="BZ132" t="n">
        <v>0</v>
      </c>
      <c r="CA132" t="n">
        <v>0</v>
      </c>
      <c r="CB132" t="n">
        <v>1</v>
      </c>
      <c r="CC132" t="n">
        <v>0</v>
      </c>
      <c r="CD132" t="n">
        <v>0</v>
      </c>
      <c r="CE132" t="n">
        <v>18</v>
      </c>
      <c r="CF132" t="n">
        <v>59</v>
      </c>
      <c r="CG132" t="n">
        <v>14.5</v>
      </c>
      <c r="CH132" t="n">
        <v>66.90000000000001</v>
      </c>
    </row>
    <row r="133" ht="44.1" customHeight="1">
      <c r="A133" t="inlineStr">
        <is>
          <t>Health Profession Opportunity Grants 1.0 (HPOG 1.0)</t>
        </is>
      </c>
      <c r="B133" t="inlineStr">
        <is>
          <t>23 grantees pooled</t>
        </is>
      </c>
      <c r="C133" s="13" t="inlineStr">
        <is>
          <t>HPOGHPOG-Grantees pooled</t>
        </is>
      </c>
      <c r="D133" t="inlineStr">
        <is>
          <t>Healthcare occupational training via career pathways framework: education and training in healthcare occupations (CNA, medical assistant, etc.) offered in a series of steps, combined with financial assistance, support services, and employer connections. Programs operated by community-based organizations, community colleges, and workforce agencies.</t>
        </is>
      </c>
      <c r="E133" t="inlineStr">
        <is>
          <t>primary</t>
        </is>
      </c>
      <c r="F133" t="n">
        <v>1</v>
      </c>
      <c r="G133" t="n">
        <v>0</v>
      </c>
      <c r="H133" t="n">
        <v>1</v>
      </c>
      <c r="I133" t="n">
        <v>1</v>
      </c>
      <c r="J133" t="inlineStr">
        <is>
          <t>financial assistance, support services, career counseling</t>
        </is>
      </c>
      <c r="K133" t="inlineStr">
        <is>
          <t>voluntary</t>
        </is>
      </c>
      <c r="L133" t="inlineStr">
        <is>
          <t>public</t>
        </is>
      </c>
      <c r="M133" t="inlineStr">
        <is>
          <t>mixed</t>
        </is>
      </c>
      <c r="N133" t="inlineStr">
        <is>
          <t>2013-2015</t>
        </is>
      </c>
      <c r="O133" t="n">
        <v>2014.5</v>
      </c>
      <c r="P133" t="inlineStr">
        <is>
          <t>TANF recipients and other low-income adults seeking healthcare careers</t>
        </is>
      </c>
      <c r="Q133" t="n">
        <v>32</v>
      </c>
      <c r="R133" t="n">
        <v>11</v>
      </c>
      <c r="S133" t="n">
        <v>36</v>
      </c>
      <c r="T133" t="n">
        <v>34</v>
      </c>
      <c r="U133" t="n">
        <v>24</v>
      </c>
      <c r="X133" t="inlineStr">
        <is>
          <t>broad</t>
        </is>
      </c>
      <c r="Z133" t="n">
        <v>6872</v>
      </c>
      <c r="AA133" t="n">
        <v>5044</v>
      </c>
      <c r="AK133" t="inlineStr">
        <is>
          <t>NDNH (National Directory of New Hires) wage records</t>
        </is>
      </c>
      <c r="AL133" t="n">
        <v>1.25</v>
      </c>
      <c r="AQ133" t="n">
        <v>30</v>
      </c>
      <c r="AU133" t="inlineStr">
        <is>
          <t>quarterly</t>
        </is>
      </c>
      <c r="AV133" t="n">
        <v>3</v>
      </c>
      <c r="BA133" t="n">
        <v>42</v>
      </c>
      <c r="BE133" t="inlineStr">
        <is>
          <t>quarterly</t>
        </is>
      </c>
      <c r="BF133" t="n">
        <v>6</v>
      </c>
      <c r="BG133" t="n">
        <v>4.9</v>
      </c>
      <c r="BI133" t="inlineStr">
        <is>
          <t>**</t>
        </is>
      </c>
      <c r="BJ133" t="n">
        <v>32</v>
      </c>
      <c r="BK133" t="n">
        <v>-145</v>
      </c>
      <c r="BN133" t="n">
        <v>6011</v>
      </c>
      <c r="BO133" t="inlineStr">
        <is>
          <t>quarterly (average of Q23 and Q24)</t>
        </is>
      </c>
      <c r="BP133" t="inlineStr">
        <is>
          <t>Peck, Litwok, and Walton (Abt) 2022, HPOG 1.0 Impact Study: Six-Year Impacts Report, OPRE Report 2022-07. Exhibits 1, 4, 5.</t>
        </is>
      </c>
      <c r="BQ133" t="inlineStr">
        <is>
          <t>NULL RESULT on earnings: no detectable impact at any horizon (ST, MT, or LT). At 6 years, earnings impact is actually negative (-$145/quarter, ns). Key positive finding: +4.9pp** shift into healthcare occupations at 6 years (confirmatory outcome), and +8pp*** in credential receipt. But credential gains limited to short-term certificates; no impact on credentials requiring 1+ year. Control group had access to similar training courses, just with less financial assistance/support. 5 of 23 HPOG 1.0 grantees overlap with PACE evaluation (those sites also extracted individually under PACE). N=13,716 total (large-scale national evaluation). SE values not separately reported in this summary report; would need technical supplement for exact SEs.</t>
        </is>
      </c>
      <c r="BU133" t="inlineStr">
        <is>
          <t>multiple</t>
        </is>
      </c>
      <c r="BV133" t="inlineStr">
        <is>
          <t>urban</t>
        </is>
      </c>
      <c r="BW133" t="n">
        <v>0</v>
      </c>
      <c r="BX133" t="n">
        <v>0</v>
      </c>
      <c r="BY133" t="n">
        <v>0</v>
      </c>
      <c r="BZ133" t="n">
        <v>0</v>
      </c>
      <c r="CA133" t="n">
        <v>0</v>
      </c>
      <c r="CB133" t="n">
        <v>1</v>
      </c>
      <c r="CC133" t="n">
        <v>0</v>
      </c>
      <c r="CD133" t="n">
        <v>0</v>
      </c>
      <c r="CG133" t="n">
        <v>7.6</v>
      </c>
      <c r="CH133" t="n">
        <v>70.2</v>
      </c>
      <c r="CI133" t="n">
        <v>7.5</v>
      </c>
    </row>
    <row r="134" ht="44.1" customHeight="1">
      <c r="A134" t="inlineStr">
        <is>
          <t>Employment Retention and Advancement (ERA)</t>
        </is>
      </c>
      <c r="B134" t="inlineStr">
        <is>
          <t>Minnesota Tier 2, Hennepin County</t>
        </is>
      </c>
      <c r="C134" s="13" t="inlineStr">
        <is>
          <t>ERAERA-Hennepin County</t>
        </is>
      </c>
      <c r="D134" t="inlineStr">
        <is>
          <t>Enhanced welfare-to-work case management for long-term TANF recipients: smaller caseloads (1:40-50 vs 1:100+), in-depth barrier assessment, supported employment with OJT and job coaching (+5.8pp***), job search activities, referrals to mental health/substance abuse/domestic violence services. Both Tier 2 and Tier 1 (control) had access to education/training, job search, and unpaid work placements through MFIP welfare-to-work. ~40% of both groups participated in education or training.</t>
        </is>
      </c>
      <c r="E134" t="inlineStr">
        <is>
          <t>incidental</t>
        </is>
      </c>
      <c r="F134" t="n">
        <v>1</v>
      </c>
      <c r="G134" t="n">
        <v>1</v>
      </c>
      <c r="H134" t="n">
        <v>1</v>
      </c>
      <c r="I134" t="n">
        <v>1</v>
      </c>
      <c r="J134" t="inlineStr">
        <is>
          <t>barrier assessment, supported employment, case management, mental health/substance abuse/DV referrals</t>
        </is>
      </c>
      <c r="K134" t="inlineStr">
        <is>
          <t>mandatory</t>
        </is>
      </c>
      <c r="L134" t="inlineStr">
        <is>
          <t>public</t>
        </is>
      </c>
      <c r="M134" t="inlineStr">
        <is>
          <t>public</t>
        </is>
      </c>
      <c r="N134" t="inlineStr">
        <is>
          <t>January 2002 – April 2003</t>
        </is>
      </c>
      <c r="O134" t="n">
        <v>2002.667</v>
      </c>
      <c r="P134" t="inlineStr">
        <is>
          <t>Long-term TANF recipients (single parents on MFIP 12+ months) in Hennepin County, MN</t>
        </is>
      </c>
      <c r="Q134" t="n">
        <v>31.4</v>
      </c>
      <c r="R134" t="n">
        <v>6.8</v>
      </c>
      <c r="S134" t="n">
        <v>16.3</v>
      </c>
      <c r="T134" t="n">
        <v>67.8</v>
      </c>
      <c r="U134" t="n">
        <v>2.2</v>
      </c>
      <c r="V134" t="n">
        <v>46.4</v>
      </c>
      <c r="X134" t="inlineStr">
        <is>
          <t>broad</t>
        </is>
      </c>
      <c r="Z134" t="n">
        <v>845</v>
      </c>
      <c r="AA134" t="n">
        <v>847</v>
      </c>
      <c r="AK134" t="inlineStr">
        <is>
          <t>Minnesota UI wage records</t>
        </is>
      </c>
      <c r="AL134" t="n">
        <v>1</v>
      </c>
      <c r="AM134" t="n">
        <v>3.7</v>
      </c>
      <c r="AO134" t="inlineStr">
        <is>
          <t>*</t>
        </is>
      </c>
      <c r="AP134" t="n">
        <v>56.7</v>
      </c>
      <c r="AQ134" t="n">
        <v>110</v>
      </c>
      <c r="AT134" t="n">
        <v>3904</v>
      </c>
      <c r="AU134" t="inlineStr">
        <is>
          <t>annual</t>
        </is>
      </c>
      <c r="AV134" t="n">
        <v>1.75</v>
      </c>
      <c r="AW134" t="n">
        <v>1.8</v>
      </c>
      <c r="AZ134" t="n">
        <v>43.4</v>
      </c>
      <c r="BA134" t="n">
        <v>-87</v>
      </c>
      <c r="BD134" t="n">
        <v>1358</v>
      </c>
      <c r="BE134" t="inlineStr">
        <is>
          <t>quarterly</t>
        </is>
      </c>
      <c r="BP134" t="inlineStr">
        <is>
          <t>LeBlanc, Miller, Martinson, and Azurdia (MDRC) 2007, The Employment Retention and Advancement Project: Results from Minnesota's Tier 2 Program. Tables 2, 9, 10, ES.1, D.7, D.8.</t>
        </is>
      </c>
      <c r="BQ134" t="inlineStr">
        <is>
          <t>NULL RESULT: no detectable impact on employment or earnings at any horizon. Tier 2 enhanced case management (smaller caseloads, in-depth assessment, supported employment) vs Tier 1 standard MFIP welfare-to-work. Both groups had access to education/training; Tier 2 did NOT increase training participation (-4.3pp, ns, Table 9). Tier 2 DID increase supported employment (+5.8pp***, Table 9) and job search intensity. Training role classified as 'incidental' because the Tier 2 enhancement did not differentially deliver training. Active-control design: Tier 1 is a real welfare-to-work program, not no-services. Target population is very disadvantaged: 68% black, 46% no HS diploma, long-term TANF recipients with employment barriers. Q2-7 summary: ever employed +3.3pp (p=0.113), total earnings -$54 (p=0.902). Cost is contract cost per program slot, not total cost per participant. Early cohort (N=648) had 10-quarter follow-up with no significant impacts.</t>
        </is>
      </c>
      <c r="BR134" t="n">
        <v>4000</v>
      </c>
      <c r="BU134" t="inlineStr">
        <is>
          <t>MN</t>
        </is>
      </c>
      <c r="BV134" t="inlineStr">
        <is>
          <t>urban</t>
        </is>
      </c>
      <c r="BW134" t="n">
        <v>0</v>
      </c>
      <c r="BX134" t="n">
        <v>0</v>
      </c>
      <c r="BY134" t="n">
        <v>0</v>
      </c>
      <c r="BZ134" t="n">
        <v>0</v>
      </c>
      <c r="CA134" t="n">
        <v>0</v>
      </c>
      <c r="CB134" t="n">
        <v>0</v>
      </c>
      <c r="CC134" t="n">
        <v>0</v>
      </c>
      <c r="CD134" t="n">
        <v>0</v>
      </c>
      <c r="CE134" t="n">
        <v>5.8</v>
      </c>
      <c r="CF134" t="n">
        <v>3.7</v>
      </c>
      <c r="CG134" t="n">
        <v>-4.3</v>
      </c>
      <c r="CH134" t="n">
        <v>42.1</v>
      </c>
    </row>
    <row r="135" ht="44.1" customHeight="1">
      <c r="A135" t="inlineStr">
        <is>
          <t>New Jersey UI Reemployment Demonstration</t>
        </is>
      </c>
      <c r="B135" t="inlineStr">
        <is>
          <t>Treatment 2: JSA Plus Training/Relocation</t>
        </is>
      </c>
      <c r="C135" s="13" t="inlineStr">
        <is>
          <t>NJUIRD-Training/Relocation</t>
        </is>
      </c>
      <c r="D135" t="inlineStr">
        <is>
          <t>Job search assistance (mandatory orientation at ES office, skills assessment, individualized service plan) plus offer of training or relocation assistance through JTPA. JSA was the primary component delivered to all Treatment 2 members. Training/relocation was an additional option: ~8% (299/3,810) received training per tracking system, ~15% per JTPA records; only 7 received relocation assistance. Failure to report for services could lead to denial of UI benefits.</t>
        </is>
      </c>
      <c r="E135" t="inlineStr">
        <is>
          <t>secondary</t>
        </is>
      </c>
      <c r="F135" t="n">
        <v>1</v>
      </c>
      <c r="G135" t="n">
        <v>0</v>
      </c>
      <c r="H135" t="n">
        <v>1</v>
      </c>
      <c r="I135" t="n">
        <v>1</v>
      </c>
      <c r="J135" t="inlineStr">
        <is>
          <t>relocation assistance (negligible take-up), skills assessment, individualized service plan</t>
        </is>
      </c>
      <c r="K135" t="inlineStr">
        <is>
          <t>mandatory</t>
        </is>
      </c>
      <c r="L135" t="inlineStr">
        <is>
          <t>public</t>
        </is>
      </c>
      <c r="M135" t="inlineStr">
        <is>
          <t>public</t>
        </is>
      </c>
      <c r="N135" t="inlineStr">
        <is>
          <t>July 1986 – June 1987</t>
        </is>
      </c>
      <c r="O135" t="n">
        <v>1987</v>
      </c>
      <c r="P135" t="inlineStr">
        <is>
          <t>Displaced workers: UI claimants age 25+, 3+ years tenure with pre-UI employer, not on temporary layoff, not using union hiring hall to secure employment, in 10 NJ local offices</t>
        </is>
      </c>
      <c r="Q135" t="n">
        <v>43.2</v>
      </c>
      <c r="R135" t="n">
        <v>52.3</v>
      </c>
      <c r="S135" t="n">
        <v>61</v>
      </c>
      <c r="T135" t="n">
        <v>17.6</v>
      </c>
      <c r="X135" t="inlineStr">
        <is>
          <t>broad</t>
        </is>
      </c>
      <c r="Y135" t="n">
        <v>0.27</v>
      </c>
      <c r="Z135" t="n">
        <v>1672</v>
      </c>
      <c r="AA135" t="n">
        <v>1449</v>
      </c>
      <c r="AB135" t="n">
        <v>0.715</v>
      </c>
      <c r="AC135" t="n">
        <v>0.822</v>
      </c>
      <c r="AD135" t="n">
        <v>0.711</v>
      </c>
      <c r="AK135" t="inlineStr">
        <is>
          <t>Follow-up telephone interviews (weighted to represent full sample)</t>
        </is>
      </c>
      <c r="AL135" t="n">
        <v>1</v>
      </c>
      <c r="AM135" t="n">
        <v>2.5</v>
      </c>
      <c r="AN135" t="n">
        <v>1.3</v>
      </c>
      <c r="AO135" t="inlineStr">
        <is>
          <t>*</t>
        </is>
      </c>
      <c r="AP135" t="n">
        <v>42.8</v>
      </c>
      <c r="AQ135" t="n">
        <v>226</v>
      </c>
      <c r="AR135" t="n">
        <v>373</v>
      </c>
      <c r="AT135" t="n">
        <v>8287</v>
      </c>
      <c r="AU135" t="inlineStr">
        <is>
          <t>annual</t>
        </is>
      </c>
      <c r="BP135" t="inlineStr">
        <is>
          <t>Corson, Decker, Dunstan, and Kerachsky (Mathematica) 1989, The New Jersey Unemployment Insurance Reemployment Demonstration Project: Final Evaluation Report. Tables II.1, II.3, III.1, VI.1, VI.4, VI.5. Part 1 (summary), p.15.</t>
        </is>
      </c>
      <c r="BQ135" t="inlineStr">
        <is>
          <t>SMALL/NULL RESULT. Treatment 2 (JSA + training/relocation offer) vs control (no demonstration services). Year 1 employment +2.5pp* (p≈0.063), earnings +$226 (ns). Employment measure is 'percent of time employed' (continuous 0-100, not binary); Year 1 control mean of 42.8% means control group was employed 42.8% of the time. Regression-adjusted quarterly impacts (Tables VI.4/VI.5): employment Q1 +1.9**(0.9), Q2 +2.8*(1.6), Q3 +2.2(1.6), Q4 +1.7(1.7); earnings Q1 +$82(55), Q2 +$103(98), Q3 +$83(103), Q4 +$77(112). Impacts decline over time and are driven by JSA component, not training. Text (p.289): 'the additional offer of training did not have a positive impact on employment and earnings.' Only ~15% participated in training. Q5-Q6 earnings: +$2 and -$124 (ns, smaller subsample). 4-arm RCT: (1) JSA only, (2) JSA+training/relocation, (3) JSA+reemployment bonus, (4) control. Only Treatment 2 meets meta-analysis inclusion criteria (training). Full randomized sample: T2=3,810, Control=2,385 (Table II.1); impact estimates from interview subsample (T2=1,672, C=1,449) weighted to represent full sample. 73.4% of UI claimants excluded by 7 eligibility screens targeting experienced displaced workers (age 25+, 3+ years tenure, etc.). Demographics from Table II.3 (Treatment 2 column): 47.7% female, 17.6% black, 21.4% other race (includes Hispanic ~19.5%). Mean age 43.2 (all eligibles, Table III.2). Net cost $377/claimant = $491 gross - $114 existing ES services.</t>
        </is>
      </c>
      <c r="BR135" t="n">
        <v>377</v>
      </c>
      <c r="BU135" t="inlineStr">
        <is>
          <t>NJ</t>
        </is>
      </c>
      <c r="BV135" t="inlineStr">
        <is>
          <t>urban</t>
        </is>
      </c>
      <c r="BW135" t="n">
        <v>0</v>
      </c>
      <c r="BX135" t="n">
        <v>0</v>
      </c>
      <c r="BY135" t="n">
        <v>0</v>
      </c>
      <c r="BZ135" t="n">
        <v>0</v>
      </c>
      <c r="CA135" t="n">
        <v>0</v>
      </c>
      <c r="CB135" t="n">
        <v>0</v>
      </c>
      <c r="CC135" t="n">
        <v>0</v>
      </c>
      <c r="CD135" t="n">
        <v>0</v>
      </c>
      <c r="CE135" t="n">
        <v>9.4</v>
      </c>
      <c r="CF135" t="n">
        <v>2.3</v>
      </c>
      <c r="CG135" t="n">
        <v>7.1</v>
      </c>
      <c r="CH135" t="n">
        <v>2.3</v>
      </c>
      <c r="CI135" t="n">
        <v>4.1</v>
      </c>
    </row>
    <row r="136" ht="44.1" customHeight="1">
      <c r="A136" t="inlineStr">
        <is>
          <t>Texas Worker Adjustment Demonstration</t>
        </is>
      </c>
      <c r="B136" t="inlineStr">
        <is>
          <t>All men, Tier I/II (pooled TEC/HCC + SEE + SER/JOBS)</t>
        </is>
      </c>
      <c r="C136" s="13" t="inlineStr">
        <is>
          <t>TWAD-SER/JOBS)</t>
        </is>
      </c>
      <c r="D136" t="inlineStr">
        <is>
          <t>Tier I: 1-4 weeks supervised job search assistance (job clubs, counseling, placement). Tier II: classroom vocational training and/or OJT, varying by site (TEC/HCC: 83% classroom/17% OJT; SEE: 50%/50%; SER/JOBS: 13% classroom/87% OJT). Treatment = Tier I + Tier II combined. Table 1.2 (p.9), Table 1.4 (p.15).</t>
        </is>
      </c>
      <c r="E136" t="inlineStr">
        <is>
          <t>primary</t>
        </is>
      </c>
      <c r="F136" t="n">
        <v>1</v>
      </c>
      <c r="G136" t="n">
        <v>1</v>
      </c>
      <c r="H136" t="n">
        <v>1</v>
      </c>
      <c r="I136" t="n">
        <v>1</v>
      </c>
      <c r="J136" t="inlineStr">
        <is>
          <t>Tier I job search assistance (1-4 weeks supervised job search, job clubs)</t>
        </is>
      </c>
      <c r="K136" t="inlineStr">
        <is>
          <t>mandatory</t>
        </is>
      </c>
      <c r="L136" t="inlineStr">
        <is>
          <t>public</t>
        </is>
      </c>
      <c r="M136" t="inlineStr">
        <is>
          <t>mixed</t>
        </is>
      </c>
      <c r="N136" t="inlineStr">
        <is>
          <t>July 1984 – March 1985</t>
        </is>
      </c>
      <c r="O136" t="n">
        <v>1984.875</v>
      </c>
      <c r="P136" t="inlineStr">
        <is>
          <t>Displaced workers receiving UI benefits</t>
        </is>
      </c>
      <c r="Q136" t="n">
        <v>38</v>
      </c>
      <c r="R136" t="n">
        <v>100</v>
      </c>
      <c r="S136" t="n">
        <v>37</v>
      </c>
      <c r="T136" t="n">
        <v>13</v>
      </c>
      <c r="U136" t="n">
        <v>42</v>
      </c>
      <c r="V136" t="n">
        <v>29</v>
      </c>
      <c r="X136" t="inlineStr">
        <is>
          <t>UI claimants in Houston and El Paso identified through UI claims system; random assignment from eligible pool at intake</t>
        </is>
      </c>
      <c r="Z136" t="n">
        <v>649</v>
      </c>
      <c r="AA136" t="n">
        <v>451</v>
      </c>
      <c r="AD136" t="n">
        <v>0.8100000000000001</v>
      </c>
      <c r="AK136" t="inlineStr">
        <is>
          <t>UI wage records</t>
        </is>
      </c>
      <c r="AL136" t="n">
        <v>1</v>
      </c>
      <c r="AM136" t="n">
        <v>-3</v>
      </c>
      <c r="AP136" t="n">
        <v>71</v>
      </c>
      <c r="AQ136" t="n">
        <v>471</v>
      </c>
      <c r="AT136" t="n">
        <v>9420</v>
      </c>
      <c r="AU136" t="inlineStr">
        <is>
          <t>annual</t>
        </is>
      </c>
      <c r="BP136" t="inlineStr">
        <is>
          <t>Bloom, Howard S. 1990. Back to Work: Testing Reemployment Services for Displaced Workers. Kalamazoo, MI: W.E. Upjohn Institute. Earnings: Table 7.2, p.134, 'All men' row, 'Total' column. Employment: Table 7.3, p.134, 'All men' row, 'Pct employed 3rd &amp; 4th survey quarter'. Sample sizes: Table 4.1, p.66; Table 4.2, pp.68-69. Cost: Table 8.2, p.166, Assumption B, weighted across sites.</t>
        </is>
      </c>
      <c r="BQ136" t="inlineStr">
        <is>
          <t>Book reports one-tail significance tests; no SEs reported anywhere. Men's annual earnings impact ($471, 5%) and employment impact (+4 pp) are not significant even one-tailed → SE cannot be derived. Control mean for earnings back-calculated from percentage impact (5% of control). Cost in ~1984-85 dollars, Assumption B (Tier II = 2× Tier I cost). Weighted cost across 3 sites by Tier I/II N. TEC/HCC women excluded from analysis by author (treatment/control not comparable). Tier I Only vs. Tier I/II comparison (Table 7.5) showed no added benefit of Tier II for Houston men.</t>
        </is>
      </c>
      <c r="BR136" t="n">
        <v>2209</v>
      </c>
      <c r="BU136" t="inlineStr">
        <is>
          <t>TX</t>
        </is>
      </c>
      <c r="BV136" t="inlineStr">
        <is>
          <t>urban</t>
        </is>
      </c>
      <c r="BW136" t="n">
        <v>0</v>
      </c>
      <c r="BX136" t="n">
        <v>0</v>
      </c>
      <c r="BY136" t="n">
        <v>0</v>
      </c>
      <c r="BZ136" t="n">
        <v>0</v>
      </c>
      <c r="CA136" t="n">
        <v>0</v>
      </c>
      <c r="CB136" t="n">
        <v>0</v>
      </c>
      <c r="CC136" t="n">
        <v>0</v>
      </c>
      <c r="CD136" t="n">
        <v>0</v>
      </c>
      <c r="CE136" t="n">
        <v>72</v>
      </c>
      <c r="CF136" t="n">
        <v>0</v>
      </c>
      <c r="CI136" t="n">
        <v>3.5</v>
      </c>
    </row>
    <row r="137" ht="14.4" customHeight="1">
      <c r="A137" t="inlineStr">
        <is>
          <t>Texas Worker Adjustment Demonstration</t>
        </is>
      </c>
      <c r="B137" t="inlineStr">
        <is>
          <t>El Paso women, Tier I/II (pooled SEE + SER/JOBS)</t>
        </is>
      </c>
      <c r="C137" s="13" t="inlineStr">
        <is>
          <t>TWAD-SER/JOBS)</t>
        </is>
      </c>
      <c r="D137" t="inlineStr">
        <is>
          <t>Tier I: 1-4 weeks supervised job search assistance (job clubs, counseling, placement). Tier II: classroom vocational training and/or OJT, varying by site (TEC/HCC: 83% classroom/17% OJT; SEE: 50%/50%; SER/JOBS: 13% classroom/87% OJT). Treatment = Tier I + Tier II combined. Table 1.2 (p.9), Table 1.4 (p.15).</t>
        </is>
      </c>
      <c r="E137" t="inlineStr">
        <is>
          <t>primary</t>
        </is>
      </c>
      <c r="F137" t="n">
        <v>1</v>
      </c>
      <c r="G137" t="n">
        <v>1</v>
      </c>
      <c r="H137" t="n">
        <v>1</v>
      </c>
      <c r="I137" t="n">
        <v>1</v>
      </c>
      <c r="J137" t="inlineStr">
        <is>
          <t>Tier I job search assistance (1-4 weeks supervised job search, job clubs)</t>
        </is>
      </c>
      <c r="K137" t="inlineStr">
        <is>
          <t>mandatory</t>
        </is>
      </c>
      <c r="L137" t="inlineStr">
        <is>
          <t>public</t>
        </is>
      </c>
      <c r="M137" t="inlineStr">
        <is>
          <t>mixed</t>
        </is>
      </c>
      <c r="N137" t="inlineStr">
        <is>
          <t>July 1984 – March 1985</t>
        </is>
      </c>
      <c r="O137" t="n">
        <v>1984.875</v>
      </c>
      <c r="P137" t="inlineStr">
        <is>
          <t>Displaced workers receiving UI benefits</t>
        </is>
      </c>
      <c r="Q137" t="n">
        <v>37</v>
      </c>
      <c r="R137" t="n">
        <v>0</v>
      </c>
      <c r="S137" t="n">
        <v>4</v>
      </c>
      <c r="T137" t="n">
        <v>1</v>
      </c>
      <c r="U137" t="n">
        <v>94</v>
      </c>
      <c r="V137" t="n">
        <v>68</v>
      </c>
      <c r="X137" t="inlineStr">
        <is>
          <t>UI claimants in El Paso identified through UI claims system; random assignment from eligible pool at intake</t>
        </is>
      </c>
      <c r="Z137" t="n">
        <v>349</v>
      </c>
      <c r="AA137" t="n">
        <v>283</v>
      </c>
      <c r="AD137" t="n">
        <v>0.8100000000000001</v>
      </c>
      <c r="AK137" t="inlineStr">
        <is>
          <t>UI wage records</t>
        </is>
      </c>
      <c r="AL137" t="n">
        <v>1</v>
      </c>
      <c r="AM137" t="n">
        <v>10</v>
      </c>
      <c r="AN137" t="n">
        <v>4.3</v>
      </c>
      <c r="AO137" t="inlineStr">
        <is>
          <t>**</t>
        </is>
      </c>
      <c r="AP137" t="n">
        <v>69</v>
      </c>
      <c r="AQ137" t="n">
        <v>987</v>
      </c>
      <c r="AR137" t="n">
        <v>424.2</v>
      </c>
      <c r="AS137" t="inlineStr">
        <is>
          <t>**</t>
        </is>
      </c>
      <c r="AT137" t="n">
        <v>3525</v>
      </c>
      <c r="AU137" t="inlineStr">
        <is>
          <t>annual</t>
        </is>
      </c>
      <c r="BP137" t="inlineStr">
        <is>
          <t>Bloom, Howard S. 1990. Back to Work: Testing Reemployment Services for Displaced Workers. Kalamazoo, MI: W.E. Upjohn Institute. Earnings: Table 7.2, p.134, 'El Paso women' row, 'Total' column. Employment: Table 7.3, p.134, 'El Paso women' row, 'Pct employed 3rd &amp; 4th survey quarter'. Sample sizes: Table 4.1, p.66; Table 4.2, pp.68-69. Cost: Table 8.2, p.166, Assumption B, weighted across El Paso sites.</t>
        </is>
      </c>
      <c r="BQ137" t="inlineStr">
        <is>
          <t>Book reports one-tail significance tests; no SEs reported. Book ** (one-tail p&lt;0.01) → two-tail p≈0.02 → our '**'. SE derived: |impact|/norm_ppf(0.99). Control mean for earnings back-calculated from percentage impact (28% of control). Cost in ~1984-85 dollars, Assumption B (Tier II = 2× Tier I cost). Weighted cost across 2 El Paso sites. Text (pp.166-167) notes El Paso programs were clearly cost-effective for women.</t>
        </is>
      </c>
      <c r="BR137" t="n">
        <v>906</v>
      </c>
      <c r="BU137" t="inlineStr">
        <is>
          <t>TX</t>
        </is>
      </c>
      <c r="BV137" t="inlineStr">
        <is>
          <t>urban</t>
        </is>
      </c>
      <c r="BW137" t="n">
        <v>0</v>
      </c>
      <c r="BX137" t="n">
        <v>0</v>
      </c>
      <c r="BY137" t="n">
        <v>0</v>
      </c>
      <c r="BZ137" t="n">
        <v>0</v>
      </c>
      <c r="CA137" t="n">
        <v>0</v>
      </c>
      <c r="CB137" t="n">
        <v>0</v>
      </c>
      <c r="CC137" t="n">
        <v>0</v>
      </c>
      <c r="CD137" t="n">
        <v>0</v>
      </c>
      <c r="CE137" t="n">
        <v>82</v>
      </c>
      <c r="CF137" t="n">
        <v>0</v>
      </c>
      <c r="CI137" t="n">
        <v>3.5</v>
      </c>
    </row>
    <row r="138" ht="14.4" customHeight="1">
      <c r="A138" t="inlineStr">
        <is>
          <t>Alternative Youth Employment Strategies (AYES)</t>
        </is>
      </c>
      <c r="B138" t="inlineStr">
        <is>
          <t>Albuquerque (OCETA)</t>
        </is>
      </c>
      <c r="C138" s="13" t="inlineStr">
        <is>
          <t>AYESAYES-Albuquerque (OCETA)</t>
        </is>
      </c>
      <c r="D138" t="inlineStr">
        <is>
          <t>Three program models pooled: (1) full-time work experience with counseling and placement; (2) basic education or vocational/prevocational training (GED, ESL, vocational courses) with counseling; (3) mixed model combining part-time work and part-time training with counseling. All models included Adkins Life Skills Training, VITAS vocational counseling, and job placement assistance. 26 weeks of program participation. (Ch. II, pp. 7-10)</t>
        </is>
      </c>
      <c r="E138" t="inlineStr">
        <is>
          <t>secondary</t>
        </is>
      </c>
      <c r="F138" t="n">
        <v>1</v>
      </c>
      <c r="G138" t="n">
        <v>1</v>
      </c>
      <c r="H138" t="n">
        <v>1</v>
      </c>
      <c r="I138" t="n">
        <v>1</v>
      </c>
      <c r="J138" t="inlineStr">
        <is>
          <t>Subsidized work experience (Model I); Adkins Life Skills Training; VITAS vocational counseling; support services</t>
        </is>
      </c>
      <c r="K138" t="inlineStr">
        <is>
          <t>voluntary</t>
        </is>
      </c>
      <c r="L138" t="inlineStr">
        <is>
          <t>public</t>
        </is>
      </c>
      <c r="M138" t="inlineStr">
        <is>
          <t>mixed</t>
        </is>
      </c>
      <c r="N138" t="inlineStr">
        <is>
          <t>August 1980 – mid-1981 (approx.)</t>
        </is>
      </c>
      <c r="O138" t="n">
        <v>1980.66666</v>
      </c>
      <c r="P138" t="inlineStr">
        <is>
          <t>High-risk youth aged 16-21, out of school, unemployed, YETP-eligible, with prior or likely criminal justice involvement</t>
        </is>
      </c>
      <c r="Q138" t="n">
        <v>18.8</v>
      </c>
      <c r="R138" t="n">
        <v>59.3</v>
      </c>
      <c r="S138" t="n">
        <v>12.9</v>
      </c>
      <c r="T138" t="n">
        <v>5.3</v>
      </c>
      <c r="U138" t="n">
        <v>79.2</v>
      </c>
      <c r="V138" t="n">
        <v>56.9</v>
      </c>
      <c r="X138" t="inlineStr">
        <is>
          <t>Referred by criminal justice or community agencies; at least 50% CJ referrals required; YETP-eligible (family income at/below 85% BLS lower living standard)</t>
        </is>
      </c>
      <c r="Y138" t="n">
        <v>0.5</v>
      </c>
      <c r="Z138" t="n">
        <v>295</v>
      </c>
      <c r="AA138" t="n">
        <v>321</v>
      </c>
      <c r="AB138" t="n">
        <v>0.601</v>
      </c>
      <c r="AC138" t="n">
        <v>0.753</v>
      </c>
      <c r="AD138" t="n">
        <v>0.675</v>
      </c>
      <c r="AK138" t="inlineStr">
        <is>
          <t>self-report (survey)</t>
        </is>
      </c>
      <c r="AL138" t="n">
        <v>0.67</v>
      </c>
      <c r="AM138" t="n">
        <v>9.1</v>
      </c>
      <c r="AN138" t="n">
        <v>4.9</v>
      </c>
      <c r="AO138" t="inlineStr">
        <is>
          <t>*</t>
        </is>
      </c>
      <c r="AP138" t="n">
        <v>55.3</v>
      </c>
      <c r="AQ138" t="n">
        <v>15.57</v>
      </c>
      <c r="AT138" t="n">
        <v>52.82</v>
      </c>
      <c r="AU138" t="inlineStr">
        <is>
          <t>weekly</t>
        </is>
      </c>
      <c r="BP138" t="inlineStr">
        <is>
          <t>Sadd, Kotkin, and Friedman 1983, 'Alternative Youth Employment Strategies Project: Final Report,' Vera Institute of Justice. DLETA 28-36-79-05.</t>
        </is>
      </c>
      <c r="BQ138" t="inlineStr">
        <is>
          <t>RCT randomized to experimental vs. control; assignment to program models (I: work experience, II: education/training, III: mixed) was NOT randomized (guided choice for first 225, then random). Employment = ever worked during 8-month post-exit follow-up (binary). Earnings = mean weekly earnings including $0 for non-workers. Site-specific earnings SEs not reported; pooled treatment F(1,1372)=15.42, p=.0001. 8-month follow-up interview completion: 69% experimentals, 58% controls overall. 1980-1982 dollars.</t>
        </is>
      </c>
      <c r="BU138" t="inlineStr">
        <is>
          <t>NM</t>
        </is>
      </c>
      <c r="BV138" t="inlineStr">
        <is>
          <t>major city</t>
        </is>
      </c>
      <c r="BW138" t="n">
        <v>0</v>
      </c>
      <c r="BX138" t="n">
        <v>0</v>
      </c>
      <c r="BY138" t="n">
        <v>0</v>
      </c>
      <c r="BZ138" t="n">
        <v>0</v>
      </c>
      <c r="CA138" t="n">
        <v>0</v>
      </c>
      <c r="CB138" t="n">
        <v>0</v>
      </c>
      <c r="CC138" t="n">
        <v>0</v>
      </c>
      <c r="CD138" t="n">
        <v>0</v>
      </c>
      <c r="CF138" t="n">
        <v>0</v>
      </c>
      <c r="CI138" t="n">
        <v>6</v>
      </c>
    </row>
    <row r="139" ht="14.4" customHeight="1">
      <c r="A139" t="inlineStr">
        <is>
          <t>Alternative Youth Employment Strategies (AYES)</t>
        </is>
      </c>
      <c r="B139" t="inlineStr">
        <is>
          <t>Miami (SFETC)</t>
        </is>
      </c>
      <c r="C139" s="13" t="inlineStr">
        <is>
          <t>AYESAYES-Miami (SFETC)</t>
        </is>
      </c>
      <c r="D139" t="inlineStr">
        <is>
          <t>Three program models pooled: (1) full-time work experience with counseling and placement; (2) basic education or vocational/prevocational training (GED, ESL, vocational courses) with counseling; (3) mixed model combining part-time work and part-time training with counseling. All models included Adkins Life Skills Training, VITAS vocational counseling, and job placement assistance. 26 weeks of program participation. (Ch. II, pp. 7-10)</t>
        </is>
      </c>
      <c r="E139" t="inlineStr">
        <is>
          <t>secondary</t>
        </is>
      </c>
      <c r="F139" t="n">
        <v>1</v>
      </c>
      <c r="G139" t="n">
        <v>1</v>
      </c>
      <c r="H139" t="n">
        <v>1</v>
      </c>
      <c r="I139" t="n">
        <v>1</v>
      </c>
      <c r="J139" t="inlineStr">
        <is>
          <t>Subsidized work experience (Model I); Adkins Life Skills Training; VITAS vocational counseling; support services</t>
        </is>
      </c>
      <c r="K139" t="inlineStr">
        <is>
          <t>voluntary</t>
        </is>
      </c>
      <c r="L139" t="inlineStr">
        <is>
          <t>public</t>
        </is>
      </c>
      <c r="M139" t="inlineStr">
        <is>
          <t>mixed</t>
        </is>
      </c>
      <c r="N139" t="inlineStr">
        <is>
          <t>August 1980 – mid-1981 (approx.)</t>
        </is>
      </c>
      <c r="O139" t="n">
        <v>1980.66666</v>
      </c>
      <c r="P139" t="inlineStr">
        <is>
          <t>High-risk youth aged 16-21, out of school, unemployed, YETP-eligible, with prior or likely criminal justice involvement</t>
        </is>
      </c>
      <c r="Q139" t="n">
        <v>18.7</v>
      </c>
      <c r="R139" t="n">
        <v>65</v>
      </c>
      <c r="S139" t="n">
        <v>2.1</v>
      </c>
      <c r="T139" t="n">
        <v>75.2</v>
      </c>
      <c r="U139" t="n">
        <v>22.7</v>
      </c>
      <c r="V139" t="n">
        <v>84.3</v>
      </c>
      <c r="X139" t="inlineStr">
        <is>
          <t>Referred by criminal justice or community agencies; at least 50% CJ referrals required; YETP-eligible (family income at/below 85% BLS lower living standard)</t>
        </is>
      </c>
      <c r="Y139" t="n">
        <v>0.5</v>
      </c>
      <c r="Z139" t="n">
        <v>372</v>
      </c>
      <c r="AA139" t="n">
        <v>392</v>
      </c>
      <c r="AB139" t="n">
        <v>0.636</v>
      </c>
      <c r="AC139" t="n">
        <v>0.763</v>
      </c>
      <c r="AD139" t="n">
        <v>0.703</v>
      </c>
      <c r="AK139" t="inlineStr">
        <is>
          <t>self-report (survey)</t>
        </is>
      </c>
      <c r="AL139" t="n">
        <v>0.67</v>
      </c>
      <c r="AM139" t="n">
        <v>5.6</v>
      </c>
      <c r="AN139" t="n">
        <v>4.3</v>
      </c>
      <c r="AP139" t="n">
        <v>41.6</v>
      </c>
      <c r="AQ139" t="n">
        <v>6.25</v>
      </c>
      <c r="AT139" t="n">
        <v>56.12</v>
      </c>
      <c r="AU139" t="inlineStr">
        <is>
          <t>weekly</t>
        </is>
      </c>
      <c r="BP139" t="inlineStr">
        <is>
          <t>Sadd, Kotkin, and Friedman 1983, 'Alternative Youth Employment Strategies Project: Final Report,' Vera Institute of Justice. DLETA 28-36-79-05.</t>
        </is>
      </c>
      <c r="BQ139" t="inlineStr">
        <is>
          <t>RCT randomized to experimental vs. control; assignment to program models (I: work experience, II: education/training, III: mixed) was NOT randomized (guided choice for first 225, then random). Employment = ever worked during 8-month post-exit follow-up (binary). Earnings = mean weekly earnings including $0 for non-workers. Site-specific earnings SEs not reported; pooled treatment F(1,1372)=15.42, p=.0001. 8-month follow-up interview completion: 69% experimentals, 58% controls overall. 1980-1982 dollars.</t>
        </is>
      </c>
      <c r="BU139" t="inlineStr">
        <is>
          <t>FL</t>
        </is>
      </c>
      <c r="BV139" t="inlineStr">
        <is>
          <t>major city</t>
        </is>
      </c>
      <c r="BW139" t="n">
        <v>0</v>
      </c>
      <c r="BX139" t="n">
        <v>0</v>
      </c>
      <c r="BY139" t="n">
        <v>0</v>
      </c>
      <c r="BZ139" t="n">
        <v>0</v>
      </c>
      <c r="CA139" t="n">
        <v>0</v>
      </c>
      <c r="CB139" t="n">
        <v>0</v>
      </c>
      <c r="CC139" t="n">
        <v>0</v>
      </c>
      <c r="CD139" t="n">
        <v>0</v>
      </c>
      <c r="CF139" t="n">
        <v>0</v>
      </c>
      <c r="CI139" t="n">
        <v>6</v>
      </c>
    </row>
    <row r="140" ht="14.4" customHeight="1">
      <c r="A140" t="inlineStr">
        <is>
          <t>Alternative Youth Employment Strategies (AYES)</t>
        </is>
      </c>
      <c r="B140" t="inlineStr">
        <is>
          <t>New York City (CEP)</t>
        </is>
      </c>
      <c r="C140" s="13" t="inlineStr">
        <is>
          <t>AYESAYES-City (CEP)</t>
        </is>
      </c>
      <c r="D140" t="inlineStr">
        <is>
          <t>Three program models pooled: (1) full-time work experience with counseling and placement; (2) basic education or vocational/prevocational training (GED, ESL, vocational courses) with counseling; (3) mixed model combining part-time work and part-time training with counseling. All models included Adkins Life Skills Training, VITAS vocational counseling, and job placement assistance. 26 weeks of program participation. (Ch. II, pp. 7-10)</t>
        </is>
      </c>
      <c r="E140" t="inlineStr">
        <is>
          <t>secondary</t>
        </is>
      </c>
      <c r="F140" t="n">
        <v>1</v>
      </c>
      <c r="G140" t="n">
        <v>1</v>
      </c>
      <c r="H140" t="n">
        <v>1</v>
      </c>
      <c r="I140" t="n">
        <v>1</v>
      </c>
      <c r="J140" t="inlineStr">
        <is>
          <t>Subsidized work experience (Model I); Adkins Life Skills Training; VITAS vocational counseling; support services</t>
        </is>
      </c>
      <c r="K140" t="inlineStr">
        <is>
          <t>voluntary</t>
        </is>
      </c>
      <c r="L140" t="inlineStr">
        <is>
          <t>public</t>
        </is>
      </c>
      <c r="M140" t="inlineStr">
        <is>
          <t>mixed</t>
        </is>
      </c>
      <c r="N140" t="inlineStr">
        <is>
          <t>August 1980 – mid-1981 (approx.)</t>
        </is>
      </c>
      <c r="O140" t="n">
        <v>1980.66666</v>
      </c>
      <c r="P140" t="inlineStr">
        <is>
          <t>High-risk youth aged 16-21, out of school, unemployed, YETP-eligible, with prior or likely criminal justice involvement</t>
        </is>
      </c>
      <c r="Q140" t="n">
        <v>19</v>
      </c>
      <c r="R140" t="n">
        <v>73.5</v>
      </c>
      <c r="S140" t="n">
        <v>2.1</v>
      </c>
      <c r="T140" t="n">
        <v>75.7</v>
      </c>
      <c r="U140" t="n">
        <v>22.2</v>
      </c>
      <c r="V140" t="n">
        <v>88.90000000000001</v>
      </c>
      <c r="X140" t="inlineStr">
        <is>
          <t>Referred by criminal justice or community agencies; at least 50% CJ referrals required; YETP-eligible (family income at/below 85% BLS lower living standard)</t>
        </is>
      </c>
      <c r="Y140" t="n">
        <v>0.5</v>
      </c>
      <c r="Z140" t="n">
        <v>407</v>
      </c>
      <c r="AA140" t="n">
        <v>415</v>
      </c>
      <c r="AB140" t="n">
        <v>0.506</v>
      </c>
      <c r="AC140" t="n">
        <v>0.579</v>
      </c>
      <c r="AD140" t="n">
        <v>0.549</v>
      </c>
      <c r="AK140" t="inlineStr">
        <is>
          <t>self-report (survey)</t>
        </is>
      </c>
      <c r="AL140" t="n">
        <v>0.67</v>
      </c>
      <c r="AM140" t="n">
        <v>16.8</v>
      </c>
      <c r="AN140" t="n">
        <v>4.5</v>
      </c>
      <c r="AO140" t="inlineStr">
        <is>
          <t>***</t>
        </is>
      </c>
      <c r="AP140" t="n">
        <v>27.1</v>
      </c>
      <c r="AQ140" t="n">
        <v>26.34</v>
      </c>
      <c r="AT140" t="n">
        <v>32.78</v>
      </c>
      <c r="AU140" t="inlineStr">
        <is>
          <t>weekly</t>
        </is>
      </c>
      <c r="BP140" t="inlineStr">
        <is>
          <t>Sadd, Kotkin, and Friedman 1983, 'Alternative Youth Employment Strategies Project: Final Report,' Vera Institute of Justice. DLETA 28-36-79-05.</t>
        </is>
      </c>
      <c r="BQ140" t="inlineStr">
        <is>
          <t>RCT randomized to experimental vs. control; assignment to program models (I: work experience, II: education/training, III: mixed) was NOT randomized (guided choice for first 225, then random). Employment = ever worked during 8-month post-exit follow-up (binary). Earnings = mean weekly earnings including $0 for non-workers. Site-specific earnings SEs not reported; pooled treatment F(1,1372)=15.42, p=.0001. 8-month follow-up interview completion: 69% experimentals, 58% controls overall. 1980-1982 dollars.</t>
        </is>
      </c>
      <c r="BU140" t="inlineStr">
        <is>
          <t>NY</t>
        </is>
      </c>
      <c r="BV140" t="inlineStr">
        <is>
          <t>major city</t>
        </is>
      </c>
      <c r="BW140" t="n">
        <v>0</v>
      </c>
      <c r="BX140" t="n">
        <v>0</v>
      </c>
      <c r="BY140" t="n">
        <v>0</v>
      </c>
      <c r="BZ140" t="n">
        <v>0</v>
      </c>
      <c r="CA140" t="n">
        <v>0</v>
      </c>
      <c r="CB140" t="n">
        <v>0</v>
      </c>
      <c r="CC140" t="n">
        <v>0</v>
      </c>
      <c r="CD140" t="n">
        <v>0</v>
      </c>
      <c r="CF140" t="n">
        <v>0</v>
      </c>
      <c r="CI140" t="n">
        <v>6</v>
      </c>
    </row>
    <row r="141" ht="14.4" customHeight="1">
      <c r="A141" t="inlineStr">
        <is>
          <t>Maryland Employment Initiatives (Baltimore Options)</t>
        </is>
      </c>
      <c r="B141" t="inlineStr">
        <is>
          <t>Baltimore, AFDC</t>
        </is>
      </c>
      <c r="C141" s="13" t="inlineStr">
        <is>
          <t>MEIBO-Baltimore, AFDC</t>
        </is>
      </c>
      <c r="D141" t="inlineStr">
        <is>
          <t>Mandatory welfare-to-work program offering individualized mix of group/individual job search, full-time unpaid work experience (up to 13 weeks), GED preparation, basic literacy, vocational skills training, and limited on-the-job training. Emphasis on long-term employability development over immediate placement. Ongoing participation requirement. (Ch. 1, pp. ix-x)</t>
        </is>
      </c>
      <c r="E141" t="inlineStr">
        <is>
          <t>secondary</t>
        </is>
      </c>
      <c r="F141" t="n">
        <v>1</v>
      </c>
      <c r="G141" t="n">
        <v>1</v>
      </c>
      <c r="H141" t="n">
        <v>1</v>
      </c>
      <c r="I141" t="n">
        <v>1</v>
      </c>
      <c r="J141" t="inlineStr">
        <is>
          <t>unpaid work experience (workfare), GED preparation, basic literacy</t>
        </is>
      </c>
      <c r="K141" t="inlineStr">
        <is>
          <t>mandatory</t>
        </is>
      </c>
      <c r="L141" t="inlineStr">
        <is>
          <t>public</t>
        </is>
      </c>
      <c r="M141" t="inlineStr">
        <is>
          <t>public</t>
        </is>
      </c>
      <c r="N141" t="inlineStr">
        <is>
          <t>November 1982 - December 1983</t>
        </is>
      </c>
      <c r="O141" t="n">
        <v>1983</v>
      </c>
      <c r="P141" t="inlineStr">
        <is>
          <t>AFDC applicants and recipients (primarily women), WIN-mandatory</t>
        </is>
      </c>
      <c r="Q141" t="n">
        <v>31.9</v>
      </c>
      <c r="R141" t="n">
        <v>10.1</v>
      </c>
      <c r="S141" t="n">
        <v>29.5</v>
      </c>
      <c r="T141" t="n">
        <v>69.2</v>
      </c>
      <c r="U141" t="n">
        <v>0.3</v>
      </c>
      <c r="V141" t="n">
        <v>56.4</v>
      </c>
      <c r="W141" t="n">
        <v>10.5</v>
      </c>
      <c r="X141" t="inlineStr">
        <is>
          <t>All new WIN-mandatory AFDC applicants and recipients in Options-eligible portion of Baltimore; ~half of city covered</t>
        </is>
      </c>
      <c r="Z141" t="n">
        <v>1331</v>
      </c>
      <c r="AA141" t="n">
        <v>1372</v>
      </c>
      <c r="AK141" t="inlineStr">
        <is>
          <t>MD UI wage records + AFDC payment records</t>
        </is>
      </c>
      <c r="AL141" t="n">
        <v>1.25</v>
      </c>
      <c r="AM141" t="n">
        <v>5</v>
      </c>
      <c r="AN141" t="n">
        <v>1.9</v>
      </c>
      <c r="AO141" t="inlineStr">
        <is>
          <t>***</t>
        </is>
      </c>
      <c r="AP141" t="n">
        <v>31.6</v>
      </c>
      <c r="AQ141" t="n">
        <v>65</v>
      </c>
      <c r="AT141" t="n">
        <v>513</v>
      </c>
      <c r="AU141" t="inlineStr">
        <is>
          <t>quarterly</t>
        </is>
      </c>
      <c r="AV141" t="n">
        <v>2</v>
      </c>
      <c r="AW141" t="n">
        <v>2.4</v>
      </c>
      <c r="AZ141" t="n">
        <v>34.9</v>
      </c>
      <c r="BP141" t="inlineStr">
        <is>
          <t>Friedlander et al. 1985, Maryland: Final Report on the Employment Initiatives Evaluation, MDRC. Impacts: Table 5.1 (p. 108) for ST (full sample, Q2-5); Table 5.3 (p. 117) for MT (early sample, Q2-8). Demographics: Table 2.2 (pp. 34-36). Sample sizes: Table 5.1 (p. 108). Participation: Table 4.1 (p. 62). Cost: Table 6.6 (p. 169).</t>
        </is>
      </c>
      <c r="BQ141" t="inlineStr">
        <is>
          <t>Control group received regular WIN services (minimal: 3.4% active participation rate). Impact is Options vs. WIN, not vs. no services. ST earnings impact ($65/quarter, not significant) is modest; program emphasis was long-term employability. MT estimates from early subsample (Nov 1982-Mar 1983 enrollees) with smaller N (~530/group). MT earnings omitted due to OCR unreliability of quarter-level values in Table 5.3. Cost is $957 gross per AFDC experimental in FY1984 dollars (Table 6.6). AFDC-U sample (N=337) too small for reliable impact estimation; excluded per authors' guidance. Wicomico County BET program had no random assignment and is excluded.</t>
        </is>
      </c>
      <c r="BR141" t="n">
        <v>957</v>
      </c>
      <c r="BU141" t="inlineStr">
        <is>
          <t>MD</t>
        </is>
      </c>
      <c r="BV141" t="inlineStr">
        <is>
          <t>urban</t>
        </is>
      </c>
      <c r="BW141" t="n">
        <v>0</v>
      </c>
      <c r="BX141" t="n">
        <v>0</v>
      </c>
      <c r="BY141" t="n">
        <v>0</v>
      </c>
      <c r="BZ141" t="n">
        <v>0</v>
      </c>
      <c r="CA141" t="n">
        <v>0</v>
      </c>
      <c r="CB141" t="n">
        <v>0</v>
      </c>
      <c r="CC141" t="n">
        <v>0</v>
      </c>
      <c r="CD141" t="n">
        <v>0</v>
      </c>
      <c r="CE141" t="n">
        <v>41.1</v>
      </c>
      <c r="CF141" t="n">
        <v>3.4</v>
      </c>
      <c r="CG141" t="n">
        <v>17.8</v>
      </c>
      <c r="CH141" t="n">
        <v>1</v>
      </c>
      <c r="CI141" t="n">
        <v>4</v>
      </c>
    </row>
    <row r="142" ht="14.4" customHeight="1">
      <c r="A142" t="inlineStr">
        <is>
          <t>Pennsylvania Saturation Work Program</t>
        </is>
      </c>
      <c r="B142" t="inlineStr">
        <is>
          <t>Philadelphia, all cohorts averaged</t>
        </is>
      </c>
      <c r="C142" s="13" t="inlineStr">
        <is>
          <t>PSWP-Cohorts averaged</t>
        </is>
      </c>
      <c r="D142" t="inlineStr">
        <is>
          <t>Mandatory welfare-to-work program requiring AFDC recipients to participate in structured job search (including group job club and individual job search), Community Work Experience Program (CWEP, unpaid work in public/nonprofit agencies), and/or education and training activities. Participants assessed and assigned to one of three 'streams' (job search, CWEP, or education/training) based on employability. Sanctions (grant reduction) for non-compliance. (Ch. I, pp. 1-5; Ch. II, pp. 16-23)</t>
        </is>
      </c>
      <c r="E142" t="inlineStr">
        <is>
          <t>secondary</t>
        </is>
      </c>
      <c r="F142" t="n">
        <v>1</v>
      </c>
      <c r="G142" t="n">
        <v>0</v>
      </c>
      <c r="H142" t="n">
        <v>1</v>
      </c>
      <c r="I142" t="n">
        <v>1</v>
      </c>
      <c r="J142" t="inlineStr">
        <is>
          <t>Community Work Experience Program (CWEP): unpaid work experience in public/nonprofit agencies</t>
        </is>
      </c>
      <c r="K142" t="inlineStr">
        <is>
          <t>mandatory</t>
        </is>
      </c>
      <c r="L142" t="inlineStr">
        <is>
          <t>public</t>
        </is>
      </c>
      <c r="M142" t="inlineStr">
        <is>
          <t>public</t>
        </is>
      </c>
      <c r="N142" t="inlineStr">
        <is>
          <t>January 1986 - December 1986</t>
        </is>
      </c>
      <c r="O142" t="n">
        <v>1986</v>
      </c>
      <c r="P142" t="inlineStr">
        <is>
          <t>AFDC recipients in Philadelphia, mandatory participation (WIN-mandatory)</t>
        </is>
      </c>
      <c r="Q142" t="n">
        <v>30.8</v>
      </c>
      <c r="R142" t="n">
        <v>18.6</v>
      </c>
      <c r="S142" t="n">
        <v>14.5</v>
      </c>
      <c r="T142" t="n">
        <v>75.59999999999999</v>
      </c>
      <c r="U142" t="n">
        <v>7</v>
      </c>
      <c r="V142" t="n">
        <v>56.9</v>
      </c>
      <c r="W142" t="n">
        <v>10.5</v>
      </c>
      <c r="X142" t="inlineStr">
        <is>
          <t>All WIN-mandatory AFDC recipients in Philadelphia randomly assigned. 4 cohorts enrolled Jan-Dec 1986. No screening beyond WIN-mandatory eligibility.</t>
        </is>
      </c>
      <c r="Z142" t="n">
        <v>4462</v>
      </c>
      <c r="AA142" t="n">
        <v>3751</v>
      </c>
      <c r="AK142" t="inlineStr">
        <is>
          <t>PA UI wage records</t>
        </is>
      </c>
      <c r="AL142" t="n">
        <v>1</v>
      </c>
      <c r="AM142" t="n">
        <v>1.35</v>
      </c>
      <c r="AP142" t="n">
        <v>22.88</v>
      </c>
      <c r="AQ142" t="n">
        <v>42.25</v>
      </c>
      <c r="AR142" t="n">
        <v>21.5</v>
      </c>
      <c r="AS142" t="inlineStr">
        <is>
          <t>**</t>
        </is>
      </c>
      <c r="AT142" t="n">
        <v>356.73</v>
      </c>
      <c r="AU142" t="inlineStr">
        <is>
          <t>quarterly</t>
        </is>
      </c>
      <c r="AV142" t="n">
        <v>1.75</v>
      </c>
      <c r="AW142" t="n">
        <v>2.49</v>
      </c>
      <c r="AZ142" t="n">
        <v>25.96</v>
      </c>
      <c r="BA142" t="n">
        <v>42.56</v>
      </c>
      <c r="BB142" t="n">
        <v>37.9</v>
      </c>
      <c r="BD142" t="n">
        <v>530.63</v>
      </c>
      <c r="BE142" t="inlineStr">
        <is>
          <t>quarterly</t>
        </is>
      </c>
      <c r="BP142" t="inlineStr">
        <is>
          <t>Hogarth, Martin, and Nazar 1988, Impact Evaluation for the Pennsylvania Saturation Work Program: An Interim Report on Employment Results. Impacts: Cohort-specific Tables V-A through V-D (pp. 44-51) for employment and earnings by quarter. Pooled impacts: Table IV (pp. 38-39) for all-cohort pooled results with p-values. Demographics: Table III (p. 34). Sample sizes: Table II (p. 30). Program description: Ch. I (pp. 1-5) and Ch. II (pp. 16-23).</t>
        </is>
      </c>
      <c r="BQ142" t="inlineStr">
        <is>
          <t>Impacts are N-weighted averages across 4 cohorts (A-D, enrolled Jan-Dec 1986) as an unbalanced panel. ST (QTR+4) uses all 4 cohorts; MT (QTR+7) uses Cohort A only. This avoids the pooled Table IV approach which restricts all cohorts to the shortest common follow-up window. Earnings SEs imputed: backed out common sigma=$950 from pooled Table IV QTR+4 (diff=$42.25, p=0.0448), then computed per-cohort SEs and combined under independence. Cross-check: imputed Cohort C SE gives t=3.19, consistent with reported p=0.0015. Employment SEs not estimated (per user instruction). Interim report only (12-month follow-up for Cohort A, less for B-D). Final report with 24-month data was expected April 1989. Cost data not reported in interim report. First-stage participation data (T vs C service receipt) deferred to final report. Control group received no SWP services but could access other services on their own. Earnings in nominal dollars (1986-88 period).</t>
        </is>
      </c>
      <c r="BU142" t="inlineStr">
        <is>
          <t>PA</t>
        </is>
      </c>
      <c r="BV142" t="inlineStr">
        <is>
          <t>urban</t>
        </is>
      </c>
      <c r="BW142" t="n">
        <v>0</v>
      </c>
      <c r="BX142" t="n">
        <v>0</v>
      </c>
      <c r="BY142" t="n">
        <v>0</v>
      </c>
      <c r="BZ142" t="n">
        <v>0</v>
      </c>
      <c r="CA142" t="n">
        <v>0</v>
      </c>
      <c r="CB142" t="n">
        <v>0</v>
      </c>
      <c r="CC142" t="n">
        <v>0</v>
      </c>
      <c r="CD142" t="n">
        <v>0</v>
      </c>
    </row>
    <row r="143" ht="14.4" customHeight="1">
      <c r="A143" t="inlineStr">
        <is>
          <t>Ohio Transitions to Independence Demonstration (JOBS)</t>
        </is>
      </c>
      <c r="B143" t="inlineStr">
        <is>
          <t>15 counties (1989, 1990, 1991 cohorts pooled)</t>
        </is>
      </c>
      <c r="C143" s="13" t="inlineStr">
        <is>
          <t>OTIDJOBS-Counties pooled</t>
        </is>
      </c>
      <c r="D143" t="inlineStr">
        <is>
          <t>Mandatory JOBS program for JOBS-mandatory ADC clients. Assessment-driven 'choice model' giving caseworkers discretion over activity assignments. Activities included basic education (12% of all treatment members assigned), post-secondary education (7.7%), job skills training (1.6%), job readiness (4.7%), job club (9.0%), and CWEP/Community Work Experience (19.1%). Only 40.5% of treatment group ever received any assignment over 3 years. Sanctions for non-compliance (4% sanctioned). (Ch. 1, pp. 5-8; Exhibit 2.3, p. 33)</t>
        </is>
      </c>
      <c r="E143" t="inlineStr">
        <is>
          <t>secondary</t>
        </is>
      </c>
      <c r="F143" t="n">
        <v>1</v>
      </c>
      <c r="G143" t="n">
        <v>0</v>
      </c>
      <c r="H143" t="n">
        <v>1</v>
      </c>
      <c r="I143" t="n">
        <v>1</v>
      </c>
      <c r="J143" t="inlineStr">
        <is>
          <t>CWEP (Community Work Experience Program): unpaid work in public agencies, 47% of ever-assigned clients</t>
        </is>
      </c>
      <c r="K143" t="inlineStr">
        <is>
          <t>mandatory</t>
        </is>
      </c>
      <c r="L143" t="inlineStr">
        <is>
          <t>public</t>
        </is>
      </c>
      <c r="M143" t="inlineStr">
        <is>
          <t>public</t>
        </is>
      </c>
      <c r="N143" t="inlineStr">
        <is>
          <t>January 1989 – December 1991</t>
        </is>
      </c>
      <c r="O143" t="n">
        <v>1990.5</v>
      </c>
      <c r="P143" t="inlineStr">
        <is>
          <t>JOBS-mandatory ADC clients (able-bodied, no child care exemption), 15 Ohio counties</t>
        </is>
      </c>
      <c r="R143" t="n">
        <v>29.1</v>
      </c>
      <c r="S143" t="n">
        <v>69.59999999999999</v>
      </c>
      <c r="V143" t="n">
        <v>44.2</v>
      </c>
      <c r="X143" t="inlineStr">
        <is>
          <t>All newly JOBS-mandatory ADC clients in 15 demonstration counties; 54% of adult ADC recipients in Ohio were JOBS-mandatory in FY 1992. Random assignment at 9:1 ratio (treatment:control).</t>
        </is>
      </c>
      <c r="Z143" t="n">
        <v>22628</v>
      </c>
      <c r="AA143" t="n">
        <v>4261</v>
      </c>
      <c r="AK143" t="inlineStr">
        <is>
          <t>OH UI wage records</t>
        </is>
      </c>
      <c r="AL143" t="n">
        <v>1</v>
      </c>
      <c r="AM143" t="n">
        <v>1.87</v>
      </c>
      <c r="AN143" t="n">
        <v>1.48</v>
      </c>
      <c r="AP143" t="n">
        <v>42.1</v>
      </c>
      <c r="AQ143" t="n">
        <v>-133.29</v>
      </c>
      <c r="AR143" t="n">
        <v>131.23</v>
      </c>
      <c r="AT143" t="n">
        <v>2052.7</v>
      </c>
      <c r="AU143" t="inlineStr">
        <is>
          <t>annual</t>
        </is>
      </c>
      <c r="AV143" t="n">
        <v>2</v>
      </c>
      <c r="AW143" t="n">
        <v>0.45</v>
      </c>
      <c r="AX143" t="n">
        <v>1.76</v>
      </c>
      <c r="AZ143" t="n">
        <v>44.4</v>
      </c>
      <c r="BA143" t="n">
        <v>-144.4</v>
      </c>
      <c r="BB143" t="n">
        <v>218.77</v>
      </c>
      <c r="BD143" t="n">
        <v>2901.9</v>
      </c>
      <c r="BE143" t="inlineStr">
        <is>
          <t>annual</t>
        </is>
      </c>
      <c r="BF143" t="n">
        <v>3</v>
      </c>
      <c r="BG143" t="n">
        <v>3.3</v>
      </c>
      <c r="BH143" t="n">
        <v>1.68</v>
      </c>
      <c r="BI143" t="inlineStr">
        <is>
          <t>**</t>
        </is>
      </c>
      <c r="BJ143" t="n">
        <v>42.2</v>
      </c>
      <c r="BK143" t="n">
        <v>23</v>
      </c>
      <c r="BL143" t="n">
        <v>155.99</v>
      </c>
      <c r="BN143" t="n">
        <v>3129</v>
      </c>
      <c r="BO143" t="inlineStr">
        <is>
          <t>annual</t>
        </is>
      </c>
      <c r="BP143" t="inlineStr">
        <is>
          <t>Fein, Beecroft, and Blomquist 1994, The Ohio Transitions to Independence Demonstration: Final Impacts for JOBS and Work Choice. Abt Associates Inc. Impacts pooled across the three demonstration-entry cohorts: 1989 cohort from Exhibit 3.1 (p. 52); 1990 and 1991 cohorts from Exhibit 3.3 (p. 56). Demographics from Exhibit 2.1 (p. 29) pooled across columns. Participation: Exhibit 2.3 (p. 33). Research design: Ch. 1, pp. 10-15. Cohort composition: Ch. 2, p. 27.</t>
        </is>
      </c>
      <c r="BQ143" t="inlineStr">
        <is>
          <t>Pooled across all three JOBS demonstration-entry cohorts (1989, 1990, 1991). The report does NOT publish a cross-cohort aggregate; impacts and demographics pooled here. Impact pooling: weighted mean of cohort impacts using total impact-sample size (N_T+N_C) as weights (1989 N=9,174; 1990 N=5,989; 1991 N=11,726; total N=26,889). Demographic pooling: weighted mean using CRIS-E sample sizes from Exhibit 2.1 (1989 N=8,485; 1990 N=4,674; 1991 N=12,976). Standard errors: back-solved from significance stars where present (* → /1.645, ** → /1.96, *** → /2.576); for n.s. impacts, derived by scaling a starred sibling cohort's SE through sigma = SE / sqrt(1/N_T + 1/N_C). Pooled SE = RMS of cohort SEs (sqrt(mean(SE^2))) per analysis convention, conservative for downstream random-effects meta-analysis where between-study variance dominates. lt_earn SE left blank: no starred anchor for any LT outcome — couldn't pin sigma. MT (Year 2) pool covers 1989 and 1990 only; LT (3 yr) is 1989-only (1990 capped at 2 yr; 1991 at 1 yr). Race breakdown limited to White/Non-White in source. pct_no_hs_diploma reflects 1989 cohort only (Exhibit 2.1 footnote: education unavailable for 1990 and 1991 due to CRIS-E system conversion). Cohort composition varies sharply: 1989 mostly ongoing ADC spells; 1990 mostly new/re-opened cases (explains its negative earnings impacts); 1991 includes large Franklin County single-parent influx (explains 81% female, 38% non-white in that cohort). Mean age not reported (only age bins). 9:1 randomization ratio. SEs not reported by source. Replaces the 1989-only row in v15; the separate 1990 and 1991 rows have been removed.</t>
        </is>
      </c>
      <c r="BT143" t="inlineStr">
        <is>
          <t>No B-C analysis in Fein, Beecroft, and Blomquist 1994. Report presents impacts for JOBS and Work Choice programs but no benefit-cost framework.</t>
        </is>
      </c>
      <c r="BU143" t="inlineStr">
        <is>
          <t>OH</t>
        </is>
      </c>
      <c r="BV143" t="inlineStr">
        <is>
          <t>mixed</t>
        </is>
      </c>
      <c r="BW143" t="n">
        <v>0</v>
      </c>
      <c r="BX143" t="n">
        <v>0</v>
      </c>
      <c r="BY143" t="n">
        <v>0</v>
      </c>
      <c r="BZ143" t="n">
        <v>0</v>
      </c>
      <c r="CA143" t="n">
        <v>0</v>
      </c>
      <c r="CB143" t="n">
        <v>0</v>
      </c>
      <c r="CC143" t="n">
        <v>0</v>
      </c>
      <c r="CD143" t="n">
        <v>0</v>
      </c>
      <c r="CE143" t="n">
        <v>40.5</v>
      </c>
      <c r="CF143" t="n">
        <v>0</v>
      </c>
    </row>
    <row r="144" ht="14.4" customHeight="1">
      <c r="A144" t="inlineStr">
        <is>
          <t>Ohio Transitions to Independence Demonstration (Work Choice)</t>
        </is>
      </c>
      <c r="B144" t="inlineStr">
        <is>
          <t>Montgomery County, Jan-Jun 1989 cohort</t>
        </is>
      </c>
      <c r="C144" s="13" t="inlineStr">
        <is>
          <t>OTIDWC-Jun 1989 cohort</t>
        </is>
      </c>
      <c r="D144" t="inlineStr">
        <is>
          <t>Voluntary welfare-to-work program for single parents with children aged 1-5. Three components: (1) mandatory employability assessment and counselling session; (2) voluntary employment and training services (14.1% of treatment group participated: basic education 4.8%, post-secondary 4.7%, job skills 2.5%, job readiness 2.3%, job club 1.7%, CWEP 0.2%); (3) extended transitional benefits — up to 12 months of Medicaid and child care payments for those leaving ADC for work (vs. 4 months under previous rules). (Ch. 1, pp. 9-10; Exhibit 2.7, p. 44)</t>
        </is>
      </c>
      <c r="E144" t="inlineStr">
        <is>
          <t>secondary</t>
        </is>
      </c>
      <c r="F144" t="n">
        <v>1</v>
      </c>
      <c r="G144" t="n">
        <v>0</v>
      </c>
      <c r="H144" t="n">
        <v>1</v>
      </c>
      <c r="I144" t="n">
        <v>1</v>
      </c>
      <c r="J144" t="inlineStr">
        <is>
          <t>Extended transitional Medicaid (12 vs. 4 months) and child care benefits are the primary intervention</t>
        </is>
      </c>
      <c r="K144" t="inlineStr">
        <is>
          <t>voluntary</t>
        </is>
      </c>
      <c r="L144" t="inlineStr">
        <is>
          <t>public</t>
        </is>
      </c>
      <c r="M144" t="inlineStr">
        <is>
          <t>public</t>
        </is>
      </c>
      <c r="N144" t="inlineStr">
        <is>
          <t>January 1989 - June 1989</t>
        </is>
      </c>
      <c r="O144" t="n">
        <v>1989</v>
      </c>
      <c r="P144" t="inlineStr">
        <is>
          <t>Single-parent ADC-R case heads with youngest child aged 1-5, Montgomery County, Ohio</t>
        </is>
      </c>
      <c r="R144" t="n">
        <v>0</v>
      </c>
      <c r="S144" t="n">
        <v>44.6</v>
      </c>
      <c r="V144" t="n">
        <v>43.3</v>
      </c>
      <c r="X144" t="inlineStr">
        <is>
          <t>All ADC-R single-parent case heads with youngest child aged 1-5 in Montgomery County who were not otherwise exempt. Random assignment at 6:4 ratio (treatment:control).</t>
        </is>
      </c>
      <c r="Z144" t="n">
        <v>2536</v>
      </c>
      <c r="AA144" t="n">
        <v>1619</v>
      </c>
      <c r="AK144" t="inlineStr">
        <is>
          <t>OH UI wage records</t>
        </is>
      </c>
      <c r="AL144" t="n">
        <v>1</v>
      </c>
      <c r="AM144" t="n">
        <v>3.4</v>
      </c>
      <c r="AN144" t="n">
        <v>1.7</v>
      </c>
      <c r="AO144" t="inlineStr">
        <is>
          <t>**</t>
        </is>
      </c>
      <c r="AP144" t="n">
        <v>31.8</v>
      </c>
      <c r="AQ144" t="n">
        <v>109</v>
      </c>
      <c r="AR144" t="n">
        <v>66.3</v>
      </c>
      <c r="AS144" t="inlineStr">
        <is>
          <t>*</t>
        </is>
      </c>
      <c r="AT144" t="n">
        <v>791</v>
      </c>
      <c r="AU144" t="inlineStr">
        <is>
          <t>annual</t>
        </is>
      </c>
      <c r="BP144" t="inlineStr">
        <is>
          <t>Fein, Beecroft, and Blomquist 1994, The Ohio Transitions to Independence Demonstration: Final Impacts for JOBS and Work Choice. Abt Associates Inc. Impacts: Exhibit 4.1 (p. 79) for early cohort employment and earnings. Demographics: Exhibit 2.5 (p. 41). Participation: Exhibit 2.7 (p. 44). Sample sizes: Exhibit 4.1 footnote a (p. 79). Research design: Ch. 1, pp. 10-15.</t>
        </is>
      </c>
      <c r="BQ144" t="inlineStr">
        <is>
          <t>Work Choice's primary intervention was extended transitional benefits (Medicaid and child care), not E&amp;T. Only 14.1% of treatment group ever participated in E&amp;T. Employment measure is 'Percent Ever Employed' during the year. Earnings are annual totals. MT not extracted: after March 1990, control group also received extended transitional benefits, contaminating the treatment-control contrast for the 2nd year. Follow-up extended only through December 1990 (~18 months for early cohort). Later cohort (Jul-Dec 1989, N=1,344) showed +3.2pp employment (n.s.) and -$192* earnings in Year 1 (Exhibit 4.3, p. 81); not extracted. 6:4 randomization ratio (treatment:control). Impacts are regression-adjusted (OLS for earnings, logistic for employment). Mean age not reported; distribution: &lt;25=42.4%, 25-39=54.8%, 40+=2.8% (approx ~26). Racial breakdown only available as white/non-white; non-white=55.4%. Cost data in separate companion report. (NEW v15: companion row for the Jul-Dec 1989 cohort (row 148) now added.)</t>
        </is>
      </c>
      <c r="BU144" t="inlineStr">
        <is>
          <t>OH</t>
        </is>
      </c>
      <c r="BV144" t="inlineStr">
        <is>
          <t>urban</t>
        </is>
      </c>
      <c r="BW144" t="n">
        <v>0</v>
      </c>
      <c r="BX144" t="n">
        <v>0</v>
      </c>
      <c r="BY144" t="n">
        <v>0</v>
      </c>
      <c r="BZ144" t="n">
        <v>0</v>
      </c>
      <c r="CA144" t="n">
        <v>0</v>
      </c>
      <c r="CB144" t="n">
        <v>0</v>
      </c>
      <c r="CC144" t="n">
        <v>0</v>
      </c>
      <c r="CD144" t="n">
        <v>0</v>
      </c>
      <c r="CE144" t="n">
        <v>14.1</v>
      </c>
      <c r="CF144" t="n">
        <v>0</v>
      </c>
    </row>
    <row r="145" ht="14.4" customHeight="1">
      <c r="A145" t="inlineStr">
        <is>
          <t>Wildcat (Supported Work)</t>
        </is>
      </c>
      <c r="B145" t="inlineStr">
        <is>
          <t>Manhattan, ex-addicts</t>
        </is>
      </c>
      <c r="C145" s="13" t="inlineStr">
        <is>
          <t>WSW-Ex-addicts</t>
        </is>
      </c>
      <c r="D145" t="inlineStr">
        <is>
          <t>Supported work: subsidized public service employment for ex-addicts on methadone maintenance in NYC. Participants worked in crews on public service projects (parks, streets, building maintenance) with gradually increasing performance expectations. Program included peer support and job development/placement for transition to unsubsidized employment.</t>
        </is>
      </c>
      <c r="E145" t="inlineStr">
        <is>
          <t>primary</t>
        </is>
      </c>
      <c r="F145" t="n">
        <v>0</v>
      </c>
      <c r="G145" t="n">
        <v>1</v>
      </c>
      <c r="H145" t="n">
        <v>1</v>
      </c>
      <c r="I145" t="n">
        <v>1</v>
      </c>
      <c r="J145" t="inlineStr">
        <is>
          <t>subsidized transitional employment, peer support, job development/placement</t>
        </is>
      </c>
      <c r="K145" t="inlineStr">
        <is>
          <t>voluntary</t>
        </is>
      </c>
      <c r="L145" t="inlineStr">
        <is>
          <t>public</t>
        </is>
      </c>
      <c r="M145" t="inlineStr">
        <is>
          <t>private</t>
        </is>
      </c>
      <c r="N145" t="inlineStr">
        <is>
          <t>May 1972 – August 1973</t>
        </is>
      </c>
      <c r="O145" t="n">
        <v>1972.917</v>
      </c>
      <c r="P145" t="inlineStr">
        <is>
          <t>Ex-addicts on methadone maintenance in NYC, ages 18+, enrolled in methadone programs</t>
        </is>
      </c>
      <c r="Q145" t="n">
        <v>30</v>
      </c>
      <c r="R145" t="n">
        <v>92</v>
      </c>
      <c r="S145" t="n">
        <v>9</v>
      </c>
      <c r="T145" t="n">
        <v>68</v>
      </c>
      <c r="U145" t="n">
        <v>23</v>
      </c>
      <c r="Z145" t="n">
        <v>288</v>
      </c>
      <c r="AA145" t="n">
        <v>298</v>
      </c>
      <c r="AB145" t="n">
        <v>0.681</v>
      </c>
      <c r="AC145" t="n">
        <v>0.576</v>
      </c>
      <c r="AD145" t="n">
        <v>0.63</v>
      </c>
      <c r="AE145" t="n">
        <v>0.681</v>
      </c>
      <c r="AF145" t="n">
        <v>0.576</v>
      </c>
      <c r="AG145" t="n">
        <v>0.63</v>
      </c>
      <c r="AK145" t="inlineStr">
        <is>
          <t>self-report (survey)</t>
        </is>
      </c>
      <c r="AL145" t="n">
        <v>1</v>
      </c>
      <c r="AM145" t="n">
        <v>42</v>
      </c>
      <c r="AN145" t="n">
        <v>4.1</v>
      </c>
      <c r="AO145" t="inlineStr">
        <is>
          <t>***</t>
        </is>
      </c>
      <c r="AP145" t="n">
        <v>50</v>
      </c>
      <c r="AQ145" t="n">
        <v>3954</v>
      </c>
      <c r="AR145" t="n">
        <v>306.1</v>
      </c>
      <c r="AS145" t="inlineStr">
        <is>
          <t>***</t>
        </is>
      </c>
      <c r="AT145" t="n">
        <v>1060</v>
      </c>
      <c r="AU145" t="inlineStr">
        <is>
          <t>annual</t>
        </is>
      </c>
      <c r="AV145" t="n">
        <v>2</v>
      </c>
      <c r="AW145" t="n">
        <v>27</v>
      </c>
      <c r="AX145" t="n">
        <v>4.9</v>
      </c>
      <c r="AY145" t="inlineStr">
        <is>
          <t>***</t>
        </is>
      </c>
      <c r="AZ145" t="n">
        <v>48</v>
      </c>
      <c r="BA145" t="n">
        <v>2614</v>
      </c>
      <c r="BB145" t="n">
        <v>281.7</v>
      </c>
      <c r="BC145" t="inlineStr">
        <is>
          <t>***</t>
        </is>
      </c>
      <c r="BD145" t="n">
        <v>1827</v>
      </c>
      <c r="BE145" t="inlineStr">
        <is>
          <t>annual</t>
        </is>
      </c>
      <c r="BP145" t="inlineStr">
        <is>
          <t>Vera Institute of Justice 1976, "Employment patterns of ex-addicts: Impact of supported work on long-term employment," Table 1 (p. 5). Vera Institute of Justice 1974, "Wildcat: The first two years," Table 5 (p. 51), pp. 64-67 (statistical significance tests).</t>
        </is>
      </c>
      <c r="BQ145" t="inlineStr">
        <is>
          <t>First RCT of a job training program in history. Randomized May 1972 – Aug 1973 in Manhattan. 604 participants lottery-assigned, 586 after exclusions (288 E, 298 C). Year 1 earnings SE imputed from 1974 report t=11.52 (p.67, 277 df) backing out pooled SD=$2,412, then rescaled to 1976 Ns. Year 2 SE rescaled proportionally. Employment SEs from standard difference-in-proportions formula. Differential response: 58% E vs 68% C followed up for employment outcomes.</t>
        </is>
      </c>
      <c r="BU145" t="inlineStr">
        <is>
          <t>NY</t>
        </is>
      </c>
      <c r="BV145" t="inlineStr">
        <is>
          <t>urban</t>
        </is>
      </c>
      <c r="BW145" t="n">
        <v>0</v>
      </c>
      <c r="BX145" t="n">
        <v>0</v>
      </c>
      <c r="BY145" t="n">
        <v>1</v>
      </c>
      <c r="BZ145" t="n">
        <v>0</v>
      </c>
      <c r="CA145" t="n">
        <v>0</v>
      </c>
      <c r="CB145" t="n">
        <v>1</v>
      </c>
      <c r="CC145" t="n">
        <v>0</v>
      </c>
      <c r="CD145" t="n">
        <v>1</v>
      </c>
      <c r="CE145" t="n">
        <v>89</v>
      </c>
      <c r="CF145" t="n">
        <v>0</v>
      </c>
      <c r="CI145" t="n">
        <v>12</v>
      </c>
    </row>
    <row r="146">
      <c r="A146" t="inlineStr">
        <is>
          <t>Ohio Transitions to Independence Demonstration (Work Choice)</t>
        </is>
      </c>
      <c r="B146" t="inlineStr">
        <is>
          <t>Montgomery County, Jul-Dec 1989 cohort</t>
        </is>
      </c>
      <c r="C146" t="inlineStr">
        <is>
          <t>OTIDWC-Dec 1989 cohort</t>
        </is>
      </c>
      <c r="D146" t="inlineStr">
        <is>
          <t>Voluntary welfare-to-work program for single parents with children aged 1-5. Three components: (1) mandatory employability assessment and counselling session; (2) voluntary employment and training services (14.1% of treatment group participated: basic education 4.8%, post-secondary 4.7%, job skills 2.5%, job readiness 2.3%, job club 1.7%, CWEP 0.2%); (3) extended transitional benefits — up to 12 months of Medicaid and child care payments for those leaving ADC for work (vs. 4 months under previous rules). (Ch. 1, pp. 9-10; Exhibit 2.7, p. 44)</t>
        </is>
      </c>
      <c r="E146" t="inlineStr">
        <is>
          <t>secondary</t>
        </is>
      </c>
      <c r="F146" t="n">
        <v>1</v>
      </c>
      <c r="G146" t="n">
        <v>0</v>
      </c>
      <c r="H146" t="n">
        <v>1</v>
      </c>
      <c r="I146" t="n">
        <v>1</v>
      </c>
      <c r="J146" t="inlineStr">
        <is>
          <t>Extended transitional Medicaid (12 vs. 4 months) and child care benefits are the primary intervention</t>
        </is>
      </c>
      <c r="K146" t="inlineStr">
        <is>
          <t>voluntary</t>
        </is>
      </c>
      <c r="L146" t="inlineStr">
        <is>
          <t>public</t>
        </is>
      </c>
      <c r="M146" t="inlineStr">
        <is>
          <t>public</t>
        </is>
      </c>
      <c r="N146" t="inlineStr">
        <is>
          <t>July 1989 – December 1989</t>
        </is>
      </c>
      <c r="O146" t="n">
        <v>1989.75</v>
      </c>
      <c r="P146" t="inlineStr">
        <is>
          <t>Single-parent ADC-R case heads with youngest child aged 1-5, Montgomery County, Ohio</t>
        </is>
      </c>
      <c r="R146" t="n">
        <v>0</v>
      </c>
      <c r="S146" t="n">
        <v>42.4</v>
      </c>
      <c r="V146" t="n">
        <v>43.1</v>
      </c>
      <c r="X146" t="inlineStr">
        <is>
          <t>All ADC-R single-parent case heads with youngest child aged 1-5 in Montgomery County who were not otherwise exempt. Random assignment ratio (treatment:control) similar to early cohort.</t>
        </is>
      </c>
      <c r="Z146" t="n">
        <v>653</v>
      </c>
      <c r="AA146" t="n">
        <v>451</v>
      </c>
      <c r="AK146" t="inlineStr">
        <is>
          <t>OH UI wage records</t>
        </is>
      </c>
      <c r="AL146" t="n">
        <v>1</v>
      </c>
      <c r="AM146" t="n">
        <v>3.2</v>
      </c>
      <c r="AP146" t="n">
        <v>32.6</v>
      </c>
      <c r="AQ146" t="n">
        <v>-192</v>
      </c>
      <c r="AS146" t="inlineStr">
        <is>
          <t>*</t>
        </is>
      </c>
      <c r="AT146" t="n">
        <v>992</v>
      </c>
      <c r="AU146" t="inlineStr">
        <is>
          <t>annual</t>
        </is>
      </c>
      <c r="BP146" t="inlineStr">
        <is>
          <t>Fein, Beecroft, and Blomquist 1994, The Ohio Transitions to Independence Demonstration: Final Impacts for JOBS and Work Choice. Abt Associates Inc. Impacts: Exhibit 4.3 (p. 81, First-Year Impacts of Work Choice for Later July-December 1989 Demonstration Entrants). Demographics: Exhibit 2.5 (p. 41, Jul 1989-Mar 1990 column). Research design: Ch. 1, pp. 9-15.</t>
        </is>
      </c>
      <c r="BQ146" t="inlineStr">
        <is>
          <t>Later Work Choice cohort. After April 1990 the state began offering 12 months of transitional Medicaid/child care to controls too, contaminating the experimental contrast for the second year and beyond. The first year of follow-up for this cohort (Jul 1989 entry + 12 months) extends just past April 1990, so the last quarter of Year 1 is partially contaminated. Demographics from Exhibit 2.5 use the report's Jul 1989-Mar 1990 cell, which overlaps but is not identical to the impact sample. Race breakdown only as White/Non-White (non-white = 57.6%). Age in bins only: &lt;25=48.8%, 25-39=48.8%, 40+=2.4%. Years of education in bins: &lt;12=43.1%, 12=43.8%, 13+=13.1%. Only 1 year of clean follow-up. Impact significance: * at 10%; SEs not reported.</t>
        </is>
      </c>
      <c r="BU146" t="inlineStr">
        <is>
          <t>OH</t>
        </is>
      </c>
      <c r="BV146" t="inlineStr">
        <is>
          <t>urban</t>
        </is>
      </c>
      <c r="BW146" t="n">
        <v>0</v>
      </c>
      <c r="BX146" t="n">
        <v>0</v>
      </c>
      <c r="BY146" t="n">
        <v>0</v>
      </c>
      <c r="BZ146" t="n">
        <v>0</v>
      </c>
      <c r="CA146" t="n">
        <v>0</v>
      </c>
      <c r="CB146" t="n">
        <v>0</v>
      </c>
      <c r="CC146" t="n">
        <v>0</v>
      </c>
      <c r="CD146" t="n">
        <v>0</v>
      </c>
      <c r="CF146" t="n">
        <v>0</v>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L150"/>
  <sheetViews>
    <sheetView topLeftCell="L1" workbookViewId="0">
      <pane ySplit="1" topLeftCell="A63" activePane="bottomLeft" state="frozen"/>
      <selection pane="bottomLeft" activeCell="T66" sqref="T66"/>
    </sheetView>
  </sheetViews>
  <sheetFormatPr baseColWidth="8" defaultRowHeight="14.4"/>
  <cols>
    <col width="25" customWidth="1" min="1" max="3"/>
    <col width="50" customWidth="1" min="4" max="5"/>
    <col width="60" customWidth="1" min="6" max="7"/>
    <col width="40" customWidth="1" min="8" max="8"/>
    <col width="50" customWidth="1" min="9" max="9"/>
    <col width="30" customWidth="1" min="10" max="10"/>
    <col width="40" customWidth="1" min="11" max="11"/>
    <col width="60" customWidth="1" min="12" max="12"/>
  </cols>
  <sheetData>
    <row r="1">
      <c r="A1" s="1" t="inlineStr">
        <is>
          <t>project</t>
        </is>
      </c>
      <c r="B1" s="1" t="inlineStr">
        <is>
          <t>site_subgroup</t>
        </is>
      </c>
      <c r="C1" s="1" t="inlineStr">
        <is>
          <t>outcome_data_source</t>
        </is>
      </c>
      <c r="D1" s="1" t="inlineStr">
        <is>
          <t>training_role_reasoning</t>
        </is>
      </c>
      <c r="E1" s="1" t="inlineStr">
        <is>
          <t>classification_reasoning</t>
        </is>
      </c>
      <c r="F1" s="1" t="inlineStr">
        <is>
          <t>design_cell_references</t>
        </is>
      </c>
      <c r="G1" s="1" t="inlineStr">
        <is>
          <t>impact_cell_references</t>
        </is>
      </c>
      <c r="H1" s="1" t="inlineStr">
        <is>
          <t>estimand_type</t>
        </is>
      </c>
      <c r="I1" s="1" t="inlineStr">
        <is>
          <t>time_horizon_reasoning</t>
        </is>
      </c>
      <c r="J1" s="1" t="inlineStr">
        <is>
          <t>se_derivation</t>
        </is>
      </c>
      <c r="K1" s="1" t="inlineStr">
        <is>
          <t>cost_source</t>
        </is>
      </c>
      <c r="L1" s="1" t="inlineStr">
        <is>
          <t>ambiguities_and_flags</t>
        </is>
      </c>
      <c r="M1" s="9" t="inlineStr">
        <is>
          <t>leadagn_communityorg_reasoning</t>
        </is>
      </c>
      <c r="N1" s="9" t="inlineStr">
        <is>
          <t>partneragn_staffingagency_reasoning</t>
        </is>
      </c>
      <c r="O1" s="9" t="inlineStr">
        <is>
          <t>employengage_curricula_reasoning</t>
        </is>
      </c>
      <c r="P1" s="9" t="inlineStr">
        <is>
          <t>jobdev_yes_reasoning</t>
        </is>
      </c>
      <c r="Q1" s="9" t="inlineStr">
        <is>
          <t>employerol_curriculum_reasoning</t>
        </is>
      </c>
      <c r="R1" s="9" t="inlineStr">
        <is>
          <t>employerol_hire_reasoning</t>
        </is>
      </c>
      <c r="S1" t="inlineStr">
        <is>
          <t>funding_public_private_reasoning</t>
        </is>
      </c>
      <c r="T1" t="inlineStr">
        <is>
          <t>admin_public_private_reasoning</t>
        </is>
      </c>
      <c r="U1" t="inlineStr">
        <is>
          <t>treatment_duration_reasoning</t>
        </is>
      </c>
      <c r="BI1" t="inlineStr">
        <is>
          <t>state</t>
        </is>
      </c>
      <c r="BJ1" t="inlineStr">
        <is>
          <t>geo_type</t>
        </is>
      </c>
      <c r="BK1" t="inlineStr">
        <is>
          <t>program_uptake_cell_references</t>
        </is>
      </c>
      <c r="BL1" t="inlineStr">
        <is>
          <t>any_training_cell_references</t>
        </is>
      </c>
    </row>
    <row r="2" ht="100.8" customHeight="1">
      <c r="A2" s="2" t="inlineStr">
        <is>
          <t>National Supported Work Demonstration</t>
        </is>
      </c>
      <c r="B2" s="2" t="inlineStr">
        <is>
          <t>Women on AFDC long-term</t>
        </is>
      </c>
      <c r="C2" s="2" t="inlineStr">
        <is>
          <t>self-report (survey)</t>
        </is>
      </c>
      <c r="D2" s="2" t="inlineStr">
        <is>
          <t>Primary: the core intervention is structured transitional employment with graduated stress and peer support. While not classroom training, OJT in work crews is the central service. Training role coded 'primary' because the work experience IS the program.</t>
        </is>
      </c>
      <c r="E2"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2" s="2" t="inlineStr">
        <is>
          <t>Demographics: Table 2-5, p. 32 (mean age, pct male, race, education). Eligibility criteria: Table 2-2, p. 23. Randomization period: Table 4-1 source note, p. 59 ('Interviews conducted between February 1976 and March 1979'). Cost: Table 2-8, p. 37 and text p. 37 ('$8,139 per AFDC participant'). Total sample: Table 2-5, p. 32 (n=1,351). mean_years_schooling: 'Average years of schooling' from Table 2-5, p. 32 (same source as other demographics).</t>
        </is>
      </c>
      <c r="G2" s="2" t="inlineStr">
        <is>
          <t>Short-term (months 10-18): Employment impact=37.1†, Table 9-1, row 'Percent employed, Months 10-18', p. 153. Earnings impact=142.98†, Table 9-1, row 'Average monthly earnings, Months 10-18', p. 153. Control means from same table. Medium-term (months 19-27): Employment impact=8.5†, Table 9-1, row 'Percent employed, Months 19-27', p. 153. Earnings impact=77.01†, Table 9-1, row 'Average monthly earnings, Months 19-27', p. 153.</t>
        </is>
      </c>
      <c r="H2" s="2" t="inlineStr">
        <is>
          <t>Regression-adjusted experimental-control difference (ITT), controlling for age, sex, race, education, prior work experience, household composition, site, and length of site operation.</t>
        </is>
      </c>
      <c r="I2" s="2" t="inlineStr">
        <is>
          <t>Months 10-18 centered at ~14 months (1.2 years) post-enrollment → short-term per CKW classification. Months 19-27 centered at ~23 months (1.9 years) → medium-term. Months 1-9 excluded: program lasted up to 12-18 months, most AFDC participants stayed 9.5 months on average, so months 1-9 are predominantly in-program. Only 27 months of follow-up available, so no long-term estimate.</t>
        </is>
      </c>
      <c r="J2" s="2" t="inlineStr">
        <is>
          <t>SEs not reported. Only significance stars: † = p&lt;0.05, * = p&lt;0.10. No SEs or confidence intervals available in this report.</t>
        </is>
      </c>
      <c r="K2" s="2" t="inlineStr">
        <is>
          <t>Table 2-8, p. 37: average public subsidy cost per participant=$5,740 for all groups. Text p. 37: ranges from $4,455 per ex-offender to $8,139 per AFDC participant. Cost is public subsidy (operating costs minus worksite revenues), in ~1978 dollars.</t>
        </is>
      </c>
      <c r="L2" s="2" t="inlineStr">
        <is>
          <t>FLAG: No SEs reported—only significance daggers (†=p&lt;0.05) and asterisks (*=p&lt;0.10). Cannot compute t-statistics. FLAG: Treatment/control split not reported separately in this volume (total sample only). FLAG: Months 1-9 impacts are large but reflect in-program employment—excluded per protocol. FLAG: 'Ex-convicts' in Experiments v10 row 2 does not correspond to any NSW target group; the paper's groups are AFDC, Ex-addicts, Ex-offenders, Youth. Likely an inventory error—should be 'Ex-addicts'.</t>
        </is>
      </c>
      <c r="M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N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2"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T2"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U2" t="inlineStr">
        <is>
          <t>AFDC group: avg 9.5 months in supported work positions. MDRC 1980, Table 2-7, p.36.</t>
        </is>
      </c>
      <c r="BK2"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BL2"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3" ht="100.8" customHeight="1">
      <c r="A3" s="2" t="inlineStr">
        <is>
          <t>National Supported Work Demonstration</t>
        </is>
      </c>
      <c r="B3" s="2" t="inlineStr">
        <is>
          <t>Ex-addicts</t>
        </is>
      </c>
      <c r="C3" s="2" t="inlineStr">
        <is>
          <t>self-report (survey)</t>
        </is>
      </c>
      <c r="D3" s="2" t="inlineStr">
        <is>
          <t>Primary: the core intervention is structured transitional employment with graduated stress and peer support. While not classroom training, OJT in work crews is the central service. Training role coded 'primary' because the work experience IS the program.</t>
        </is>
      </c>
      <c r="E3"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3" s="2" t="inlineStr">
        <is>
          <t>Demographics: Table 2-5, p. 32. Eligibility: Table 2-2, p. 23. Total sample: Table 2-5, p. 32 (n=974). Cost: Table 2-8, p. 37 ($5,740 average across all groups). mean_years_schooling: 'Average years of schooling' from Table 2-5, p. 32 (same source as other demographics).</t>
        </is>
      </c>
      <c r="G3" s="2" t="inlineStr">
        <is>
          <t>Short-term (months 10-18): Employment=10.8†, Earnings=39.20*, Table 9-2, p. 155. Medium-term (months 19-27): Employment=3.5 (n.s.), Earnings=16.42 (n.s.), Table 9-2, p. 155. Long-term (months 28-36): Employment=10.1*, Earnings=101.73†, Table 9-2, p. 155.</t>
        </is>
      </c>
      <c r="H3" s="2" t="inlineStr">
        <is>
          <t>Regression-adjusted experimental-control difference (ITT), controlling for age, sex, race, education, prior work experience, household composition, site, and length of site operation.</t>
        </is>
      </c>
      <c r="I3" s="2" t="inlineStr">
        <is>
          <t>Months 10-18 → short-term (centered ~14 months). Months 19-27 → medium-term (centered ~23 months). Months 28-36 → long-term (centered ~32 months = 2.7 years). Borderline for long-term per CKW 3+ year threshold, but is the longest available horizon and classified as long-term. Ex-addicts spent ~5-7 months in program on average, so months 10-18 are post-program.</t>
        </is>
      </c>
      <c r="J3" s="2" t="inlineStr">
        <is>
          <t>SEs not reported. Only significance stars: † = p&lt;0.05, * = p&lt;0.10. No SEs or confidence intervals available in this report.</t>
        </is>
      </c>
      <c r="K3" s="2" t="inlineStr">
        <is>
          <t>Table 2-8, p. 37: $5,740 average per participant across all groups. Ex-addict-specific cost not reported in this volume.</t>
        </is>
      </c>
      <c r="L3" s="2" t="inlineStr">
        <is>
          <t>FLAG: No SEs reported. FLAG: Treatment/control split not reported. FLAG: Long-term horizon (months 28-36, ~2.7 years) is below the CKW 3+ year threshold—borderline classification. FLAG: Text notes that impacts were largest for the 36-month cohort (early enrollees), and smaller for later enrollees, suggesting sensitivity to labor market conditions.</t>
        </is>
      </c>
      <c r="M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N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3"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T3"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U3" t="inlineStr">
        <is>
          <t>Ex-addicts: avg 6.8 months in supported work. MDRC 1980, Table 2-7, p.36.</t>
        </is>
      </c>
      <c r="BK3"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BL3"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4" ht="100.8" customHeight="1">
      <c r="A4" s="2" t="inlineStr">
        <is>
          <t>National Supported Work Demonstration</t>
        </is>
      </c>
      <c r="B4" s="2" t="inlineStr">
        <is>
          <t>Ex-offenders</t>
        </is>
      </c>
      <c r="C4" s="2" t="inlineStr">
        <is>
          <t>self-report (survey)</t>
        </is>
      </c>
      <c r="D4" s="2" t="inlineStr">
        <is>
          <t>Primary: the core intervention is structured transitional employment with graduated stress and peer support. While not classroom training, OJT in work crews is the central service. Training role coded 'primary' because the work experience IS the program.</t>
        </is>
      </c>
      <c r="E4"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4" s="2" t="inlineStr">
        <is>
          <t>Demographics: Table 2-5, p. 32. Eligibility: Table 2-2, p. 23. Total sample: Table 2-5, p. 32 (n=1,497). Cost: text p. 37 ($4,455 per ex-offender). mean_years_schooling: 'Average years of schooling' from Table 2-5, p. 32 (same source as other demographics).</t>
        </is>
      </c>
      <c r="G4" s="2" t="inlineStr">
        <is>
          <t>Short-term (months 10-18): Employment=6.8†, Earnings=25.16 (n.s.), Table 9-4, p. 160. Medium-term (months 19-27): Employment=3.2 (n.s.), Earnings=14.99 (n.s.), Table 9-4, p. 160. Long-term (months 28-36): Employment=1.2 (n.s.), Earnings=62.60 (n.s.), Table 9-4, p. 160.</t>
        </is>
      </c>
      <c r="H4" s="2" t="inlineStr">
        <is>
          <t>Regression-adjusted experimental-control difference (ITT), controlling for age, sex, race, education, prior work experience, household composition, site, and length of site operation.</t>
        </is>
      </c>
      <c r="I4" s="2" t="inlineStr">
        <is>
          <t>Same as ex-addicts: months 10-18 → short-term, 19-27 → medium-term, 28-36 → long-term (borderline at 2.7 years).</t>
        </is>
      </c>
      <c r="J4" s="2" t="inlineStr">
        <is>
          <t>SEs not reported. Only significance stars: † = p&lt;0.05, * = p&lt;0.10. No SEs or confidence intervals available in this report.</t>
        </is>
      </c>
      <c r="K4" s="2" t="inlineStr">
        <is>
          <t>Text p. 37: '$4,455 per ex-offender participant.' This is public subsidy cost reflecting shorter average stay.</t>
        </is>
      </c>
      <c r="L4" s="2" t="inlineStr">
        <is>
          <t>FLAG: No SEs reported. FLAG: No statistically significant post-program impacts on earnings at any horizon. Text (p. 158): 'supported work had only limited impact on the ex-offender group.' FLAG: Benefit-cost analysis inconclusive—findings 'extremely sensitive to the specific assumptions adopted.' FLAG: Long-term at 2.7 years is below CKW 3+ year threshold.</t>
        </is>
      </c>
      <c r="M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N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4"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T4"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U4" t="inlineStr">
        <is>
          <t>Ex-offenders: avg 5.2 months in supported work. MDRC 1980, Table 2-7, p.36.</t>
        </is>
      </c>
      <c r="BK4"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BL4"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5" ht="100.8" customHeight="1">
      <c r="A5" s="2" t="inlineStr">
        <is>
          <t>National Supported Work Demonstration</t>
        </is>
      </c>
      <c r="B5" s="2" t="inlineStr">
        <is>
          <t>Young school dropouts</t>
        </is>
      </c>
      <c r="C5" s="2" t="inlineStr">
        <is>
          <t>self-report (survey)</t>
        </is>
      </c>
      <c r="D5" s="2" t="inlineStr">
        <is>
          <t>Primary: the core intervention is structured transitional employment with graduated stress and peer support. While not classroom training, OJT in work crews is the central service. Training role coded 'primary' because the work experience IS the program.</t>
        </is>
      </c>
      <c r="E5"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5" s="2" t="inlineStr">
        <is>
          <t>Demographics: Table 2-5, p. 32. Eligibility: Table 2-2, p. 23. Total sample: Table 2-5, p. 32 (n=861). Cost: Table 2-8, p. 37 ($5,740 average). mean_years_schooling: 'Average years of schooling' from Table 2-5, p. 32 (same source as other demographics).</t>
        </is>
      </c>
      <c r="G5" s="2" t="inlineStr">
        <is>
          <t>Short-term (months 10-18): Employment=6.2*, Earnings=30.71 (n.s.), Table 9-3, p. 158. Medium-term (months 19-27): Employment=0.0 (n.s.), Earnings=19.30 (n.s.), Table 9-3, p. 158. Long-term (months 28-36): Employment=8.7 (n.s.), Earnings=-41.53 (n.s.), Table 9-3, p. 158. Note: Table 9-3 source note says data for months 1-27 have been used because months 1-36 data are based on unreliably small sample.</t>
        </is>
      </c>
      <c r="H5" s="2" t="inlineStr">
        <is>
          <t>Regression-adjusted experimental-control difference (ITT), controlling for age, sex, race, education, prior work experience, household composition, site, and length of site operation.</t>
        </is>
      </c>
      <c r="I5" s="2" t="inlineStr">
        <is>
          <t>Same horizon classification as other NSW groups. Note Table 9-3 footnote b: 'Data for months 1-27 have been used because data for months 1-36 are based on an unreliably small sample.' Months 28-36 data still reported but flagged.</t>
        </is>
      </c>
      <c r="J5" s="2" t="inlineStr">
        <is>
          <t>SEs not reported. Only significance stars: † = p&lt;0.05, * = p&lt;0.10. No SEs or confidence intervals available in this report.</t>
        </is>
      </c>
      <c r="K5" s="2" t="inlineStr">
        <is>
          <t>Table 2-8, p. 37: $5,740 average across all groups. Youth-specific cost not separately reported.</t>
        </is>
      </c>
      <c r="L5" s="2" t="inlineStr">
        <is>
          <t>FLAG: No SEs reported. FLAG: No significant post-program impacts on earnings at any horizon. FLAG: Months 28-36 data based on unreliably small sample per Table 9-3 footnote b. FLAG: Negative long-term earnings impact (-$41.53) but not significant. FLAG: Benefit-cost analysis negative (-$1,465 net present value). FLAG: Long-term at 2.7 years is below CKW 3+ year threshold.</t>
        </is>
      </c>
      <c r="M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N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5"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T5"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U5" t="inlineStr">
        <is>
          <t>Youth: avg 6.8 months in supported work. MDRC 1980, Table 2-7, p.36.</t>
        </is>
      </c>
      <c r="BK5"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BL5"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6" ht="100.8" customHeight="1">
      <c r="A6" s="2" t="inlineStr">
        <is>
          <t>National JTPA Study</t>
        </is>
      </c>
      <c r="B6" s="2" t="inlineStr">
        <is>
          <t>Adult women</t>
        </is>
      </c>
      <c r="C6" s="2" t="inlineStr">
        <is>
          <t>SSA earnings records</t>
        </is>
      </c>
      <c r="D6"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6"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6" s="2" t="inlineStr">
        <is>
          <t>Sample size: GAO 1996, Table II.10, p. 24 (n_T=3,631, n_C=1,723). Randomization period: Orr et al. 1994, Chapter 2, p. 39 ('November 1987 through September 1989'). Cost: Orr et al. 1994, Exhibit 6.2, p. 162 ($1,171 incremental per enrollee). GAO excluded NJS participants assigned after 1988 and those with poor SSA matches (footnote 12, p. 19). Demographics: pct_white=59.6, pct_black=26.4, pct_hispanic=11.9, pct_no_hs_diploma=27.9 from Orr et al. 1994, Exhibit 3.12 (adult women column). mean_age=33.3 from Bloom et al. 1993, Exhibit 3.13 (adult women assignees).</t>
        </is>
      </c>
      <c r="G6" s="2" t="inlineStr">
        <is>
          <t>Earnings: GAO 1996, Table II.2 (p. 20, annual earnings T &amp; C) and Table II.10 (p. 24, pooled SEs). Year 1: T=$4,702, C=$4,323, impact=$379, pooled SE=145, t=2.62. Year 3: T=$5,902, C=$5,319, impact=$583, pooled SE=196, t=2.98. Year 5: T=$6,556, C=$6,154, impact=$402, pooled SE=225, t=1.79. Employment: Table II.6 (p. 22, percent employed). Year 1: T=80.3%, C=77.4%, impact=2.9pp. Year 3: T=71.2%, C=68.1%, impact=3.1pp. Year 5: T=68.7%, C=67.4%, impact=1.3pp. Employment SEs computed from proportions and sample sizes.</t>
        </is>
      </c>
      <c r="H6" s="2" t="inlineStr">
        <is>
          <t>ITT comparison of treatment vs. control group means using SSA administrative earnings records. GAO calculated means and variances for each group and tested for significant differences at 5% level.</t>
        </is>
      </c>
      <c r="I6"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6" s="2" t="inlineStr">
        <is>
          <t>Earnings SEs: pooled standard errors reported directly in GAO Tables II.9-II.12. Employment SEs: computed as sqrt(pT*(1-pT)/nT + pC*(1-pC)/nC) from proportions and sample sizes, since GAO does not report employment standard errors.</t>
        </is>
      </c>
      <c r="K6" s="2" t="inlineStr">
        <is>
          <t>Exhibit 6.2, p. 162: 'Incremental training cost to society' = -$1,171 per enrollee for adult women. This is net cost (treatment minus control services). Exhibit also reports enrollee training cost savings=$56, rest of society cost=$1,227.</t>
        </is>
      </c>
      <c r="L6" s="2" t="inlineStr">
        <is>
          <t>FLAG: GAO excluded NJS participants assigned after 1988 (~6,900 of 20,601), reducing sample from Orr's 6,102 adult women to 5,354. FLAG: Employment defined as any positive SSA earnings in a calendar year—may differ from survey-based employment measures. FLAG: Earnings may be understated for individuals exceeding SSA withholding ceiling (~$55,500 in 1992). FLAG: Year 5 earnings impact marginally significant (t=1.79, p&lt;0.10) but not at 5%.</t>
        </is>
      </c>
      <c r="M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N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6" t="inlineStr">
        <is>
          <t>public: JTPA Title II-A was funded entirely by federal block grants to states. No significant private funding of program operations.</t>
        </is>
      </c>
      <c r="T6"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U6" t="inlineStr">
        <is>
          <t>Adult women: median 3.8 months enrolled. Orr et al. 1994, Exhibit 3.18.</t>
        </is>
      </c>
      <c r="BK6" t="inlineStr">
        <is>
          <t>Exhibit 3.15, "All Subgroups" row, "Adult women" col (2), p. 64: T enrollment = 65.7%. Control barred from JTPA for 18 months (p. 57); C crossover rate not explicitly reported in Orr et al. 1994. program_uptake_impact recorded as T enrollment rate, program_uptake_control_mean left blank.</t>
        </is>
      </c>
      <c r="BL6" t="inlineStr">
        <is>
          <t>Exhibit 4.2, "Percentage receiving a service" panel, "Adult women" row, p. 77: T = 59.5%, C = 33.1%, Difference per Assignee = 26.4 pp (SE = 1.4%). "Any employment and training service" from any source.</t>
        </is>
      </c>
    </row>
    <row r="7" ht="86.40000000000001" customHeight="1">
      <c r="A7" s="2" t="inlineStr">
        <is>
          <t>National JTPA Study</t>
        </is>
      </c>
      <c r="B7" s="2" t="inlineStr">
        <is>
          <t>Adult men</t>
        </is>
      </c>
      <c r="C7" s="2" t="inlineStr">
        <is>
          <t>SSA earnings records</t>
        </is>
      </c>
      <c r="D7"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7"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7" s="2" t="inlineStr">
        <is>
          <t>Sample size: GAO 1996, Table II.9, p. 24 (n_T=2,874, n_C=1,435). Randomization period: same as adult women. Cost: Orr et al. 1994, Exhibit 6.2, p. 162 ($831 incremental per enrollee). GAO excluded NJS participants assigned after 1988 and those with poor SSA matches. Demographics: pct_white=61.6, pct_black=25.4, pct_hispanic=9.7, pct_no_hs_diploma=30.7 from Orr et al. 1994, Exhibit 3.12 (adult men column). mean_age=33.1 from Bloom et al. 1993, Exhibit 3.13 (adult men assignees).</t>
        </is>
      </c>
      <c r="G7" s="2" t="inlineStr">
        <is>
          <t>Earnings: GAO 1996, Table II.1 (p. 20) and Table II.9 (p. 24). Year 1: T=$6,901, C=$6,410, impact=$491, pooled SE=216, t=2.27. Year 3: T=$7,936, C=$7,363, impact=$573, pooled SE=279, t=2.06. Year 5: T=$8,651, C=$8,326, impact=$325, pooled SE=322, t=1.01. Employment: Table II.5 (p. 22). Year 1: T=86.7%, C=86.4%, impact=0.3pp. Year 3: T=76.3%, C=73.9%, impact=2.4pp. Year 5: T=72.3%, C=71.1%, impact=1.2pp. Employment SEs computed from proportions and sample sizes.</t>
        </is>
      </c>
      <c r="H7" s="2" t="inlineStr">
        <is>
          <t>ITT comparison of treatment vs. control group means using SSA administrative earnings records. GAO calculated means and variances for each group and tested for significant differences at 5% level.</t>
        </is>
      </c>
      <c r="I7"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7" s="2" t="inlineStr">
        <is>
          <t>Earnings SEs: pooled standard errors reported directly in GAO Tables II.9-II.12. Employment SEs: computed as sqrt(pT*(1-pT)/nT + pC*(1-pC)/nC) from proportions and sample sizes, since GAO does not report employment standard errors.</t>
        </is>
      </c>
      <c r="K7" s="2" t="inlineStr">
        <is>
          <t>Exhibit 6.2, p. 162: incremental training cost to society = $831 per enrollee for adult men.</t>
        </is>
      </c>
      <c r="L7" s="2" t="inlineStr">
        <is>
          <t>FLAG: GAO sample (4,309 adult men) smaller than Orr's (5,102) due to post-1988 and SSA match exclusions. FLAG: Employment = any positive SSA earnings in a calendar year. FLAG: Year 4 employment impact significant at 5% per GAO table but year 5 is not. FLAG: Earnings impacts significant years 1-3 but fade to insignificant by year 5.</t>
        </is>
      </c>
      <c r="M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N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7" t="inlineStr">
        <is>
          <t>public: JTPA Title II-A was funded entirely by federal block grants to states. No significant private funding of program operations.</t>
        </is>
      </c>
      <c r="T7"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U7" t="inlineStr">
        <is>
          <t>Adult men: median 2.8 months enrolled. Orr et al. 1994, Exhibit 3.18.</t>
        </is>
      </c>
      <c r="BK7" t="inlineStr">
        <is>
          <t>Exhibit 3.15, "All Subgroups" row, "Adult men" col (3), p. 64: T enrollment = 62.3%. Control barred from JTPA for 18 months (p. 57); C crossover rate not reported. program_uptake_impact recorded as T enrollment rate, program_uptake_control_mean left blank.</t>
        </is>
      </c>
      <c r="BL7" t="inlineStr">
        <is>
          <t>Exhibit 4.2, "Percentage receiving a service" panel, "Adult men" row, p. 77: T = 49.6%, C = 23.4%, Difference per Assignee = 26.2 pp (SE = 1.5%). "Any employment and training service" from any source.</t>
        </is>
      </c>
    </row>
    <row r="8" ht="86.40000000000001" customHeight="1">
      <c r="A8" s="2" t="inlineStr">
        <is>
          <t>National JTPA Study</t>
        </is>
      </c>
      <c r="B8" s="2" t="inlineStr">
        <is>
          <t>Female out-of-school youths</t>
        </is>
      </c>
      <c r="C8" s="2" t="inlineStr">
        <is>
          <t>SSA earnings records</t>
        </is>
      </c>
      <c r="D8"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8"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8" s="2" t="inlineStr">
        <is>
          <t>Sample size: GAO 1996, Table II.12, p. 25 (n_T=1,593, n_C=707). Randomization period: same as adults. Cost: Orr et al. 1994, Exhibit 6.3, p. 165 ($1,316 incremental per enrollee). GAO excluded NJS participants assigned after 1988 and those with poor SSA matches. Demographics: pct_white=51.5, pct_black=31.2, pct_hispanic=15.7, pct_no_hs_diploma=48.4 from Orr et al. 1994, Exhibit 3.12 (female youths column). mean_age=19.0 from Bloom et al. 1993, Exhibit 3.14 (female youth assignees).</t>
        </is>
      </c>
      <c r="G8" s="2" t="inlineStr">
        <is>
          <t>Earnings: GAO 1996, Table II.4 (p. 21) and Table II.12 (p. 25). Year 1: T=$3,339, C=$3,389, impact=-$50, pooled SE=172, t=-0.29. Year 3: T=$4,393, C=$4,383, impact=$10, pooled SE=240, t=0.04. Year 5: T=$5,433, C=$5,209, impact=$224, pooled SE=291, t=0.77. Employment: Table II.8 (p. 23). Year 1: T=82.0%, C=79.6%, impact=2.4pp. Year 3: T=73.8%, C=75.1%, impact=-1.3pp. Year 5: T=73.9%, C=73.0%, impact=0.9pp. Employment SEs computed from proportions and sample sizes.</t>
        </is>
      </c>
      <c r="H8" s="2" t="inlineStr">
        <is>
          <t>ITT comparison of treatment vs. control group means using SSA administrative earnings records. GAO calculated means and variances for each group and tested for significant differences at 5% level.</t>
        </is>
      </c>
      <c r="I8"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8" s="2" t="inlineStr">
        <is>
          <t>Earnings SEs: pooled standard errors reported directly in GAO Tables II.9-II.12. Employment SEs: computed as sqrt(pT*(1-pT)/nT + pC*(1-pC)/nC) from proportions and sample sizes, since GAO does not report employment standard errors.</t>
        </is>
      </c>
      <c r="K8" s="2" t="inlineStr">
        <is>
          <t>Exhibit 6.3, p. 165: incremental training cost to society = $1,316 per enrollee for female youths.</t>
        </is>
      </c>
      <c r="L8" s="2" t="inlineStr">
        <is>
          <t>FLAG: GAO sample (2,300 female youths) smaller than Orr's (2,657) due to exclusions. FLAG: No earnings or employment impacts significant at any horizon. FLAG: Female youth treatment group size drops to 1,592 at year 3 (footnote a, Table II.12).</t>
        </is>
      </c>
      <c r="M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N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8" t="inlineStr">
        <is>
          <t>public: JTPA Title II-A was funded entirely by federal block grants to states. No significant private funding of program operations.</t>
        </is>
      </c>
      <c r="T8"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U8" t="inlineStr">
        <is>
          <t>Female youths: median 4.3 months enrolled. Orr et al. 1994, Exhibit 3.18.</t>
        </is>
      </c>
      <c r="BK8" t="inlineStr">
        <is>
          <t>Exhibit 3.15, "All Subgroups" row, "Female youths" col (4), p. 64: T enrollment = 66.6%. Control barred from JTPA for 18 months (p. 57); C crossover rate not reported. program_uptake_impact recorded as T enrollment rate, program_uptake_control_mean left blank.</t>
        </is>
      </c>
      <c r="BL8" t="inlineStr">
        <is>
          <t>Exhibit 4.13, "Percentage receiving a service" panel, "Female youths" row, p. 101: T = 66.1%, C = 44.3%, Difference per Assignee = 21.8 pp (SE = 2.2%). "Any employment and training service" from any source.</t>
        </is>
      </c>
    </row>
    <row r="9" ht="86.40000000000001" customHeight="1">
      <c r="A9" s="2" t="inlineStr">
        <is>
          <t>National JTPA Study</t>
        </is>
      </c>
      <c r="B9" s="2" t="inlineStr">
        <is>
          <t>Male out-of-school youths</t>
        </is>
      </c>
      <c r="C9" s="2" t="inlineStr">
        <is>
          <t>SSA earnings records</t>
        </is>
      </c>
      <c r="D9"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9"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9" s="2" t="inlineStr">
        <is>
          <t>Sample size: GAO 1996, Table II.11, p. 25 (n_T=1,177, n_C=559). Randomization period: same as adults. Cost: Orr et al. 1994, Exhibit 6.3, p. 165 ($1,955 incremental per enrollee for male non-arrestee youths; GAO does not separate arrestees, so cost figure is approximate). GAO excluded NJS participants assigned after 1988 and those with poor SSA matches. Demographics: pct_white=55.8, pct_black=27.9, pct_hispanic=14.1, pct_no_hs_diploma=58.3 are weighted averages of Orr et al. 1994 Exhibit 3.12 non-arrestee (n=1,704) and arrestee (n=416) columns, since GAO pools all male youths. mean_age=18.9 from Bloom et al. 1993, Exhibit 3.14 (male youth assignees, which also pools arrestees and non-arrestees).</t>
        </is>
      </c>
      <c r="G9" s="2" t="inlineStr">
        <is>
          <t>Earnings: GAO 1996, Table II.3 (p. 21) and Table II.11 (p. 25). Year 1: T=$4,612, C=$4,792, impact=-$180, pooled SE=243, t=-0.74. Year 3: T=$6,130, C=$6,497, impact=-$367, pooled SE=338, t=-1.08. Year 5: T=$7,554, C=$6,778, impact=$776, pooled SE=413, t=1.88. Employment: Table II.7 (p. 23). Year 1: T=90.5%, C=92.1%, impact=-1.6pp. Year 3: T=82.2%, C=82.6%, impact=-0.4pp. Year 5: T=81.1%, C=77.5%, impact=3.6pp. Employment SEs computed from proportions and sample sizes.</t>
        </is>
      </c>
      <c r="H9" s="2" t="inlineStr">
        <is>
          <t>ITT comparison of treatment vs. control group means using SSA administrative earnings records. GAO calculated means and variances for each group and tested for significant differences at 5% level.</t>
        </is>
      </c>
      <c r="I9"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9" s="2" t="inlineStr">
        <is>
          <t>Earnings SEs: pooled standard errors reported directly in GAO Tables II.9-II.12. Employment SEs: computed as sqrt(pT*(1-pT)/nT + pC*(1-pC)/nC) from proportions and sample sizes, since GAO does not report employment standard errors.</t>
        </is>
      </c>
      <c r="K9" s="2" t="inlineStr">
        <is>
          <t>Exhibit 6.3, p. 165: incremental training cost to society = $1,955 per enrollee for male non-arrestee youths.</t>
        </is>
      </c>
      <c r="L9" s="2" t="inlineStr">
        <is>
          <t>FLAG: GAO does not separate male youth arrestees from non-arrestees, unlike Orr et al. 1994. This row now covers all male out-of-school youths (T=1,177, C=559), not just non-arrestees. FLAG: Cost figure ($1,955) from Orr is for non-arrestee youths; may not exactly match GAO's inclusive sample. FLAG: Negative earnings impacts in years 1-3 reverse to positive by year 5 ($776, t=1.88, p&lt;0.10). FLAG: Year 5 employment impact (3.6pp) also marginally significant.</t>
        </is>
      </c>
      <c r="M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N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9" t="inlineStr">
        <is>
          <t>public: JTPA Title II-A was funded entirely by federal block grants to states. No significant private funding of program operations.</t>
        </is>
      </c>
      <c r="T9"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U9" t="inlineStr">
        <is>
          <t>Male youth non-arrestees: median 3.2 months enrolled. Orr et al. 1994, Exhibit 3.18.</t>
        </is>
      </c>
      <c r="BK9" t="inlineStr">
        <is>
          <t>Exhibit 3.15, "All Subgroups" row, "Male youth non-arrestees" col (5), p. 64: T enrollment = 69.5%. Control barred from JTPA for 18 months (p. 57); C crossover rate not reported. program_uptake_impact recorded as T enrollment rate, program_uptake_control_mean left blank. Note: spreadsheet row is "Male out-of-school youths" which corresponds to non-arrestees in Orr et al.</t>
        </is>
      </c>
      <c r="BL9" t="inlineStr">
        <is>
          <t>Exhibit 4.13, "Percentage receiving a service" panel, "Male youth non-arrestees" row, p. 101: T = 62.7%, C = 34.6%, Difference per Assignee = 28.1 pp (SE = 2.8%). "Any employment and training service" from any source.</t>
        </is>
      </c>
    </row>
    <row r="10" ht="129.6" customHeight="1">
      <c r="A10" s="2" t="inlineStr">
        <is>
          <t>JOBSTART</t>
        </is>
      </c>
      <c r="B10" s="2" t="inlineStr">
        <is>
          <t>Atlanta Job Corps</t>
        </is>
      </c>
      <c r="C10" s="2" t="inlineStr">
        <is>
          <t>self-report (survey)</t>
        </is>
      </c>
      <c r="D10" s="2" t="inlineStr">
        <is>
          <t>Primary: JOBSTART's core components are basic education (GED prep) and occupational training. The program is explicitly modeled on Job Corps to provide classroom education and vocational training to school dropouts. Job placement is a secondary component.</t>
        </is>
      </c>
      <c r="E10"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0" s="2" t="inlineStr">
        <is>
          <t>Sample size: Table 5.13, p. 158 (n=69 total). Experimental count: Table 7.3, p. 191 (n=33). Demographics: Table 2.1, pp. 37-40, column 'Atlanta Job Corps'. Randomization period: Chapter 2, p. 31 ('August 1985...November 1987'). Follow-up rate: Chapter 2, p. 33 (84% overall). Cost: Table 7.3, p. 191. mean_age=18.4 estimated from Cave et al. 1993, Table 2.1 (p. 85-86): 76.8% age 16-19, 23.2% age 20-21, n=69. Used midpoints 17.75 (for 16-19, reflecting 17-21 eligibility) and 20.5 (for 20-21).</t>
        </is>
      </c>
      <c r="G10" s="2" t="inlineStr">
        <is>
          <t>Long-term (months 25-48): Table 5.12, p. 157, row 'Atlanta Job Corps', column 'Total Earnings, Months 25-48, Difference'. Impact=$2093, stars=''. Control mean from same table column 'Controls'=$10112. Medium-term (months 1-24): computed as months 1-48 minus months 25-48, both from Table 5.12, p. 157.</t>
        </is>
      </c>
      <c r="H10" s="2" t="inlineStr">
        <is>
          <t>Split-file linear analysis of covariance (ANCOVA) controlling for 19 pre-randomization characteristics within each site, not adjusted for cross-site differences (Table 5.12). Two-tailed t-test for within-site impacts.</t>
        </is>
      </c>
      <c r="I10"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0" s="2" t="inlineStr">
        <is>
          <t>No SEs reported for site-level impacts. Only significance stars (*** p&lt;0.01, ** p&lt;0.05, * p&lt;0.10) for select sites. SE derived from stars where available using SE = |impact| / Phi^-1(1-p/2). Months 1-24 impacts computed by subtraction; no significance test available.</t>
        </is>
      </c>
      <c r="K10" s="2" t="inlineStr">
        <is>
          <t>Table 7.3, p. 191: total cost per experimental = $4863 in 1986 dollars. Gross cost ≈ net cost because non-JOBSTART services for experimentals and controls were approximately equal (p. 193).</t>
        </is>
      </c>
      <c r="L10"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(n=69) limits statistical power. FLAG: Cost in 1986 dollars, not inflation-adjusted.</t>
        </is>
      </c>
      <c r="M10" t="inlineStr">
        <is>
          <t>Atlanta Job Corps center (public). Federal government-run vocational training. No CBO involvement, no employer engagement in curriculum design.</t>
        </is>
      </c>
      <c r="N10" t="inlineStr">
        <is>
          <t>Atlanta Job Corps center (public). Federal government-run vocational training. No CBO involvement, no employer engagement in curriculum design.</t>
        </is>
      </c>
      <c r="O10" t="inlineStr">
        <is>
          <t>Atlanta Job Corps center (public). Federal government-run vocational training. No CBO involvement, no employer engagement in curriculum design.</t>
        </is>
      </c>
      <c r="P10" t="inlineStr">
        <is>
          <t>Atlanta Job Corps center (public). Federal government-run vocational training. No CBO involvement, no employer engagement in curriculum design.</t>
        </is>
      </c>
      <c r="Q10" t="inlineStr">
        <is>
          <t>Atlanta Job Corps center (public). Federal government-run vocational training. No CBO involvement, no employer engagement in curriculum design.</t>
        </is>
      </c>
      <c r="R10" t="inlineStr">
        <is>
          <t>Atlanta Job Corps center (public). Federal government-run vocational training. No CBO involvement, no employer engagement in curriculum design.</t>
        </is>
      </c>
      <c r="S10" t="inlineStr">
        <is>
          <t>mixed: JOBSTART was funded jointly by the U.S. Department of Labor and the Ford Foundation, with some additional local public and private funds at specific sites. Neither sector was clearly dominant in program operational funding.</t>
        </is>
      </c>
      <c r="T10" t="inlineStr">
        <is>
          <t>public: Atlanta Job Corps center is a federally operated Job Corps facility.</t>
        </is>
      </c>
      <c r="U10" t="inlineStr">
        <is>
          <t>All JOBSTART sites pooled: avg length of stay 6.8 months. Cave et al. 1993.</t>
        </is>
      </c>
      <c r="BK10"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L10"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1" ht="129.6" customHeight="1">
      <c r="A11" s="2" t="inlineStr">
        <is>
          <t>JOBSTART</t>
        </is>
      </c>
      <c r="B11" s="2" t="inlineStr">
        <is>
          <t>CET/San Jose</t>
        </is>
      </c>
      <c r="C11" s="2" t="inlineStr">
        <is>
          <t>self-report (survey)</t>
        </is>
      </c>
      <c r="D11" s="2" t="inlineStr">
        <is>
          <t>Primary: JOBSTART's core components are basic education (GED prep) and occupational training. The program is explicitly modeled on Job Corps to provide classroom education and vocational training to school dropouts. Job placement is a secondary component.</t>
        </is>
      </c>
      <c r="E11"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1" s="2" t="inlineStr">
        <is>
          <t>Sample size: Table 5.13, p. 158 (n=167 total). Experimental count: Table 7.3, p. 191 (n=84). Demographics: Table 2.1, pp. 37-40, column 'CET'. Randomization period: Chapter 2, p. 31 ('August 1985...November 1987'). Follow-up rate: Chapter 2, p. 33 (84% overall). Cost: Table 7.3, p. 191. mean_age=18.4 estimated from Cave et al. 1993, Table 2.1 (p. 85-86): 77.8% age 16-19, 22.2% age 20-21, n=167. Used midpoints 17.75 (for 16-19, reflecting 17-21 eligibility) and 20.5 (for 20-21).</t>
        </is>
      </c>
      <c r="G11" s="2" t="inlineStr">
        <is>
          <t>Long-term (months 25-48): Table 5.12, p. 157, row 'CET/San Jose', column 'Total Earnings, Months 25-48, Difference'. Impact=$6547, stars='***'. Control mean from same table column 'Controls'=$12362. Medium-term (months 1-24): computed as months 1-48 minus months 25-48, both from Table 5.12, p. 157.</t>
        </is>
      </c>
      <c r="H11" s="2" t="inlineStr">
        <is>
          <t>Split-file linear analysis of covariance (ANCOVA) controlling for 19 pre-randomization characteristics within each site, not adjusted for cross-site differences (Table 5.12). Two-tailed t-test for within-site impacts.</t>
        </is>
      </c>
      <c r="I11"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1" s="2" t="inlineStr">
        <is>
          <t>No SEs reported for site-level impacts. Only significance stars (*** p&lt;0.01, ** p&lt;0.05, * p&lt;0.10) for select sites. SE derived from stars where available using SE = |impact| / Phi^-1(1-p/2). Months 1-24 impacts computed by subtraction; no significance test available.</t>
        </is>
      </c>
      <c r="K11" s="2" t="inlineStr">
        <is>
          <t>Table 7.3, p. 191: total cost per experimental = $2034 in 1986 dollars. Gross cost ≈ net cost because non-JOBSTART services for experimentals and controls were approximately equal (p. 193).</t>
        </is>
      </c>
      <c r="L11"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(n=167) limits statistical power. FLAG: Cost in 1986 dollars, not inflation-adjusted.</t>
        </is>
      </c>
      <c r="M11" t="inlineStr">
        <is>
          <t>CET (Center for Employment Training) is a community-based organization. admin=private in extraction.</t>
        </is>
      </c>
      <c r="N11" t="inlineStr">
        <is>
          <t>No staffing agency involvement mentioned in Cave et al. 1993.</t>
        </is>
      </c>
      <c r="O11" t="inlineStr">
        <is>
          <t>CET model integrates training in 'occupations in demand in local labor market' with 'strong employer linkages' (Cave et al. 1993, Table 2.1). Employers engaged with curricula.</t>
        </is>
      </c>
      <c r="P11" t="inlineStr">
        <is>
          <t>CET provided job placement assistance as part of its integrated model.</t>
        </is>
      </c>
      <c r="Q11" t="inlineStr">
        <is>
          <t>CET model is known for employer involvement in curriculum design — training occupations determined by local labor market demand with employer input.</t>
        </is>
      </c>
      <c r="R11" t="inlineStr">
        <is>
          <t>No formal employer commitment to hire documented. Strong linkages but not binding commitments.</t>
        </is>
      </c>
      <c r="S11" t="inlineStr">
        <is>
          <t>mixed: JOBSTART was funded jointly by the U.S. Department of Labor and the Ford Foundation, with some additional local public and private funds at specific sites. Neither sector was clearly dominant in program operational funding.</t>
        </is>
      </c>
      <c r="T11" t="inlineStr">
        <is>
          <t>private: CET/San Jose is a nonprofit community-based organization.</t>
        </is>
      </c>
      <c r="U11" t="inlineStr">
        <is>
          <t>CET/San Jose JOBSTART site: using pooled avg 6.8 months (site-specific not reported). Cave et al. 1993.</t>
        </is>
      </c>
      <c r="BK11"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L11"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2" ht="129.6" customHeight="1">
      <c r="A12" s="2" t="inlineStr">
        <is>
          <t>JOBSTART</t>
        </is>
      </c>
      <c r="B12" s="2" t="inlineStr">
        <is>
          <t>Chicago Commons</t>
        </is>
      </c>
      <c r="C12" s="2" t="inlineStr">
        <is>
          <t>self-report (survey)</t>
        </is>
      </c>
      <c r="D12" s="2" t="inlineStr">
        <is>
          <t>Primary: JOBSTART's core components are basic education (GED prep) and occupational training. The program is explicitly modeled on Job Corps to provide classroom education and vocational training to school dropouts. Job placement is a secondary component.</t>
        </is>
      </c>
      <c r="E12"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2" s="2" t="inlineStr">
        <is>
          <t>Sample size: Table 5.13, p. 158 (n=75 total). Experimental count: Table 7.3, p. 191 (n=40). Demographics: Table 2.1, pp. 37-40, column 'Chicago Commons'. Randomization period: Chapter 2, p. 31 ('August 1985...November 1987'). Follow-up rate: Chapter 2, p. 33 (84% overall). Cost: Table 7.3, p. 191. mean_age=19.3 estimated from Cave et al. 1993, Table 2.1 (p. 85-86): 42.7% age 16-19, 57.3% age 20-21, n=75. Used midpoints 17.75 (for 16-19, reflecting 17-21 eligibility) and 20.5 (for 20-21).</t>
        </is>
      </c>
      <c r="G12" s="2" t="inlineStr">
        <is>
          <t>Long-term (months 25-48): Table 5.12, p. 157, row 'Chicago Commons', column 'Total Earnings, Months 25-48, Difference'. Impact=$-1417, stars=''. Control mean from same table column 'Controls'=$11726. Medium-term (months 1-24): computed as months 1-48 minus months 25-48, both from Table 5.12, p. 157.</t>
        </is>
      </c>
      <c r="H12" s="2" t="inlineStr">
        <is>
          <t>Split-file linear analysis of covariance (ANCOVA) controlling for 19 pre-randomization characteristics within each site, not adjusted for cross-site differences (Table 5.12). Two-tailed t-test for within-site impacts.</t>
        </is>
      </c>
      <c r="I12"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2" s="2" t="inlineStr">
        <is>
          <t>No SEs reported for site-level impacts. Only significance stars (*** p&lt;0.01, ** p&lt;0.05, * p&lt;0.10) for select sites. SE derived from stars where available using SE = |impact| / Phi^-1(1-p/2). Months 1-24 impacts computed by subtraction; no significance test available.</t>
        </is>
      </c>
      <c r="K12" s="2" t="inlineStr">
        <is>
          <t>Table 7.3, p. 191: total cost per experimental = $6477 in 1986 dollars. Gross cost ≈ net cost because non-JOBSTART services for experimentals and controls were approximately equal (p. 193).</t>
        </is>
      </c>
      <c r="L12"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(n=75) limits statistical power. FLAG: Cost in 1986 dollars, not inflation-adjusted.</t>
        </is>
      </c>
      <c r="M12" t="inlineStr">
        <is>
          <t>Chicago Commons is a community-based organization (admin=private).</t>
        </is>
      </c>
      <c r="N12" t="inlineStr">
        <is>
          <t>No staffing agency partnerships described (Cave et al. 1993).</t>
        </is>
      </c>
      <c r="O12" t="inlineStr">
        <is>
          <t>Chicago Commons had 'strong ties to local employers' but no evidence employers designed curricula (Cave et al. 1993, pp. 68-69).</t>
        </is>
      </c>
      <c r="P12" t="inlineStr">
        <is>
          <t>Strong job placement: 'placement specialists provided leads and assistance in finding a job' and 'especially strong ties to local employers' (Cave et al. 1993, p. 68).</t>
        </is>
      </c>
      <c r="Q12" t="inlineStr">
        <is>
          <t>Training was occupational and partially integrated, but no evidence employers designed curriculum content (Cave et al. 1993).</t>
        </is>
      </c>
      <c r="R12" t="inlineStr">
        <is>
          <t>No employer hiring commitments described (Cave et al. 1993).</t>
        </is>
      </c>
      <c r="S12" t="inlineStr">
        <is>
          <t>mixed: JOBSTART was funded jointly by the U.S. Department of Labor and the Ford Foundation, with some additional local public and private funds at specific sites. Neither sector was clearly dominant in program operational funding.</t>
        </is>
      </c>
      <c r="T12" t="inlineStr">
        <is>
          <t>private: Chicago Commons is a nonprofit settlement house.</t>
        </is>
      </c>
      <c r="U12" t="inlineStr">
        <is>
          <t>Chicago Commons JOBSTART: using pooled avg 6.8 months. Cave et al. 1993.</t>
        </is>
      </c>
      <c r="BK12"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L12"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3" ht="129.6" customHeight="1">
      <c r="A13" s="2" t="inlineStr">
        <is>
          <t>JOBSTART</t>
        </is>
      </c>
      <c r="B13" s="2" t="inlineStr">
        <is>
          <t>Connelley Skill Learning Center</t>
        </is>
      </c>
      <c r="C13" s="2" t="inlineStr">
        <is>
          <t>self-report (survey)</t>
        </is>
      </c>
      <c r="D13" s="2" t="inlineStr">
        <is>
          <t>Primary: JOBSTART's core components are basic education (GED prep) and occupational training. The program is explicitly modeled on Job Corps to provide classroom education and vocational training to school dropouts. Job placement is a secondary component.</t>
        </is>
      </c>
      <c r="E13"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3" s="2" t="inlineStr">
        <is>
          <t>Sample size: Table 5.13, p. 158 (n=184 total). Experimental count: Table 7.3, p. 191 (n=91). Demographics: Table 2.1, pp. 37-40, column 'Connelley Skill Learning Center'. Randomization period: Chapter 2, p. 31 ('August 1985...November 1987'). Follow-up rate: Chapter 2, p. 33 (84% overall). Cost: Table 7.3, p. 191. mean_age=19.0 estimated from Cave et al. 1993, Table 2.1 (p. 85-86): 53.8% age 16-19, 46.2% age 20-21, n=184. Used midpoints 17.75 (for 16-19, reflecting 17-21 eligibility) and 20.5 (for 20-21).</t>
        </is>
      </c>
      <c r="G13" s="2" t="inlineStr">
        <is>
          <t>Long-term (months 25-48): Table 5.12, p. 157, row 'Connelley Skill Learning Center', column 'Total Earnings, Months 25-48, Difference'. Impact=$785, stars=''. Control mean from same table column 'Controls'=$6685. Medium-term (months 1-24): computed as months 1-48 minus months 25-48, both from Table 5.12, p. 157.</t>
        </is>
      </c>
      <c r="H13" s="2" t="inlineStr">
        <is>
          <t>Split-file linear analysis of covariance (ANCOVA) controlling for 19 pre-randomization characteristics within each site, not adjusted for cross-site differences (Table 5.12). Two-tailed t-test for within-site impacts.</t>
        </is>
      </c>
      <c r="I13"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3" s="2" t="inlineStr">
        <is>
          <t>No SEs reported for site-level impacts. Only significance stars (*** p&lt;0.01, ** p&lt;0.05, * p&lt;0.10) for select sites. SE derived from stars where available using SE = |impact| / Phi^-1(1-p/2). Months 1-24 impacts computed by subtraction; no significance test available.</t>
        </is>
      </c>
      <c r="K13" s="2" t="inlineStr">
        <is>
          <t>Table 7.3, p. 191: total cost per experimental = $5185 in 1986 dollars. Gross cost ≈ net cost because non-JOBSTART services for experimentals and controls were approximately equal (p. 193).</t>
        </is>
      </c>
      <c r="L13"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(n=184) limits statistical power. FLAG: Cost in 1986 dollars, not inflation-adjusted.</t>
        </is>
      </c>
      <c r="M13" t="inlineStr">
        <is>
          <t>Public vocational school/skills center (admin=public). No CBO, no employer engagement in curriculum documented in Cave et al. 1993.</t>
        </is>
      </c>
      <c r="N13" t="inlineStr">
        <is>
          <t>Public vocational school/skills center (admin=public). No CBO, no employer engagement in curriculum documented in Cave et al. 1993.</t>
        </is>
      </c>
      <c r="O13" t="inlineStr">
        <is>
          <t>Public vocational school/skills center (admin=public). No CBO, no employer engagement in curriculum documented in Cave et al. 1993.</t>
        </is>
      </c>
      <c r="P13" t="inlineStr">
        <is>
          <t>Public vocational school/skills center (admin=public). No CBO, no employer engagement in curriculum documented in Cave et al. 1993.</t>
        </is>
      </c>
      <c r="Q13" t="inlineStr">
        <is>
          <t>Public vocational school/skills center (admin=public). No CBO, no employer engagement in curriculum documented in Cave et al. 1993.</t>
        </is>
      </c>
      <c r="R13" t="inlineStr">
        <is>
          <t>Public vocational school/skills center (admin=public). No CBO, no employer engagement in curriculum documented in Cave et al. 1993.</t>
        </is>
      </c>
      <c r="S13" t="inlineStr">
        <is>
          <t>mixed: JOBSTART was funded jointly by the U.S. Department of Labor and the Ford Foundation, with some additional local public and private funds at specific sites. Neither sector was clearly dominant in program operational funding.</t>
        </is>
      </c>
      <c r="T13" t="inlineStr">
        <is>
          <t>public: Connelley Skill Learning Center is a public vocational school in Pittsburgh.</t>
        </is>
      </c>
      <c r="U13" t="inlineStr">
        <is>
          <t>Connelley JOBSTART: using pooled avg 6.8 months. Cave et al. 1993.</t>
        </is>
      </c>
      <c r="BK13"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L13"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4" ht="129.6" customHeight="1">
      <c r="A14" s="2" t="inlineStr">
        <is>
          <t>JOBSTART</t>
        </is>
      </c>
      <c r="B14" s="2" t="inlineStr">
        <is>
          <t>East LA Skills Center</t>
        </is>
      </c>
      <c r="C14" s="2" t="inlineStr">
        <is>
          <t>self-report (survey)</t>
        </is>
      </c>
      <c r="D14" s="2" t="inlineStr">
        <is>
          <t>Primary: JOBSTART's core components are basic education (GED prep) and occupational training. The program is explicitly modeled on Job Corps to provide classroom education and vocational training to school dropouts. Job placement is a secondary component.</t>
        </is>
      </c>
      <c r="E14"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4" s="2" t="inlineStr">
        <is>
          <t>Sample size: Table 5.13, p. 158 (n=106 total). Experimental count: Table 7.3, p. 191 (n=50). Demographics: Table 2.1, pp. 37-40, column 'East LA Skills Center'. Randomization period: Chapter 2, p. 31 ('August 1985...November 1987'). Follow-up rate: Chapter 2, p. 33 (84% overall). Cost: Table 7.3, p. 191. mean_age=18.3 estimated from Cave et al. 1993, Table 2.1 (p. 85-86): 78.3% age 16-19, 21.7% age 20-21, n=106. Used midpoints 17.75 (for 16-19, reflecting 17-21 eligibility) and 20.5 (for 20-21).</t>
        </is>
      </c>
      <c r="G14" s="2" t="inlineStr">
        <is>
          <t>Long-term (months 25-48): Table 5.12, p. 157, row 'East LA Skills Center', column 'Total Earnings, Months 25-48, Difference'. Impact=$1343, stars=''. Control mean from same table column 'Controls'=$13158. Medium-term (months 1-24): computed as months 1-48 minus months 25-48, both from Table 5.12, p. 157.</t>
        </is>
      </c>
      <c r="H14" s="2" t="inlineStr">
        <is>
          <t>Split-file linear analysis of covariance (ANCOVA) controlling for 19 pre-randomization characteristics within each site, not adjusted for cross-site differences (Table 5.12). Two-tailed t-test for within-site impacts.</t>
        </is>
      </c>
      <c r="I14"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4" s="2" t="inlineStr">
        <is>
          <t>No SEs reported for site-level impacts. Only significance stars (*** p&lt;0.01, ** p&lt;0.05, * p&lt;0.10) for select sites. SE derived from stars where available using SE = |impact| / Phi^-1(1-p/2). Months 1-24 impacts computed by subtraction; no significance test available.</t>
        </is>
      </c>
      <c r="K14" s="2" t="inlineStr">
        <is>
          <t>Table 7.3, p. 191: total cost per experimental = $4887 in 1986 dollars. Gross cost ≈ net cost because non-JOBSTART services for experimentals and controls were approximately equal (p. 193).</t>
        </is>
      </c>
      <c r="L14"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(n=106) limits statistical power. FLAG: Cost in 1986 dollars, not inflation-adjusted.</t>
        </is>
      </c>
      <c r="M14" t="inlineStr">
        <is>
          <t>Public vocational school/skills center (admin=public). No CBO, no employer engagement in curriculum documented in Cave et al. 1993.</t>
        </is>
      </c>
      <c r="N14" t="inlineStr">
        <is>
          <t>Public vocational school/skills center (admin=public). No CBO, no employer engagement in curriculum documented in Cave et al. 1993.</t>
        </is>
      </c>
      <c r="O14" t="inlineStr">
        <is>
          <t>Public vocational school/skills center (admin=public). No CBO, no employer engagement in curriculum documented in Cave et al. 1993.</t>
        </is>
      </c>
      <c r="P14" t="inlineStr">
        <is>
          <t>Public vocational school/skills center (admin=public). No CBO, no employer engagement in curriculum documented in Cave et al. 1993.</t>
        </is>
      </c>
      <c r="Q14" t="inlineStr">
        <is>
          <t>Public vocational school/skills center (admin=public). No CBO, no employer engagement in curriculum documented in Cave et al. 1993.</t>
        </is>
      </c>
      <c r="R14" t="inlineStr">
        <is>
          <t>Public vocational school/skills center (admin=public). No CBO, no employer engagement in curriculum documented in Cave et al. 1993.</t>
        </is>
      </c>
      <c r="S14" t="inlineStr">
        <is>
          <t>mixed: JOBSTART was funded jointly by the U.S. Department of Labor and the Ford Foundation, with some additional local public and private funds at specific sites. Neither sector was clearly dominant in program operational funding.</t>
        </is>
      </c>
      <c r="T14" t="inlineStr">
        <is>
          <t>public: East LA Skills Center is a public adult education center.</t>
        </is>
      </c>
      <c r="U14" t="inlineStr">
        <is>
          <t>East LA JOBSTART: using pooled avg 6.8 months. Cave et al. 1993.</t>
        </is>
      </c>
      <c r="BK14"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L14"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5" ht="129.6" customHeight="1">
      <c r="A15" s="2" t="inlineStr">
        <is>
          <t>JOBSTART</t>
        </is>
      </c>
      <c r="B15" s="2" t="inlineStr">
        <is>
          <t>EGOS (Denver)</t>
        </is>
      </c>
      <c r="C15" s="2" t="inlineStr">
        <is>
          <t>self-report (survey)</t>
        </is>
      </c>
      <c r="D15" s="2" t="inlineStr">
        <is>
          <t>Primary: JOBSTART's core components are basic education (GED prep) and occupational training. The program is explicitly modeled on Job Corps to provide classroom education and vocational training to school dropouts. Job placement is a secondary component.</t>
        </is>
      </c>
      <c r="E15"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5" s="2" t="inlineStr">
        <is>
          <t>Sample size: Table 5.13, p. 158 (n=198 total). Experimental count: Table 7.3, p. 191 (n=103). Demographics: Table 2.1, pp. 37-40, column 'EGOS (Denver)'. Randomization period: Chapter 2, p. 31 ('August 1985...November 1987'). Follow-up rate: Chapter 2, p. 33 (84% overall). Cost: Table 7.3, p. 191. mean_age=18.4 estimated from Cave et al. 1993, Table 2.1 (p. 85-86): 76.3% age 16-19, 23.7% age 20-21, n=198. Used midpoints 17.75 (for 16-19, reflecting 17-21 eligibility) and 20.5 (for 20-21).</t>
        </is>
      </c>
      <c r="G15" s="2" t="inlineStr">
        <is>
          <t>Long-term (months 25-48): Table 5.12, p. 157, row 'EGOS (Denver)', column 'Total Earnings, Months 25-48, Difference'. Impact=$401, stars=''. Control mean from same table column 'Controls'=$10690. Medium-term (months 1-24): computed as months 1-48 minus months 25-48, both from Table 5.12, p. 157.</t>
        </is>
      </c>
      <c r="H15" s="2" t="inlineStr">
        <is>
          <t>Split-file linear analysis of covariance (ANCOVA) controlling for 19 pre-randomization characteristics within each site, not adjusted for cross-site differences (Table 5.12). Two-tailed t-test for within-site impacts.</t>
        </is>
      </c>
      <c r="I15"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5" s="2" t="inlineStr">
        <is>
          <t>No SEs reported for site-level impacts. Only significance stars (*** p&lt;0.01, ** p&lt;0.05, * p&lt;0.10) for select sites. SE derived from stars where available using SE = |impact| / Phi^-1(1-p/2). Months 1-24 impacts computed by subtraction; no significance test available.</t>
        </is>
      </c>
      <c r="K15" s="2" t="inlineStr">
        <is>
          <t>Table 7.3, p. 191: total cost per experimental = $2100 in 1986 dollars. Gross cost ≈ net cost because non-JOBSTART services for experimentals and controls were approximately equal (p. 193).</t>
        </is>
      </c>
      <c r="L15"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(n=198) limits statistical power. FLAG: Cost in 1986 dollars, not inflation-adjusted.</t>
        </is>
      </c>
      <c r="M15" t="inlineStr">
        <is>
          <t>Public vocational school/skills center (admin=public). No CBO, no employer engagement in curriculum documented in Cave et al. 1993.</t>
        </is>
      </c>
      <c r="N15" t="inlineStr">
        <is>
          <t>Public vocational school/skills center (admin=public). No CBO, no employer engagement in curriculum documented in Cave et al. 1993.</t>
        </is>
      </c>
      <c r="O15" t="inlineStr">
        <is>
          <t>Public vocational school/skills center (admin=public). No CBO, no employer engagement in curriculum documented in Cave et al. 1993.</t>
        </is>
      </c>
      <c r="P15" t="inlineStr">
        <is>
          <t>Public vocational school/skills center (admin=public). No CBO, no employer engagement in curriculum documented in Cave et al. 1993.</t>
        </is>
      </c>
      <c r="Q15" t="inlineStr">
        <is>
          <t>Public vocational school/skills center (admin=public). No CBO, no employer engagement in curriculum documented in Cave et al. 1993.</t>
        </is>
      </c>
      <c r="R15" t="inlineStr">
        <is>
          <t>Public vocational school/skills center (admin=public). No CBO, no employer engagement in curriculum documented in Cave et al. 1993.</t>
        </is>
      </c>
      <c r="S15" t="inlineStr">
        <is>
          <t>mixed: JOBSTART was funded jointly by the U.S. Department of Labor and the Ford Foundation, with some additional local public and private funds at specific sites. Neither sector was clearly dominant in program operational funding.</t>
        </is>
      </c>
      <c r="T15" t="inlineStr">
        <is>
          <t>public: EGOS (Employment and Guidance Opportunities for Students) operated through Denver public schools.</t>
        </is>
      </c>
      <c r="U15" t="inlineStr">
        <is>
          <t>EGOS (Denver) JOBSTART: using pooled avg 6.8 months. Cave et al. 1993.</t>
        </is>
      </c>
      <c r="BK15"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L15"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6" ht="129.6" customHeight="1">
      <c r="A16" s="2" t="inlineStr">
        <is>
          <t>JOBSTART</t>
        </is>
      </c>
      <c r="B16" s="2" t="inlineStr">
        <is>
          <t>Phoenix Job Corps</t>
        </is>
      </c>
      <c r="C16" s="2" t="inlineStr">
        <is>
          <t>self-report (survey)</t>
        </is>
      </c>
      <c r="D16" s="2" t="inlineStr">
        <is>
          <t>Primary: JOBSTART's core components are basic education (GED prep) and occupational training. The program is explicitly modeled on Job Corps to provide classroom education and vocational training to school dropouts. Job placement is a secondary component.</t>
        </is>
      </c>
      <c r="E16"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6" s="2" t="inlineStr">
        <is>
          <t>Sample size: Table 5.13, p. 158 (n=134 total). Experimental count: Table 7.3, p. 191 (n=70). Demographics: Table 2.1, pp. 37-40, column 'Phoenix Job Corps'. Randomization period: Chapter 2, p. 31 ('August 1985...November 1987'). Follow-up rate: Chapter 2, p. 33 (84% overall). Cost: Table 7.3, p. 191. mean_age=18.1 estimated from Cave et al. 1993, Table 2.1 (p. 85-86): 85.8% age 16-19, 14.2% age 20-21, n=134. Used midpoints 17.75 (for 16-19, reflecting 17-21 eligibility) and 20.5 (for 20-21).</t>
        </is>
      </c>
      <c r="G16" s="2" t="inlineStr">
        <is>
          <t>Long-term (months 25-48): Table 5.12, p. 157, row 'Phoenix Job Corps', column 'Total Earnings, Months 25-48, Difference'. Impact=$-1325, stars=''. Control mean from same table column 'Controls'=$8198. Medium-term (months 1-24): computed as months 1-48 minus months 25-48, both from Table 5.12, p. 157.</t>
        </is>
      </c>
      <c r="H16" s="2" t="inlineStr">
        <is>
          <t>Split-file linear analysis of covariance (ANCOVA) controlling for 19 pre-randomization characteristics within each site, not adjusted for cross-site differences (Table 5.12). Two-tailed t-test for within-site impacts.</t>
        </is>
      </c>
      <c r="I16"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6" s="2" t="inlineStr">
        <is>
          <t>No SEs reported for site-level impacts. Only significance stars (*** p&lt;0.01, ** p&lt;0.05, * p&lt;0.10) for select sites. SE derived from stars where available using SE = |impact| / Phi^-1(1-p/2). Months 1-24 impacts computed by subtraction; no significance test available.</t>
        </is>
      </c>
      <c r="K16" s="2" t="inlineStr">
        <is>
          <t>Table 7.3, p. 191: total cost per experimental = $5313 in 1986 dollars. Gross cost ≈ net cost because non-JOBSTART services for experimentals and controls were approximately equal (p. 193).</t>
        </is>
      </c>
      <c r="L16"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(n=134) limits statistical power. FLAG: Cost in 1986 dollars, not inflation-adjusted.</t>
        </is>
      </c>
      <c r="M16" t="inlineStr">
        <is>
          <t>Phoenix Job Corps center (public). Federal government program.</t>
        </is>
      </c>
      <c r="N16" t="inlineStr">
        <is>
          <t>Phoenix Job Corps center (public). Federal government program.</t>
        </is>
      </c>
      <c r="O16" t="inlineStr">
        <is>
          <t>Phoenix Job Corps center (public). Federal government program.</t>
        </is>
      </c>
      <c r="P16" t="inlineStr">
        <is>
          <t>Phoenix Job Corps center (public). Federal government program.</t>
        </is>
      </c>
      <c r="Q16" t="inlineStr">
        <is>
          <t>Phoenix Job Corps center (public). Federal government program.</t>
        </is>
      </c>
      <c r="R16" t="inlineStr">
        <is>
          <t>Phoenix Job Corps center (public). Federal government program.</t>
        </is>
      </c>
      <c r="S16" t="inlineStr">
        <is>
          <t>mixed: JOBSTART was funded jointly by the U.S. Department of Labor and the Ford Foundation, with some additional local public and private funds at specific sites. Neither sector was clearly dominant in program operational funding.</t>
        </is>
      </c>
      <c r="T16" t="inlineStr">
        <is>
          <t>public: Phoenix Job Corps is a federally funded Job Corps center.</t>
        </is>
      </c>
      <c r="U16" t="inlineStr">
        <is>
          <t>Phoenix Job Corps JOBSTART: using pooled avg 6.8 months. Cave et al. 1993.</t>
        </is>
      </c>
      <c r="BK16"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L16"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7" ht="129.6" customHeight="1">
      <c r="A17" s="2" t="inlineStr">
        <is>
          <t>JOBSTART</t>
        </is>
      </c>
      <c r="B17" s="2" t="inlineStr">
        <is>
          <t>SER/Corpus Christi</t>
        </is>
      </c>
      <c r="C17" s="2" t="inlineStr">
        <is>
          <t>self-report (survey)</t>
        </is>
      </c>
      <c r="D17" s="2" t="inlineStr">
        <is>
          <t>Primary: JOBSTART's core components are basic education (GED prep) and occupational training. The program is explicitly modeled on Job Corps to provide classroom education and vocational training to school dropouts. Job placement is a secondary component.</t>
        </is>
      </c>
      <c r="E17"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7" s="2" t="inlineStr">
        <is>
          <t>Sample size: Table 5.13, p. 158 (n=247 total). Experimental count: Table 7.3, p. 191 (n=125). Demographics: Table 2.1, pp. 37-40, column 'SER'. Randomization period: Chapter 2, p. 31 ('August 1985...November 1987'). Follow-up rate: Chapter 2, p. 33 (84% overall). Cost: Table 7.3, p. 191. mean_age=18.6 estimated from Cave et al. 1993, Table 2.1 (p. 85-86): 70.4% age 16-19, 29.6% age 20-21, n=247. Used midpoints 17.75 (for 16-19, reflecting 17-21 eligibility) and 20.5 (for 20-21).</t>
        </is>
      </c>
      <c r="G17" s="2" t="inlineStr">
        <is>
          <t>Long-term (months 25-48): Table 5.12, p. 157, row 'SER/Corpus Christi', column 'Total Earnings, Months 25-48, Difference'. Impact=$485, stars=''. Control mean from same table column 'Controls'=$7992. Medium-term (months 1-24): computed as months 1-48 minus months 25-48, both from Table 5.12, p. 157.</t>
        </is>
      </c>
      <c r="H17" s="2" t="inlineStr">
        <is>
          <t>Split-file linear analysis of covariance (ANCOVA) controlling for 19 pre-randomization characteristics within each site, not adjusted for cross-site differences (Table 5.12). Two-tailed t-test for within-site impacts.</t>
        </is>
      </c>
      <c r="I17"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7" s="2" t="inlineStr">
        <is>
          <t>No SEs reported for site-level impacts. Only significance stars (*** p&lt;0.01, ** p&lt;0.05, * p&lt;0.10) for select sites. SE derived from stars where available using SE = |impact| / Phi^-1(1-p/2). Months 1-24 impacts computed by subtraction; no significance test available.</t>
        </is>
      </c>
      <c r="K17" s="2" t="inlineStr">
        <is>
          <t>Table 7.3, p. 191: total cost per experimental = $2098 in 1986 dollars. Gross cost ≈ net cost because non-JOBSTART services for experimentals and controls were approximately equal (p. 193).</t>
        </is>
      </c>
      <c r="L17"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(n=247) limits statistical power. FLAG: Cost in 1986 dollars, not inflation-adjusted.</t>
        </is>
      </c>
      <c r="M17" t="inlineStr">
        <is>
          <t>SER/Jobs for Progress is a community-based organization (admin=private).</t>
        </is>
      </c>
      <c r="N17" t="inlineStr">
        <is>
          <t>No staffing agency partnerships described (Cave et al. 1993).</t>
        </is>
      </c>
      <c r="O17" t="inlineStr">
        <is>
          <t>No employer engagement in curricula documented (Cave et al. 1993).</t>
        </is>
      </c>
      <c r="P17" t="inlineStr">
        <is>
          <t>Job placement 'noticeably weaker' at SER/Corpus Christi; site 'lacked any or sufficient in-house job development specialists' (Cave et al. 1993, p. 69).</t>
        </is>
      </c>
      <c r="Q17" t="inlineStr">
        <is>
          <t>No employer curriculum role described (Cave et al. 1993).</t>
        </is>
      </c>
      <c r="R17" t="inlineStr">
        <is>
          <t>No employer hiring commitments described (Cave et al. 1993).</t>
        </is>
      </c>
      <c r="S17" t="inlineStr">
        <is>
          <t>mixed: JOBSTART was funded jointly by the U.S. Department of Labor and the Ford Foundation, with some additional local public and private funds at specific sites. Neither sector was clearly dominant in program operational funding.</t>
        </is>
      </c>
      <c r="T17" t="inlineStr">
        <is>
          <t>private: SER-Jobs for Progress/Corpus Christi is a nonprofit community organization.</t>
        </is>
      </c>
      <c r="U17" t="inlineStr">
        <is>
          <t>SER/Corpus Christi JOBSTART: using pooled avg 6.8 months. Cave et al. 1993.</t>
        </is>
      </c>
      <c r="BK17"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L17"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8" ht="129.6" customHeight="1">
      <c r="A18" s="2" t="inlineStr">
        <is>
          <t>JOBSTART</t>
        </is>
      </c>
      <c r="B18" s="2" t="inlineStr">
        <is>
          <t>El Centro Community College</t>
        </is>
      </c>
      <c r="C18" s="2" t="inlineStr">
        <is>
          <t>self-report (survey)</t>
        </is>
      </c>
      <c r="D18" s="2" t="inlineStr">
        <is>
          <t>Primary: JOBSTART's core components are basic education (GED prep) and occupational training. The program is explicitly modeled on Job Corps to provide classroom education and vocational training to school dropouts. Job placement is a secondary component.</t>
        </is>
      </c>
      <c r="E18"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8" s="2" t="inlineStr">
        <is>
          <t>Sample size: Table 5.13, p. 158 (n=179 total). Experimental count: Table 7.3, p. 191 (n=93). Demographics: Table 2.1, pp. 37-40, column 'El Centro Community College'. Randomization period: Chapter 2, p. 31 ('August 1985...November 1987'). Follow-up rate: Chapter 2, p. 33 (84% overall). Cost: Table 7.3, p. 191. mean_age=18.3 estimated from Cave et al. 1993, Table 2.1 (p. 85-86): 79.3% age 16-19, 20.7% age 20-21, n=179. Used midpoints 17.75 (for 16-19, reflecting 17-21 eligibility) and 20.5 (for 20-21).</t>
        </is>
      </c>
      <c r="G18" s="2" t="inlineStr">
        <is>
          <t>Long-term (months 25-48): Table 5.12, p. 157, row 'El Centro Community College', column 'Total Earnings, Months 25-48, Difference'. Impact=$336, stars=''. Control mean from same table column 'Controls'=$11057. Medium-term (months 1-24): computed as months 1-48 minus months 25-48, both from Table 5.12, p. 157.</t>
        </is>
      </c>
      <c r="H18" s="2" t="inlineStr">
        <is>
          <t>Split-file linear analysis of covariance (ANCOVA) controlling for 19 pre-randomization characteristics within each site, not adjusted for cross-site differences (Table 5.12). Two-tailed t-test for within-site impacts.</t>
        </is>
      </c>
      <c r="I18"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8" s="2" t="inlineStr">
        <is>
          <t>No SEs reported for site-level impacts. Only significance stars (*** p&lt;0.01, ** p&lt;0.05, * p&lt;0.10) for select sites. SE derived from stars where available using SE = |impact| / Phi^-1(1-p/2). Months 1-24 impacts computed by subtraction; no significance test available.</t>
        </is>
      </c>
      <c r="K18" s="2" t="inlineStr">
        <is>
          <t>Table 7.3, p. 191: total cost per experimental = $5306 in 1986 dollars. Gross cost ≈ net cost because non-JOBSTART services for experimentals and controls were approximately equal (p. 193).</t>
        </is>
      </c>
      <c r="L18"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(n=179) limits statistical power. FLAG: Cost in 1986 dollars, not inflation-adjusted.</t>
        </is>
      </c>
      <c r="M18" t="inlineStr">
        <is>
          <t>El Centro Community College (admin=public). Community college, not CBO.</t>
        </is>
      </c>
      <c r="N18" t="inlineStr">
        <is>
          <t>El Centro Community College (admin=public). Community college, not CBO.</t>
        </is>
      </c>
      <c r="O18" t="inlineStr">
        <is>
          <t>El Centro Community College (admin=public). Community college, not CBO.</t>
        </is>
      </c>
      <c r="P18" t="inlineStr">
        <is>
          <t>El Centro Community College (admin=public). Community college, not CBO.</t>
        </is>
      </c>
      <c r="Q18" t="inlineStr">
        <is>
          <t>El Centro Community College (admin=public). Community college, not CBO.</t>
        </is>
      </c>
      <c r="R18" t="inlineStr">
        <is>
          <t>El Centro Community College (admin=public). Community college, not CBO.</t>
        </is>
      </c>
      <c r="S18" t="inlineStr">
        <is>
          <t>mixed: JOBSTART was funded jointly by the U.S. Department of Labor and the Ford Foundation, with some additional local public and private funds at specific sites. Neither sector was clearly dominant in program operational funding.</t>
        </is>
      </c>
      <c r="T18" t="inlineStr">
        <is>
          <t>public: El Centro Community College is a public community college in Dallas.</t>
        </is>
      </c>
      <c r="U18" t="inlineStr">
        <is>
          <t>El Centro JOBSTART: using pooled avg 6.8 months. Cave et al. 1993.</t>
        </is>
      </c>
      <c r="BK18"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L18"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9" ht="129.6" customHeight="1">
      <c r="A19" s="2" t="inlineStr">
        <is>
          <t>JOBSTART</t>
        </is>
      </c>
      <c r="B19" s="2" t="inlineStr">
        <is>
          <t>LA Job Corps</t>
        </is>
      </c>
      <c r="C19" s="2" t="inlineStr">
        <is>
          <t>self-report (survey)</t>
        </is>
      </c>
      <c r="D19" s="2" t="inlineStr">
        <is>
          <t>Primary: JOBSTART's core components are basic education (GED prep) and occupational training. The program is explicitly modeled on Job Corps to provide classroom education and vocational training to school dropouts. Job placement is a secondary component.</t>
        </is>
      </c>
      <c r="E19"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9" s="2" t="inlineStr">
        <is>
          <t>Sample size: Table 5.13, p. 158 (n=231 total). Experimental count: Table 7.3, p. 191 (n=116). Demographics: Table 2.1, pp. 37-40, column 'LA Job Corps'. Randomization period: Chapter 2, p. 31 ('August 1985...November 1987'). Follow-up rate: Chapter 2, p. 33 (84% overall). Cost: Table 7.3, p. 191. mean_age=18.3 estimated from Cave et al. 1993, Table 2.1 (p. 85-86): 78.8% age 16-19, 21.2% age 20-21, n=231. Used midpoints 17.75 (for 16-19, reflecting 17-21 eligibility) and 20.5 (for 20-21).</t>
        </is>
      </c>
      <c r="G19" s="2" t="inlineStr">
        <is>
          <t>Long-term (months 25-48): Table 5.12, p. 157, row 'LA Job Corps', column 'Total Earnings, Months 25-48, Difference'. Impact=$-121, stars=''. Control mean from same table column 'Controls'=$12757. Medium-term (months 1-24): computed as months 1-48 minus months 25-48, both from Table 5.12, p. 157.</t>
        </is>
      </c>
      <c r="H19" s="2" t="inlineStr">
        <is>
          <t>Split-file linear analysis of covariance (ANCOVA) controlling for 19 pre-randomization characteristics within each site, not adjusted for cross-site differences (Table 5.12). Two-tailed t-test for within-site impacts.</t>
        </is>
      </c>
      <c r="I19"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9" s="2" t="inlineStr">
        <is>
          <t>No SEs reported for site-level impacts. Only significance stars (*** p&lt;0.01, ** p&lt;0.05, * p&lt;0.10) for select sites. SE derived from stars where available using SE = |impact| / Phi^-1(1-p/2). Months 1-24 impacts computed by subtraction; no significance test available.</t>
        </is>
      </c>
      <c r="K19" s="2" t="inlineStr">
        <is>
          <t>Table 7.3, p. 191: total cost per experimental = $6114 in 1986 dollars. Gross cost ≈ net cost because non-JOBSTART services for experimentals and controls were approximately equal (p. 193).</t>
        </is>
      </c>
      <c r="L19"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(n=231) limits statistical power. FLAG: Cost in 1986 dollars, not inflation-adjusted.</t>
        </is>
      </c>
      <c r="M19" t="inlineStr">
        <is>
          <t>LA Job Corps center (public). Federal government program.</t>
        </is>
      </c>
      <c r="N19" t="inlineStr">
        <is>
          <t>LA Job Corps center (public). Federal government program.</t>
        </is>
      </c>
      <c r="O19" t="inlineStr">
        <is>
          <t>LA Job Corps center (public). Federal government program.</t>
        </is>
      </c>
      <c r="P19" t="inlineStr">
        <is>
          <t>LA Job Corps center (public). Federal government program.</t>
        </is>
      </c>
      <c r="Q19" t="inlineStr">
        <is>
          <t>LA Job Corps center (public). Federal government program.</t>
        </is>
      </c>
      <c r="R19" t="inlineStr">
        <is>
          <t>LA Job Corps center (public). Federal government program.</t>
        </is>
      </c>
      <c r="S19" t="inlineStr">
        <is>
          <t>mixed: JOBSTART was funded jointly by the U.S. Department of Labor and the Ford Foundation, with some additional local public and private funds at specific sites. Neither sector was clearly dominant in program operational funding.</t>
        </is>
      </c>
      <c r="T19" t="inlineStr">
        <is>
          <t>public: LA Job Corps is a federally funded Job Corps center.</t>
        </is>
      </c>
      <c r="U19" t="inlineStr">
        <is>
          <t>LA Job Corps JOBSTART: using pooled avg 6.8 months. Cave et al. 1993.</t>
        </is>
      </c>
      <c r="BK19"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L19"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0" ht="129.6" customHeight="1">
      <c r="A20" s="2" t="inlineStr">
        <is>
          <t>JOBSTART</t>
        </is>
      </c>
      <c r="B20" s="2" t="inlineStr">
        <is>
          <t>Allentown Youth Services Consortium</t>
        </is>
      </c>
      <c r="C20" s="2" t="inlineStr">
        <is>
          <t>self-report (survey)</t>
        </is>
      </c>
      <c r="D20" s="2" t="inlineStr">
        <is>
          <t>Primary: JOBSTART's core components are basic education (GED prep) and occupational training. The program is explicitly modeled on Job Corps to provide classroom education and vocational training to school dropouts. Job placement is a secondary component.</t>
        </is>
      </c>
      <c r="E20"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20" s="2" t="inlineStr">
        <is>
          <t>Sample size: Table 5.13, p. 158 (n=135 total). Experimental count: Table 7.3, p. 191 (n=71). Demographics: Table 2.1, pp. 37-40, column 'Allentown Youth Services Consortium'. Randomization period: Chapter 2, p. 31 ('August 1985...November 1987'). Follow-up rate: Chapter 2, p. 33 (84% overall). Cost: Table 7.3, p. 191. mean_age=18.4 estimated from Cave et al. 1993, Table 2.1 (p. 85-86): 74.8% age 16-19, 25.2% age 20-21, n=135. Used midpoints 17.75 (for 16-19, reflecting 17-21 eligibility) and 20.5 (for 20-21).</t>
        </is>
      </c>
      <c r="G20" s="2" t="inlineStr">
        <is>
          <t>Long-term (months 25-48): Table 5.12, p. 157, row 'Allentown Youth Services Consortium', column 'Total Earnings, Months 25-48, Difference'. Impact=$904, stars=''. Control mean from same table column 'Controls'=$6577. Medium-term (months 1-24): computed as months 1-48 minus months 25-48, both from Table 5.12, p. 157.</t>
        </is>
      </c>
      <c r="H20" s="2" t="inlineStr">
        <is>
          <t>Split-file linear analysis of covariance (ANCOVA) controlling for 19 pre-randomization characteristics within each site, not adjusted for cross-site differences (Table 5.12). Two-tailed t-test for within-site impacts.</t>
        </is>
      </c>
      <c r="I20"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20" s="2" t="inlineStr">
        <is>
          <t>No SEs reported for site-level impacts. Only significance stars (*** p&lt;0.01, ** p&lt;0.05, * p&lt;0.10) for select sites. SE derived from stars where available using SE = |impact| / Phi^-1(1-p/2). Months 1-24 impacts computed by subtraction; no significance test available.</t>
        </is>
      </c>
      <c r="K20" s="2" t="inlineStr">
        <is>
          <t>Table 7.3, p. 191: total cost per experimental = $5862 in 1986 dollars. Gross cost ≈ net cost because non-JOBSTART services for experimentals and controls were approximately equal (p. 193).</t>
        </is>
      </c>
      <c r="L20"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(n=135) limits statistical power. FLAG: Cost in 1986 dollars, not inflation-adjusted.</t>
        </is>
      </c>
      <c r="M20" t="inlineStr">
        <is>
          <t>Allentown Youth Services Consortium is a private nonprofit consortium (admin=private).</t>
        </is>
      </c>
      <c r="N20" t="inlineStr">
        <is>
          <t>No staffing agency partnerships described (Cave et al. 1993).</t>
        </is>
      </c>
      <c r="O20" t="inlineStr">
        <is>
          <t>Sequential/brokered site; no employer engagement in curricula (Cave et al. 1993).</t>
        </is>
      </c>
      <c r="P20" t="inlineStr">
        <is>
          <t>Job placement 'noticeably weaker'; sequential/brokered site where 'only informal assistance was available' (Cave et al. 1993, p. 69).</t>
        </is>
      </c>
      <c r="Q20" t="inlineStr">
        <is>
          <t>No employer curriculum role described (Cave et al. 1993).</t>
        </is>
      </c>
      <c r="R20" t="inlineStr">
        <is>
          <t>No employer hiring commitments described (Cave et al. 1993).</t>
        </is>
      </c>
      <c r="S20" t="inlineStr">
        <is>
          <t>mixed: JOBSTART was funded jointly by the U.S. Department of Labor and the Ford Foundation, with some additional local public and private funds at specific sites. Neither sector was clearly dominant in program operational funding.</t>
        </is>
      </c>
      <c r="T20" t="inlineStr">
        <is>
          <t>private: Allentown Youth Services Consortium was a private nonprofit.</t>
        </is>
      </c>
      <c r="U20" t="inlineStr">
        <is>
          <t>Allentown JOBSTART: using pooled avg 6.8 months. Cave et al. 1993.</t>
        </is>
      </c>
      <c r="BK20"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L20"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1" ht="129.6" customHeight="1">
      <c r="A21" s="2" t="inlineStr">
        <is>
          <t>JOBSTART</t>
        </is>
      </c>
      <c r="B21" s="2" t="inlineStr">
        <is>
          <t>BSA (NYC)</t>
        </is>
      </c>
      <c r="C21" s="2" t="inlineStr">
        <is>
          <t>self-report (survey)</t>
        </is>
      </c>
      <c r="D21" s="2" t="inlineStr">
        <is>
          <t>Primary: JOBSTART's core components are basic education (GED prep) and occupational training. The program is explicitly modeled on Job Corps to provide classroom education and vocational training to school dropouts. Job placement is a secondary component.</t>
        </is>
      </c>
      <c r="E21"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21" s="2" t="inlineStr">
        <is>
          <t>Sample size: Table 5.13, p. 158 (n=117 total). Experimental count: Table 7.3, p. 191 (n=60). Demographics: Table 2.1, pp. 37-40, column 'BSA (NYC)'. Randomization period: Chapter 2, p. 31 ('August 1985...November 1987'). Follow-up rate: Chapter 2, p. 33 (84% overall). Cost: Table 7.3, p. 191. mean_age=18.5 estimated from Cave et al. 1993, Table 2.1 (p. 85-86): 72.6% age 16-19, 27.4% age 20-21, n=117. Used midpoints 17.75 (for 16-19, reflecting 17-21 eligibility) and 20.5 (for 20-21).</t>
        </is>
      </c>
      <c r="G21" s="2" t="inlineStr">
        <is>
          <t>Long-term (months 25-48): Table 5.12, p. 157, row 'BSA (NYC)', column 'Total Earnings, Months 25-48, Difference'. Impact=$1424, stars=''. Control mean from same table column 'Controls'=$10499. Medium-term (months 1-24): computed as months 1-48 minus months 25-48, both from Table 5.12, p. 157.</t>
        </is>
      </c>
      <c r="H21" s="2" t="inlineStr">
        <is>
          <t>Split-file linear analysis of covariance (ANCOVA) controlling for 19 pre-randomization characteristics within each site, not adjusted for cross-site differences (Table 5.12). Two-tailed t-test for within-site impacts.</t>
        </is>
      </c>
      <c r="I21"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21" s="2" t="inlineStr">
        <is>
          <t>No SEs reported for site-level impacts. Only significance stars (*** p&lt;0.01, ** p&lt;0.05, * p&lt;0.10) for select sites. SE derived from stars where available using SE = |impact| / Phi^-1(1-p/2). Months 1-24 impacts computed by subtraction; no significance test available.</t>
        </is>
      </c>
      <c r="K21" s="2" t="inlineStr">
        <is>
          <t>Table 7.3, p. 191: total cost per experimental = $7484 in 1986 dollars. Gross cost ≈ net cost because non-JOBSTART services for experimentals and controls were approximately equal (p. 193).</t>
        </is>
      </c>
      <c r="L21"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(n=117) limits statistical power. FLAG: Cost in 1986 dollars, not inflation-adjusted.</t>
        </is>
      </c>
      <c r="M21" t="inlineStr">
        <is>
          <t>Basic Skills Academy (BSA) in NYC is a community-based organization (admin=private).</t>
        </is>
      </c>
      <c r="N21" t="inlineStr">
        <is>
          <t>No staffing agency partnerships described (Cave et al. 1993).</t>
        </is>
      </c>
      <c r="O21" t="inlineStr">
        <is>
          <t>Sequential/brokered site; no employer engagement in curricula (Cave et al. 1993).</t>
        </is>
      </c>
      <c r="P21" t="inlineStr">
        <is>
          <t>Job placement 'noticeably weaker'; 'responsibility fell solely on training provider' (Cave et al. 1993, p. 23).</t>
        </is>
      </c>
      <c r="Q21" t="inlineStr">
        <is>
          <t>No employer curriculum role described (Cave et al. 1993).</t>
        </is>
      </c>
      <c r="R21" t="inlineStr">
        <is>
          <t>No employer hiring commitments described (Cave et al. 1993).</t>
        </is>
      </c>
      <c r="S21" t="inlineStr">
        <is>
          <t>mixed: JOBSTART was funded jointly by the U.S. Department of Labor and the Ford Foundation, with some additional local public and private funds at specific sites. Neither sector was clearly dominant in program operational funding.</t>
        </is>
      </c>
      <c r="T21" t="inlineStr">
        <is>
          <t>private: BSA (Brooklyn Skills Alliance) is a nonprofit in NYC.</t>
        </is>
      </c>
      <c r="U21" t="inlineStr">
        <is>
          <t>BSA (NYC) JOBSTART: using pooled avg 6.8 months. Cave et al. 1993.</t>
        </is>
      </c>
      <c r="BK21"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L21"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2" ht="129.6" customHeight="1">
      <c r="A22" s="2" t="inlineStr">
        <is>
          <t>JOBSTART</t>
        </is>
      </c>
      <c r="B22" s="2" t="inlineStr">
        <is>
          <t>CREC (Hartford)</t>
        </is>
      </c>
      <c r="C22" s="2" t="inlineStr">
        <is>
          <t>self-report (survey)</t>
        </is>
      </c>
      <c r="D22" s="2" t="inlineStr">
        <is>
          <t>Primary: JOBSTART's core components are basic education (GED prep) and occupational training. The program is explicitly modeled on Job Corps to provide classroom education and vocational training to school dropouts. Job placement is a secondary component.</t>
        </is>
      </c>
      <c r="E22"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22" s="2" t="inlineStr">
        <is>
          <t>Sample size: Table 5.13, p. 158 (n=99 total). Experimental count: Table 7.3, p. 191 (n=52). Demographics: Table 2.1, pp. 37-40, column 'CREC (Hartford)'. Randomization period: Chapter 2, p. 31 ('August 1985...November 1987'). Follow-up rate: Chapter 2, p. 33 (84% overall). Cost: Table 7.3, p. 191. mean_age=18.3 estimated from Cave et al. 1993, Table 2.1 (p. 85-86): 78.8% age 16-19, 21.2% age 20-21, n=99. Used midpoints 17.75 (for 16-19, reflecting 17-21 eligibility) and 20.5 (for 20-21).</t>
        </is>
      </c>
      <c r="G22" s="2" t="inlineStr">
        <is>
          <t>Long-term (months 25-48): Table 5.12, p. 157, row 'CREC (Hartford)', column 'Total Earnings, Months 25-48, Difference'. Impact=$-1370, stars=''. Control mean from same table column 'Controls'=$11124. Medium-term (months 1-24): computed as months 1-48 minus months 25-48, both from Table 5.12, p. 157.</t>
        </is>
      </c>
      <c r="H22" s="2" t="inlineStr">
        <is>
          <t>Split-file linear analysis of covariance (ANCOVA) controlling for 19 pre-randomization characteristics within each site, not adjusted for cross-site differences (Table 5.12). Two-tailed t-test for within-site impacts.</t>
        </is>
      </c>
      <c r="I22"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22" s="2" t="inlineStr">
        <is>
          <t>No SEs reported for site-level impacts. Only significance stars (*** p&lt;0.01, ** p&lt;0.05, * p&lt;0.10) for select sites. SE derived from stars where available using SE = |impact| / Phi^-1(1-p/2). Months 1-24 impacts computed by subtraction; no significance test available.</t>
        </is>
      </c>
      <c r="K22" s="2" t="inlineStr">
        <is>
          <t>Table 7.3, p. 191: total cost per experimental = $5166 in 1986 dollars. Gross cost ≈ net cost because non-JOBSTART services for experimentals and controls were approximately equal (p. 193).</t>
        </is>
      </c>
      <c r="L22"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(n=99) limits statistical power. FLAG: Cost in 1986 dollars, not inflation-adjusted.</t>
        </is>
      </c>
      <c r="M22" t="inlineStr">
        <is>
          <t>Capitol Region Education Council (CREC) is an educational service agency, not a CBO in the Peck sense. admin=private but functions as educational entity.</t>
        </is>
      </c>
      <c r="N22" t="inlineStr">
        <is>
          <t>Capitol Region Education Council (CREC) is an educational service agency, not a CBO in the Peck sense. admin=private but functions as educational entity.</t>
        </is>
      </c>
      <c r="O22" t="inlineStr">
        <is>
          <t>Capitol Region Education Council (CREC) is an educational service agency, not a CBO in the Peck sense. admin=private but functions as educational entity.</t>
        </is>
      </c>
      <c r="P22" t="inlineStr">
        <is>
          <t>Capitol Region Education Council (CREC) is an educational service agency, not a CBO in the Peck sense. admin=private but functions as educational entity.</t>
        </is>
      </c>
      <c r="Q22" t="inlineStr">
        <is>
          <t>Capitol Region Education Council (CREC) is an educational service agency, not a CBO in the Peck sense. admin=private but functions as educational entity.</t>
        </is>
      </c>
      <c r="R22" t="inlineStr">
        <is>
          <t>Capitol Region Education Council (CREC) is an educational service agency, not a CBO in the Peck sense. admin=private but functions as educational entity.</t>
        </is>
      </c>
      <c r="S22" t="inlineStr">
        <is>
          <t>mixed: JOBSTART was funded jointly by the U.S. Department of Labor and the Ford Foundation, with some additional local public and private funds at specific sites. Neither sector was clearly dominant in program operational funding.</t>
        </is>
      </c>
      <c r="T22" t="inlineStr">
        <is>
          <t>private: CREC (Connecticut Regional Education Council) in Hartford operated as a private nonprofit.</t>
        </is>
      </c>
      <c r="U22" t="inlineStr">
        <is>
          <t>CREC (Hartford) JOBSTART: using pooled avg 6.8 months. Cave et al. 1993.</t>
        </is>
      </c>
      <c r="BK22"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L22"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3" ht="158.4" customHeight="1">
      <c r="A23" s="2" t="inlineStr">
        <is>
          <t>GAIN</t>
        </is>
      </c>
      <c r="B23" s="2" t="inlineStr">
        <is>
          <t>Alameda</t>
        </is>
      </c>
      <c r="C23" s="2" t="inlineStr">
        <is>
          <t>UI wage records</t>
        </is>
      </c>
      <c r="D23"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3"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3" s="2" t="inlineStr">
        <is>
          <t>Sample sizes: Table 1, Alameda section, bottom row 'Sample size'. Randomization period: Table 1 notes page. Target group: text p. 2 ('AFDC-FG single heads of household'). Data source: Table 1 SOURCE note ('MDRC calculations from California UI earnings records and county AFDC records').</t>
        </is>
      </c>
      <c r="G23" s="2" t="inlineStr">
        <is>
          <t>Short-term (Year 1): Table 1, Alameda section, rows 'Ever employed / Year 1' and 'Average total earnings / Year 1'. Medium-term (Year 2): same table, Year 2 rows. Long-term (Year 5): same table, Year 5 rows. Control means from 'Controls' column of same rows.</t>
        </is>
      </c>
      <c r="H23" s="2" t="inlineStr">
        <is>
          <t>Regression-adjusted experimental-control difference (ITT), using OLS controlling for pre-random assignment characteristics of sample members. Two-tailed t-test applied.</t>
        </is>
      </c>
      <c r="I23"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3" s="2" t="inlineStr">
        <is>
          <t>SEs not reported in this working paper. Only significance stars: *** = p&lt;0.01, ** = p&lt;0.05, * = p&lt;0.10.</t>
        </is>
      </c>
      <c r="K23" s="2" t="inlineStr">
        <is>
          <t>Not reported in this working paper. Riccio, Friedlander, and Freedman (1994) may contain cost data.</t>
        </is>
      </c>
      <c r="L23"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'Alameda' is a county, not a site in the traditional sense — the program operated county-wide.</t>
        </is>
      </c>
      <c r="M23" t="inlineStr">
        <is>
          <t>GAIN: California state welfare-to-work program administered by county welfare agencies (admin=public). Referrals to education and job search. No CBO lead, no employer engagement in curriculum, no sector focus.</t>
        </is>
      </c>
      <c r="N23" t="inlineStr">
        <is>
          <t>GAIN: California state welfare-to-work program administered by county welfare agencies (admin=public). Referrals to education and job search. No CBO lead, no employer engagement in curriculum, no sector focus.</t>
        </is>
      </c>
      <c r="O23" t="inlineStr">
        <is>
          <t>GAIN: California state welfare-to-work program administered by county welfare agencies (admin=public). Referrals to education and job search. No CBO lead, no employer engagement in curriculum, no sector focus.</t>
        </is>
      </c>
      <c r="P23" t="inlineStr">
        <is>
          <t>GAIN: California state welfare-to-work program administered by county welfare agencies (admin=public). Referrals to education and job search. No CBO lead, no employer engagement in curriculum, no sector focus.</t>
        </is>
      </c>
      <c r="Q23" t="inlineStr">
        <is>
          <t>GAIN: California state welfare-to-work program administered by county welfare agencies (admin=public). Referrals to education and job search. No CBO lead, no employer engagement in curriculum, no sector focus.</t>
        </is>
      </c>
      <c r="R23" t="inlineStr">
        <is>
          <t>GAIN: California state welfare-to-work program administered by county welfare agencies (admin=public). Referrals to education and job search. No CBO lead, no employer engagement in curriculum, no sector focus.</t>
        </is>
      </c>
      <c r="S23" t="inlineStr">
        <is>
          <t>public: California's Greater Avenues for Independence (GAIN) was funded by state and federal welfare funds under the JOBS program. No significant private funding.</t>
        </is>
      </c>
      <c r="T23" t="inlineStr">
        <is>
          <t>public: County welfare departments (Departments of Social Services) administered GAIN directly, including intake, case management, and referrals to education/training.</t>
        </is>
      </c>
      <c r="U23" t="inlineStr">
        <is>
          <t>GAIN is a welfare-to-work case management program, not fixed-duration training. Alameda: no tracking data available for months of activity participation. Riccio &amp; Friedlander 1992, Table 2.2. Duration ambiguous.</t>
        </is>
      </c>
      <c r="BK23"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L23"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4" ht="158.4" customHeight="1">
      <c r="A24" s="2" t="inlineStr">
        <is>
          <t>GAIN</t>
        </is>
      </c>
      <c r="B24" s="2" t="inlineStr">
        <is>
          <t>Butte</t>
        </is>
      </c>
      <c r="C24" s="2" t="inlineStr">
        <is>
          <t>UI wage records</t>
        </is>
      </c>
      <c r="D24"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4"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4" s="2" t="inlineStr">
        <is>
          <t>Sample sizes: Table 1, Butte section, bottom row 'Sample size'. Randomization period: Table 1 notes page. Target group: text p. 2 ('AFDC-FG single heads of household'). Data source: Table 1 SOURCE note ('MDRC calculations from California UI earnings records and county AFDC records').</t>
        </is>
      </c>
      <c r="G24" s="2" t="inlineStr">
        <is>
          <t>Short-term (Year 1): Table 1, Butte section, rows 'Ever employed / Year 1' and 'Average total earnings / Year 1'. Medium-term (Year 2): same table, Year 2 rows. Long-term (Year 5): same table, Year 5 rows. Control means from 'Controls' column of same rows.</t>
        </is>
      </c>
      <c r="H24" s="2" t="inlineStr">
        <is>
          <t>Regression-adjusted experimental-control difference (ITT), using OLS controlling for pre-random assignment characteristics of sample members. Two-tailed t-test applied.</t>
        </is>
      </c>
      <c r="I24"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4" s="2" t="inlineStr">
        <is>
          <t>SEs not reported in this working paper. Only significance stars: *** = p&lt;0.01, ** = p&lt;0.05, * = p&lt;0.10.</t>
        </is>
      </c>
      <c r="K24" s="2" t="inlineStr">
        <is>
          <t>Not reported in this working paper. Riccio, Friedlander, and Freedman (1994) may contain cost data.</t>
        </is>
      </c>
      <c r="L24"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'Butte' is a county, not a site in the traditional sense — the program operated county-wide.</t>
        </is>
      </c>
      <c r="M24" t="inlineStr">
        <is>
          <t>GAIN: California state welfare-to-work program administered by county welfare agencies (admin=public). Referrals to education and job search. No CBO lead, no employer engagement in curriculum, no sector focus.</t>
        </is>
      </c>
      <c r="N24" t="inlineStr">
        <is>
          <t>GAIN: California state welfare-to-work program administered by county welfare agencies (admin=public). Referrals to education and job search. No CBO lead, no employer engagement in curriculum, no sector focus.</t>
        </is>
      </c>
      <c r="O24" t="inlineStr">
        <is>
          <t>GAIN: California state welfare-to-work program administered by county welfare agencies (admin=public). Referrals to education and job search. No CBO lead, no employer engagement in curriculum, no sector focus.</t>
        </is>
      </c>
      <c r="P24" t="inlineStr">
        <is>
          <t>GAIN: California state welfare-to-work program administered by county welfare agencies (admin=public). Referrals to education and job search. No CBO lead, no employer engagement in curriculum, no sector focus.</t>
        </is>
      </c>
      <c r="Q24" t="inlineStr">
        <is>
          <t>GAIN: California state welfare-to-work program administered by county welfare agencies (admin=public). Referrals to education and job search. No CBO lead, no employer engagement in curriculum, no sector focus.</t>
        </is>
      </c>
      <c r="R24" t="inlineStr">
        <is>
          <t>GAIN: California state welfare-to-work program administered by county welfare agencies (admin=public). Referrals to education and job search. No CBO lead, no employer engagement in curriculum, no sector focus.</t>
        </is>
      </c>
      <c r="S24" t="inlineStr">
        <is>
          <t>public: California's Greater Avenues for Independence (GAIN) was funded by state and federal welfare funds under the JOBS program. No significant private funding.</t>
        </is>
      </c>
      <c r="T24" t="inlineStr">
        <is>
          <t>public: County welfare departments (Departments of Social Services) administered GAIN directly, including intake, case management, and referrals to education/training.</t>
        </is>
      </c>
      <c r="U24" t="inlineStr">
        <is>
          <t>GAIN Butte: avg 2.4 months participating in GAIN activities within 11 months after orientation. Riccio &amp; Friedlander 1992, Table 2.2. Note: this is a welfare-to-work case management program; duration measures time in activities, not a fixed program length.</t>
        </is>
      </c>
      <c r="BK24"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L24"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5" ht="158.4" customHeight="1">
      <c r="A25" s="2" t="inlineStr">
        <is>
          <t>GAIN</t>
        </is>
      </c>
      <c r="B25" s="2" t="inlineStr">
        <is>
          <t>Los Angeles</t>
        </is>
      </c>
      <c r="C25" s="2" t="inlineStr">
        <is>
          <t>UI wage records</t>
        </is>
      </c>
      <c r="D25"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5"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5" s="2" t="inlineStr">
        <is>
          <t>Sample sizes: Table 1, Los Angeles section, bottom row 'Sample size'. Randomization period: Table 1 notes page. Target group: text p. 2 ('AFDC-FG single heads of household'). Data source: Table 1 SOURCE note ('MDRC calculations from California UI earnings records and county AFDC records').</t>
        </is>
      </c>
      <c r="G25" s="2" t="inlineStr">
        <is>
          <t>Short-term (Year 1): Table 1, Los Angeles section, rows 'Ever employed / Year 1' and 'Average total earnings / Year 1'. Medium-term (Year 2): same table, Year 2 rows. Long-term (Year 5): same table, Year 5 rows. Control means from 'Controls' column of same rows.</t>
        </is>
      </c>
      <c r="H25" s="2" t="inlineStr">
        <is>
          <t>Regression-adjusted experimental-control difference (ITT), using OLS controlling for pre-random assignment characteristics of sample members. Two-tailed t-test applied.</t>
        </is>
      </c>
      <c r="I25"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5" s="2" t="inlineStr">
        <is>
          <t>SEs not reported in this working paper. Only significance stars: *** = p&lt;0.01, ** = p&lt;0.05, * = p&lt;0.10.</t>
        </is>
      </c>
      <c r="K25" s="2" t="inlineStr">
        <is>
          <t>Not reported in this working paper. Riccio, Friedlander, and Freedman (1994) may contain cost data.</t>
        </is>
      </c>
      <c r="L25"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'Los Angeles' is a county, not a site in the traditional sense — the program operated county-wide.</t>
        </is>
      </c>
      <c r="M25" t="inlineStr">
        <is>
          <t>GAIN: California state welfare-to-work program administered by county welfare agencies (admin=public). Referrals to education and job search. No CBO lead, no employer engagement in curriculum, no sector focus.</t>
        </is>
      </c>
      <c r="N25" t="inlineStr">
        <is>
          <t>GAIN: California state welfare-to-work program administered by county welfare agencies (admin=public). Referrals to education and job search. No CBO lead, no employer engagement in curriculum, no sector focus.</t>
        </is>
      </c>
      <c r="O25" t="inlineStr">
        <is>
          <t>GAIN: California state welfare-to-work program administered by county welfare agencies (admin=public). Referrals to education and job search. No CBO lead, no employer engagement in curriculum, no sector focus.</t>
        </is>
      </c>
      <c r="P25" t="inlineStr">
        <is>
          <t>GAIN: California state welfare-to-work program administered by county welfare agencies (admin=public). Referrals to education and job search. No CBO lead, no employer engagement in curriculum, no sector focus.</t>
        </is>
      </c>
      <c r="Q25" t="inlineStr">
        <is>
          <t>GAIN: California state welfare-to-work program administered by county welfare agencies (admin=public). Referrals to education and job search. No CBO lead, no employer engagement in curriculum, no sector focus.</t>
        </is>
      </c>
      <c r="R25" t="inlineStr">
        <is>
          <t>GAIN: California state welfare-to-work program administered by county welfare agencies (admin=public). Referrals to education and job search. No CBO lead, no employer engagement in curriculum, no sector focus.</t>
        </is>
      </c>
      <c r="S25" t="inlineStr">
        <is>
          <t>public: California's Greater Avenues for Independence (GAIN) was funded by state and federal welfare funds under the JOBS program. No significant private funding.</t>
        </is>
      </c>
      <c r="T25" t="inlineStr">
        <is>
          <t>public: County welfare departments (Departments of Social Services) administered GAIN directly, including intake, case management, and referrals to education/training.</t>
        </is>
      </c>
      <c r="U25" t="inlineStr">
        <is>
          <t>GAIN LA: no tracking data available for months of activity participation. Riccio &amp; Friedlander 1992, Table 2.2. Duration ambiguous—GAIN is welfare-to-work case management.</t>
        </is>
      </c>
      <c r="BK25"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L25"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6" ht="158.4" customHeight="1">
      <c r="A26" s="2" t="inlineStr">
        <is>
          <t>GAIN</t>
        </is>
      </c>
      <c r="B26" s="2" t="inlineStr">
        <is>
          <t>Riverside</t>
        </is>
      </c>
      <c r="C26" s="2" t="inlineStr">
        <is>
          <t>UI wage records</t>
        </is>
      </c>
      <c r="D26"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6"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6" s="2" t="inlineStr">
        <is>
          <t>Sample sizes: Table 1, Riverside section, bottom row 'Sample size'. Randomization period: Table 1 notes page. Target group: text p. 2 ('AFDC-FG single heads of household'). Data source: Table 1 SOURCE note ('MDRC calculations from California UI earnings records and county AFDC records').</t>
        </is>
      </c>
      <c r="G26" s="2" t="inlineStr">
        <is>
          <t>Short-term (Year 1): Table 1, Riverside section, rows 'Ever employed / Year 1' and 'Average total earnings / Year 1'. Medium-term (Year 2): same table, Year 2 rows. Long-term (Year 5): same table, Year 5 rows. Control means from 'Controls' column of same rows.</t>
        </is>
      </c>
      <c r="H26" s="2" t="inlineStr">
        <is>
          <t>Regression-adjusted experimental-control difference (ITT), using OLS controlling for pre-random assignment characteristics of sample members. Two-tailed t-test applied.</t>
        </is>
      </c>
      <c r="I26"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6" s="2" t="inlineStr">
        <is>
          <t>SEs not reported in this working paper. Only significance stars: *** = p&lt;0.01, ** = p&lt;0.05, * = p&lt;0.10.</t>
        </is>
      </c>
      <c r="K26" s="2" t="inlineStr">
        <is>
          <t>Not reported in this working paper. Riccio, Friedlander, and Freedman (1994) may contain cost data.</t>
        </is>
      </c>
      <c r="L26"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'Riverside' is a county, not a site in the traditional sense — the program operated county-wide.</t>
        </is>
      </c>
      <c r="M26" t="inlineStr">
        <is>
          <t>GAIN: California state welfare-to-work program administered by county welfare agencies (admin=public). Referrals to education and job search. No CBO lead, no employer engagement in curriculum, no sector focus.</t>
        </is>
      </c>
      <c r="N26" t="inlineStr">
        <is>
          <t>GAIN: California state welfare-to-work program administered by county welfare agencies (admin=public). Referrals to education and job search. No CBO lead, no employer engagement in curriculum, no sector focus.</t>
        </is>
      </c>
      <c r="O26" t="inlineStr">
        <is>
          <t>GAIN: California state welfare-to-work program administered by county welfare agencies (admin=public). Referrals to education and job search. No CBO lead, no employer engagement in curriculum, no sector focus.</t>
        </is>
      </c>
      <c r="P26" t="inlineStr">
        <is>
          <t>GAIN: California state welfare-to-work program administered by county welfare agencies (admin=public). Referrals to education and job search. No CBO lead, no employer engagement in curriculum, no sector focus.</t>
        </is>
      </c>
      <c r="Q26" t="inlineStr">
        <is>
          <t>GAIN: California state welfare-to-work program administered by county welfare agencies (admin=public). Referrals to education and job search. No CBO lead, no employer engagement in curriculum, no sector focus.</t>
        </is>
      </c>
      <c r="R26" t="inlineStr">
        <is>
          <t>GAIN: California state welfare-to-work program administered by county welfare agencies (admin=public). Referrals to education and job search. No CBO lead, no employer engagement in curriculum, no sector focus.</t>
        </is>
      </c>
      <c r="S26" t="inlineStr">
        <is>
          <t>public: California's Greater Avenues for Independence (GAIN) was funded by state and federal welfare funds under the JOBS program. No significant private funding.</t>
        </is>
      </c>
      <c r="T26" t="inlineStr">
        <is>
          <t>public: County welfare departments (Departments of Social Services) administered GAIN directly, including intake, case management, and referrals to education/training.</t>
        </is>
      </c>
      <c r="U26" t="inlineStr">
        <is>
          <t>GAIN Riverside: avg 3.2 months participating in GAIN activities within 11 months after orientation. Riccio &amp; Friedlander 1992, Table 2.2. Note: welfare-to-work case management.</t>
        </is>
      </c>
      <c r="BK26"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L26"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7" ht="158.4" customHeight="1">
      <c r="A27" s="2" t="inlineStr">
        <is>
          <t>GAIN</t>
        </is>
      </c>
      <c r="B27" s="2" t="inlineStr">
        <is>
          <t>San Diego</t>
        </is>
      </c>
      <c r="C27" s="2" t="inlineStr">
        <is>
          <t>UI wage records</t>
        </is>
      </c>
      <c r="D27"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7"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7" s="2" t="inlineStr">
        <is>
          <t>Sample sizes: Table 1, San Diego section, bottom row 'Sample size'. Randomization period: Table 1 notes page. Target group: text p. 2 ('AFDC-FG single heads of household'). Data source: Table 1 SOURCE note ('MDRC calculations from California UI earnings records and county AFDC records').</t>
        </is>
      </c>
      <c r="G27" s="2" t="inlineStr">
        <is>
          <t>Short-term (Year 1): Table 1, San Diego section, rows 'Ever employed / Year 1' and 'Average total earnings / Year 1'. Medium-term (Year 2): same table, Year 2 rows. Long-term (Year 5): same table, Year 5 rows. Control means from 'Controls' column of same rows.</t>
        </is>
      </c>
      <c r="H27" s="2" t="inlineStr">
        <is>
          <t>Regression-adjusted experimental-control difference (ITT), using OLS controlling for pre-random assignment characteristics of sample members. Two-tailed t-test applied.</t>
        </is>
      </c>
      <c r="I27"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7" s="2" t="inlineStr">
        <is>
          <t>SEs not reported in this working paper. Only significance stars: *** = p&lt;0.01, ** = p&lt;0.05, * = p&lt;0.10.</t>
        </is>
      </c>
      <c r="K27" s="2" t="inlineStr">
        <is>
          <t>Not reported in this working paper. Riccio, Friedlander, and Freedman (1994) may contain cost data.</t>
        </is>
      </c>
      <c r="L27"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'San Diego' is a county, not a site in the traditional sense — the program operated county-wide.</t>
        </is>
      </c>
      <c r="M27" t="inlineStr">
        <is>
          <t>GAIN: California state welfare-to-work program administered by county welfare agencies (admin=public). Referrals to education and job search. No CBO lead, no employer engagement in curriculum, no sector focus.</t>
        </is>
      </c>
      <c r="N27" t="inlineStr">
        <is>
          <t>GAIN: California state welfare-to-work program administered by county welfare agencies (admin=public). Referrals to education and job search. No CBO lead, no employer engagement in curriculum, no sector focus.</t>
        </is>
      </c>
      <c r="O27" t="inlineStr">
        <is>
          <t>GAIN: California state welfare-to-work program administered by county welfare agencies (admin=public). Referrals to education and job search. No CBO lead, no employer engagement in curriculum, no sector focus.</t>
        </is>
      </c>
      <c r="P27" t="inlineStr">
        <is>
          <t>GAIN: California state welfare-to-work program administered by county welfare agencies (admin=public). Referrals to education and job search. No CBO lead, no employer engagement in curriculum, no sector focus.</t>
        </is>
      </c>
      <c r="Q27" t="inlineStr">
        <is>
          <t>GAIN: California state welfare-to-work program administered by county welfare agencies (admin=public). Referrals to education and job search. No CBO lead, no employer engagement in curriculum, no sector focus.</t>
        </is>
      </c>
      <c r="R27" t="inlineStr">
        <is>
          <t>GAIN: California state welfare-to-work program administered by county welfare agencies (admin=public). Referrals to education and job search. No CBO lead, no employer engagement in curriculum, no sector focus.</t>
        </is>
      </c>
      <c r="S27" t="inlineStr">
        <is>
          <t>public: California's Greater Avenues for Independence (GAIN) was funded by state and federal welfare funds under the JOBS program. No significant private funding.</t>
        </is>
      </c>
      <c r="T27" t="inlineStr">
        <is>
          <t>public: County welfare departments (Departments of Social Services) administered GAIN directly, including intake, case management, and referrals to education/training.</t>
        </is>
      </c>
      <c r="U27" t="inlineStr">
        <is>
          <t>GAIN San Diego: avg 3.1 months participating in GAIN activities within 11 months after orientation. Riccio &amp; Friedlander 1992, Table 2.2. Note: welfare-to-work case management.</t>
        </is>
      </c>
      <c r="BK27"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L27"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8" ht="158.4" customHeight="1">
      <c r="A28" s="2" t="inlineStr">
        <is>
          <t>GAIN</t>
        </is>
      </c>
      <c r="B28" s="2" t="inlineStr">
        <is>
          <t>Tulare</t>
        </is>
      </c>
      <c r="C28" s="2" t="inlineStr">
        <is>
          <t>UI wage records</t>
        </is>
      </c>
      <c r="D28"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8"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8" s="2" t="inlineStr">
        <is>
          <t>Sample sizes: Table 1, Tulare section, bottom row 'Sample size'. Randomization period: Table 1 notes page. Target group: text p. 2 ('AFDC-FG single heads of household'). Data source: Table 1 SOURCE note ('MDRC calculations from California UI earnings records and county AFDC records').</t>
        </is>
      </c>
      <c r="G28" s="2" t="inlineStr">
        <is>
          <t>Short-term (Year 1): Table 1, Tulare section, rows 'Ever employed / Year 1' and 'Average total earnings / Year 1'. Medium-term (Year 2): same table, Year 2 rows. Long-term (Year 5): same table, Year 5 rows. Control means from 'Controls' column of same rows.</t>
        </is>
      </c>
      <c r="H28" s="2" t="inlineStr">
        <is>
          <t>Regression-adjusted experimental-control difference (ITT), using OLS controlling for pre-random assignment characteristics of sample members. Two-tailed t-test applied.</t>
        </is>
      </c>
      <c r="I28"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8" s="2" t="inlineStr">
        <is>
          <t>SEs not reported in this working paper. Only significance stars: *** = p&lt;0.01, ** = p&lt;0.05, * = p&lt;0.10.</t>
        </is>
      </c>
      <c r="K28" s="2" t="inlineStr">
        <is>
          <t>Not reported in this working paper. Riccio, Friedlander, and Freedman (1994) may contain cost data.</t>
        </is>
      </c>
      <c r="L28"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'Tulare' is a county, not a site in the traditional sense — the program operated county-wide.</t>
        </is>
      </c>
      <c r="M28" t="inlineStr">
        <is>
          <t>GAIN: California state welfare-to-work program administered by county welfare agencies (admin=public). Referrals to education and job search. No CBO lead, no employer engagement in curriculum, no sector focus.</t>
        </is>
      </c>
      <c r="N28" t="inlineStr">
        <is>
          <t>GAIN: California state welfare-to-work program administered by county welfare agencies (admin=public). Referrals to education and job search. No CBO lead, no employer engagement in curriculum, no sector focus.</t>
        </is>
      </c>
      <c r="O28" t="inlineStr">
        <is>
          <t>GAIN: California state welfare-to-work program administered by county welfare agencies (admin=public). Referrals to education and job search. No CBO lead, no employer engagement in curriculum, no sector focus.</t>
        </is>
      </c>
      <c r="P28" t="inlineStr">
        <is>
          <t>GAIN: California state welfare-to-work program administered by county welfare agencies (admin=public). Referrals to education and job search. No CBO lead, no employer engagement in curriculum, no sector focus.</t>
        </is>
      </c>
      <c r="Q28" t="inlineStr">
        <is>
          <t>GAIN: California state welfare-to-work program administered by county welfare agencies (admin=public). Referrals to education and job search. No CBO lead, no employer engagement in curriculum, no sector focus.</t>
        </is>
      </c>
      <c r="R28" t="inlineStr">
        <is>
          <t>GAIN: California state welfare-to-work program administered by county welfare agencies (admin=public). Referrals to education and job search. No CBO lead, no employer engagement in curriculum, no sector focus.</t>
        </is>
      </c>
      <c r="S28" t="inlineStr">
        <is>
          <t>public: California's Greater Avenues for Independence (GAIN) was funded by state and federal welfare funds under the JOBS program. No significant private funding.</t>
        </is>
      </c>
      <c r="T28" t="inlineStr">
        <is>
          <t>public: County welfare departments (Departments of Social Services) administered GAIN directly, including intake, case management, and referrals to education/training.</t>
        </is>
      </c>
      <c r="U28" t="inlineStr">
        <is>
          <t>GAIN Tulare: avg 4.2 months participating in GAIN activities within 11 months after orientation. Riccio &amp; Friedlander 1992, Table 2.2. Note: welfare-to-work case management.</t>
        </is>
      </c>
      <c r="BK28"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L28"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9" ht="86.40000000000001" customHeight="1">
      <c r="A29" s="2" t="inlineStr">
        <is>
          <t>Career Academies</t>
        </is>
      </c>
      <c r="B29" s="2" t="inlineStr">
        <is>
          <t>Full sample (9 sites pooled)</t>
        </is>
      </c>
      <c r="C29" s="2" t="inlineStr">
        <is>
          <t>self-report (survey)</t>
        </is>
      </c>
      <c r="D29" s="2" t="inlineStr">
        <is>
          <t>Primary: Career Academies are school-within-a-school programs where classroom instruction (academic + career/technical curriculum) IS the core intervention. Work-based learning supplements the classroom.</t>
        </is>
      </c>
      <c r="E29" s="2" t="inlineStr">
        <is>
          <t>has_classroom=1: academic and CTE courses. has_ojt=0: work-based learning is employer exposure, not structured OJT. has_jsa=0: no formal job search component. has_multiple_components=1: classroom + work-based learning + employer partnerships.</t>
        </is>
      </c>
      <c r="F29" s="2" t="inlineStr">
        <is>
          <t>Sample sizes: Exhibit 10, p.36. Randomization period: p.4 text. Demographics: Exhibit 10. Selectivity: pp.4-5. Follow-up rate: p.36. Demographics (pct_male, pct_white, pct_black, pct_hispanic): Kemple 2001 Technical Resources, Table 1.2 (Differences Between Academy and Non-Academy Sample Members' Background Characteristics), p. 13, Full Sample column. Sample sizes by gender/ethnicity also in Table 1.1, p. 12. mean_age blank (only age bins given; sample by design age 13-16+ at application). pct_no_hs_diploma blank (8th/9th-grade in-school sample at random assignment).</t>
        </is>
      </c>
      <c r="G29" s="2" t="inlineStr">
        <is>
          <t>MT (Years 1-4): Exhibit 1, 'Average monthly earnings' row, 'During Years 1-4' column, p.13. LT (Years 5-8): same table, 'During Years 5-8' column.</t>
        </is>
      </c>
      <c r="H29" s="2" t="inlineStr">
        <is>
          <t>ITT regression-adjusted impact (MDRC standard), controlling for baseline characteristics.</t>
        </is>
      </c>
      <c r="I29" s="2" t="inlineStr">
        <is>
          <t>Report groups 8-year follow-up into two 4-year blocks. Years 1-4 center ~2.5 years post-HS graduation → medium-term. Years 5-8 center ~6.5 years → long-term. No single-year data available.</t>
        </is>
      </c>
      <c r="J29" s="2" t="inlineStr">
        <is>
          <t>SEs not reported. Only significance stars (*** = p&lt;0.01). Technical companion may contain SEs.</t>
        </is>
      </c>
      <c r="K29" s="2" t="inlineStr">
        <is>
          <t>Cost not reported in this paper.</t>
        </is>
      </c>
      <c r="L29" s="2" t="inlineStr">
        <is>
          <t>FLAG: No SEs reported. FLAG: Earnings are self-reported (survey), not administrative records. FLAG: No employment rate impacts extracted — paper reports months employed, not rate. FLAG: Cadence is monthly average over 4-year blocks, unusual. FLAG: 2006 dollars. FLAG: Outcome is post-HS-graduation, not post-random-assignment; time horizon measured from HS graduation.</t>
        </is>
      </c>
      <c r="M29" t="inlineStr">
        <is>
          <t>Career Academies are public school programs (admin=public), not CBO-led.</t>
        </is>
      </c>
      <c r="N29" t="inlineStr">
        <is>
          <t>No staffing agency involvement.</t>
        </is>
      </c>
      <c r="O29" t="inlineStr">
        <is>
          <t>Employer partnerships providing work-based learning; career themes organized around industries. Employers engaged with curricula through career theme development (Kemple &amp; Willner 2008, p.1).</t>
        </is>
      </c>
      <c r="P29" t="inlineStr">
        <is>
          <t>High school program without dedicated job development staff. Work-based learning was embedded in the school model.</t>
        </is>
      </c>
      <c r="Q29" t="inlineStr">
        <is>
          <t>Career/technical curricula built around career themes with employer partnerships. Employers had input on career theme curriculum (Kemple &amp; Willner 2008).</t>
        </is>
      </c>
      <c r="R29" t="inlineStr">
        <is>
          <t>No formal employer commitment to hire students.</t>
        </is>
      </c>
      <c r="S29" t="inlineStr">
        <is>
          <t>public: Career Academies are programs within public high schools, funded primarily by school district budgets (public education funds). Employer partners contribute mentoring, internship placements, and advisory roles, but do not provide the primary operational funding for the program. Changed from 'mixed' to 'public' upon review.</t>
        </is>
      </c>
      <c r="T29" t="inlineStr">
        <is>
          <t>public: Career Academies operate within public school systems, administered by school districts and staffed by public school teachers.</t>
        </is>
      </c>
      <c r="U29" t="inlineStr">
        <is>
          <t>Career Academies span grades 9-12 (3-4 years) but no average actual participation duration reported. Kemple &amp; Willner 2008. Duration missing.</t>
        </is>
      </c>
      <c r="BK29" t="inlineStr">
        <is>
          <t>program_uptake: Kemple and Willner 2008, doc p.10 (PDF p.24): '15 percent of the applicants who were randomly assigned to the Academy group never enrolled at all' → 85% ever enrolled. Controls excluded from Academy by random assignment design (school-within-a-school). Control crossover = 0 by design.</t>
        </is>
      </c>
      <c r="BL29" t="inlineStr">
        <is>
          <t>any_training: Not extracted. Career Academies is a high school restructuring program; both Academy and non-Academy students take academic and career/technical courses. No formal first-stage table with training receipt rates in Kemple and Willner 2008. Earlier reports (Kemple and Snipes 2000; Kemple, Poglinco, and Snipes 1999) contain implementation data but are not in the Papers folder.</t>
        </is>
      </c>
    </row>
    <row r="30" ht="86.40000000000001" customHeight="1">
      <c r="A30" s="2" t="inlineStr">
        <is>
          <t>PACE – Year Up</t>
        </is>
      </c>
      <c r="B30" s="2" t="inlineStr">
        <is>
          <t>Full sample (8 offices pooled)</t>
        </is>
      </c>
      <c r="C30" s="2" t="inlineStr">
        <is>
          <t>NDNH wage records</t>
        </is>
      </c>
      <c r="D30" s="2" t="inlineStr">
        <is>
          <t>Primary: Year Up's core service is six months of intensive classroom training in IT/financial services occupations, followed by six-month internships. The program IS training.</t>
        </is>
      </c>
      <c r="E30" s="2" t="inlineStr">
        <is>
          <t>has_classroom=1: six months of formal classroom instruction in IT/financial operations. has_ojt=1: six-month internships at major employers. has_jsa=1: post-graduation job placement assistance. has_multiple_components=1: classroom + internship + stipends + social support.</t>
        </is>
      </c>
      <c r="F30" s="2" t="inlineStr">
        <is>
          <t>Sample sizes: Exhibit 1-1, pp.8-9. Demographics: same exhibit. Randomization period: p.4. Cost: Exhibit 5-2, p.49. pct_no_hs_diploma source: Fein &amp; Hamadyk 2018 (Year Up Implementation and Early Impact Report), Exhibit 3-2, p. 29, "Less than a high school degree" row.</t>
        </is>
      </c>
      <c r="G30" s="2" t="inlineStr">
        <is>
          <t>ST (Year 2): Exhibit 2-1, 'Annual earnings' row, 'Year 2' column, p.14. MT (Year 3): same table, 'Year 3'. LT (Q23-24): same table, 'Average quarterly earnings Q23-24' row. LT employment: Exhibit 2-3, row 'Not currently employed' (complement), p.16. T=20.1%, C=18.9%, impact=+1.2 pp on non-employment → -1.2 pp on employment.</t>
        </is>
      </c>
      <c r="H30" s="2" t="inlineStr">
        <is>
          <t>ITT from OLS with demographic controls (Abt Associates standard PACE methodology).</t>
        </is>
      </c>
      <c r="I30" s="2" t="inlineStr">
        <is>
          <t>Year 2 (~12-24 months post-enrollment, first full post-program year) → short-term. Year 3 (~24-36 months) → medium-term. Q23-24 (~66-72 months, Year 6) → long-term.</t>
        </is>
      </c>
      <c r="J30" s="2" t="inlineStr">
        <is>
          <t>SEs reported directly in Exhibit 2-1.</t>
        </is>
      </c>
      <c r="K30" s="2" t="inlineStr">
        <is>
          <t>Exhibit 5-2, p.49. Net incremental cost = $23,135 (gross $28,290 minus control group service costs $5,155).</t>
        </is>
      </c>
      <c r="L30" s="2" t="inlineStr">
        <is>
          <t>MT earnings are cumulative 2-year, not annual. Treatment/control N split is approximate. GA site showed negative results; CT site had promising Year 2 results but small n. The report could not calculate pooled all-sites employment significance due to GA/CT data restrictions. Year 2 uses smaller sample (only earlier cohorts). LT employment impact is from the six-year follow-up survey (N=1,119 T + 534 C), not NDNH; it is the complement of 'not currently employed' from Exhibit 2-3. FIRST-STAGE FLAGS: (2) C crossover rate of 3.4% includes 20 members who joined Year Up after the 3-year embargo ended; during-embargo crossover was only 9/871 ≈ 1.0%. Paper uses 3.4% and does not adjust for crossover. (3) any_training measures credential receipt from any source (Exhibit 3-2), not training participation per se. A person could train without earning a credential, or earn a credential from prior training. 70.1 - 54.4 = 15.7 but exhibit reports 15.6 (rounding). Implementation report (Fein and Hamadyk 2018) may have more direct service receipt data.</t>
        </is>
      </c>
      <c r="M30" t="inlineStr">
        <is>
          <t>Peck et al. 2021 dataset (PACE-Year Up): coded as 1</t>
        </is>
      </c>
      <c r="N30" t="inlineStr">
        <is>
          <t>Peck et al. 2021 dataset (PACE-Year Up): coded as 0</t>
        </is>
      </c>
      <c r="O30" t="inlineStr">
        <is>
          <t>Peck et al. 2021 dataset (PACE-Year Up): coded as 1</t>
        </is>
      </c>
      <c r="P30" t="inlineStr">
        <is>
          <t>Peck et al. 2021 dataset (PACE-Year Up): coded as 0</t>
        </is>
      </c>
      <c r="Q30" t="inlineStr">
        <is>
          <t>Peck et al. 2021 dataset (PACE-Year Up): coded as 1</t>
        </is>
      </c>
      <c r="R30" t="inlineStr">
        <is>
          <t>Peck et al. 2021 dataset (PACE-Year Up): coded as 1</t>
        </is>
      </c>
      <c r="S30" t="inlineStr">
        <is>
          <t>mixed: Year Up's operating revenue comes from a combination of employer fees for interns (~50%), private philanthropy, and government grants. No single sector dominates.</t>
        </is>
      </c>
      <c r="T30" t="inlineStr">
        <is>
          <t>private: Year Up is a national nonprofit organization that directly operates its programs.</t>
        </is>
      </c>
      <c r="U30" t="inlineStr">
        <is>
          <t>Year Up: 6 months classroom training + 6 months corporate internship = 12 months total. Juras et al. 2022; PACE Year Up report.</t>
        </is>
      </c>
      <c r="BK30" t="inlineStr">
        <is>
          <t>T enrollment: 96% (p.9 text: 'Staff encouraged treatment group members to enroll in Year Up (96 percent did so)'). C crossover: 3.4% (footnote 40, p.4: '29 cases represent a very small fraction — 3.4 percent — of the entire control group'; 9 admitted during embargo + 20 after embargo ended). Impact = 96.0 - 3.4 = 92.6 pp. N uses full randomization sample (1,668 T + 871 C from Exhibit 1-1).</t>
        </is>
      </c>
      <c r="BL30" t="inlineStr">
        <is>
          <t>Exhibit 3-2, 'From various sources (6-year survey)' section, row 'Any source', p.32. T=70.1%, C=54.4%, Impact=+15.6 pp, SE=2.7, p&lt;.001. NOTE: This measures receipt of a credential (from a college, another education/training provider, or a licensing/certification body) — not training participation per se. It is the best available proxy for 'received training from any source' in this paper. A more direct measure of training service receipt may be in the implementation report (Fein and Hamadyk 2018) but is not in this long-term impact report. Survey sample: 1,119 T + 534 C.</t>
        </is>
      </c>
    </row>
    <row r="31" ht="86.40000000000001" customHeight="1">
      <c r="A31" s="2" t="inlineStr">
        <is>
          <t>NEWWS</t>
        </is>
      </c>
      <c r="B31" s="2" t="inlineStr">
        <is>
          <t>Atlanta Human Capital Development</t>
        </is>
      </c>
      <c r="C31" s="2" t="inlineStr">
        <is>
          <t>UI wage records</t>
        </is>
      </c>
      <c r="D31" s="2" t="inlineStr">
        <is>
          <t>Primary: the HCD (Human Capital Development) approach is explicitly education-focused, emphasizing basic education, GED preparation, post-secondary education, and vocational training as the core pathway before job search. Classroom instruction is the central service.</t>
        </is>
      </c>
      <c r="E31" s="2" t="inlineStr">
        <is>
          <t>has_classroom=1: basic education, GED prep, post-secondary education, vocational training. has_ojt=0: no structured OJT or work experience as primary component. has_jsa=1: job search assistance provided after education/training. has_multiple_components=1: education/training + JSA + case management.</t>
        </is>
      </c>
      <c r="F31" s="2" t="inlineStr">
        <is>
          <t>Sample sizes: Appendix Table C.1, Atlanta Human Capital Development section, 'Sample size' row. Randomization period: Chapter 1, Table 1.1, p. ~10-15 (approximate from text). Target group: Chapter 1 text ('single-parent AFDC recipients'). Data source: Appendix A.1 notes ('state UI earnings records'). Cost: Table 13.4, Atlanta Human Capital Development section, Total row (5-year net cost in 1999 dollars). mean_years_schooling: 'Highest grade completed in school (average)' from Freedman, Friedlander, Hamilton et al. 2000, Table 2.3 (p. 44). City-level average used; all program arms within a city share the same baseline sample.</t>
        </is>
      </c>
      <c r="G31" s="2" t="inlineStr">
        <is>
          <t>Short-term (Year 1): Appendix Table C.1, Atlanta Human Capital Development, Year 1 row (employment); Appendix Table C.2, Atlanta Human Capital Development, Year 1 row (earnings). Medium-term (Year 2): same tables, Year 2 rows. Long-term (Year 5): same tables, Year 5 rows. Control means from 'Control Group (%)' or 'Control Group ($)' columns of same rows.</t>
        </is>
      </c>
      <c r="H31" s="2" t="inlineStr">
        <is>
          <t>Regression-adjusted experimental-control difference (ITT), OLS controlling for pre-random assignment characteristics of sample members.</t>
        </is>
      </c>
      <c r="I31" s="2" t="inlineStr">
        <is>
          <t>Year 1 (quarters 2-5, ~3-15 months post-random-assignment) → short-term per CKW. Year 2 (quarters 6-9, ~15-27 months) → medium-term. Year 5 (quarters 18-21, ~51-63 months) → long-term. Per protocol: pick value closest to center of each bin when year-by-year data available.</t>
        </is>
      </c>
      <c r="J31" s="2" t="inlineStr">
        <is>
          <t>SEs not reported. Only significance stars from two-tailed t-test: * = p&lt;0.10, ** = p&lt;0.05, *** = p&lt;0.01.</t>
        </is>
      </c>
      <c r="K31" s="2" t="inlineStr">
        <is>
          <t>Table 13.4, Atlanta Human Capital Development, Total row. 5-year net cost in 1999 dollars.</t>
        </is>
      </c>
      <c r="L31" s="2" t="inlineStr">
        <is>
          <t xml:space="preserve">FLAG: No SEs reported — only significance stars. Cannot compute t-statistics. FLAG: Demographics not yet extracted from Table 2.1. FLAG: Employment measure is annual ('employed in at least one quarter of year'), not quarterly. </t>
        </is>
      </c>
      <c r="M31" t="inlineStr">
        <is>
          <t>NEWWS: Welfare-to-work program administered by welfare agencies (admin=mixed). Education-focused or employment-focused approaches. No CBO lead, no employer engagement in curriculum, no sector focus, no staffing agency.</t>
        </is>
      </c>
      <c r="N31" t="inlineStr">
        <is>
          <t>NEWWS: Welfare-to-work program administered by welfare agencies (admin=mixed). Education-focused or employment-focused approaches. No CBO lead, no employer engagement in curriculum, no sector focus, no staffing agency.</t>
        </is>
      </c>
      <c r="O31" t="inlineStr">
        <is>
          <t>NEWWS: Welfare-to-work program administered by welfare agencies (admin=mixed). Education-focused or employment-focused approaches. No CBO lead, no employer engagement in curriculum, no sector focus, no staffing agency.</t>
        </is>
      </c>
      <c r="P31" t="inlineStr">
        <is>
          <t>NEWWS: Welfare-to-work program administered by welfare agencies (admin=mixed). Education-focused or employment-focused approaches. No CBO lead, no employer engagement in curriculum, no sector focus, no staffing agency.</t>
        </is>
      </c>
      <c r="Q31" t="inlineStr">
        <is>
          <t>NEWWS: Welfare-to-work program administered by welfare agencies (admin=mixed). Education-focused or employment-focused approaches. No CBO lead, no employer engagement in curriculum, no sector focus, no staffing agency.</t>
        </is>
      </c>
      <c r="R31" t="inlineStr">
        <is>
          <t>NEWWS: Welfare-to-work program administered by welfare agencies (admin=mixed). Education-focused or employment-focused approaches. No CBO lead, no employer engagement in curriculum, no sector focus, no staffing agency.</t>
        </is>
      </c>
      <c r="S31" t="inlineStr">
        <is>
          <t>public: NEWWS evaluated mandatory welfare-to-work programs under the JOBS program, funded by federal JOBS matching funds and state/county welfare appropriations. No significant private funding of program operations.</t>
        </is>
      </c>
      <c r="T31" t="inlineStr">
        <is>
          <t>mixed: State and county welfare agencies (public) administered the programs but contracted with community colleges, nonprofits, and other providers (public and private) for education, training, and job search services. The degree of contracting varied by site.</t>
        </is>
      </c>
      <c r="U31" t="inlineStr">
        <is>
          <t>NEWWS Atlanta HCD: welfare-to-work program. Participants required to participate 9-17 months depending on site; actual activity participation episodic. No site-specific avg duration reported. Hamilton et al. 2001. Duration ambiguous.</t>
        </is>
      </c>
      <c r="BK31" t="inlineStr">
        <is>
          <t>program_uptake: Hamilton et al. 2001, Table 3.1, 'Any activity' row, 'Atlanta Human Capital Development' column. Program=74.2%, Control=54.8%, Difference=19.3***. These are five-year cumulative participation rates from the Five-Year Client Survey. 'Any activity' includes job search, education/training, and work experience.</t>
        </is>
      </c>
      <c r="BL31" t="inlineStr">
        <is>
          <t>any_training: Hamilton et al. 2001, Table 3.1, 'Any education or training' row, 'Atlanta Human Capital Development' column. Program=61.2%, Control=35.3%, Difference=25.8***.</t>
        </is>
      </c>
    </row>
    <row r="32" ht="86.40000000000001" customHeight="1">
      <c r="A32" s="2" t="inlineStr">
        <is>
          <t>NEWWS</t>
        </is>
      </c>
      <c r="B32" s="2" t="inlineStr">
        <is>
          <t>Grand Rapids Human Capital Development</t>
        </is>
      </c>
      <c r="C32" s="2" t="inlineStr">
        <is>
          <t>UI wage records</t>
        </is>
      </c>
      <c r="D32" s="2" t="inlineStr">
        <is>
          <t>Primary: the HCD (Human Capital Development) approach is explicitly education-focused, emphasizing basic education, GED preparation, post-secondary education, and vocational training as the core pathway before job search. Classroom instruction is the central service.</t>
        </is>
      </c>
      <c r="E32" s="2" t="inlineStr">
        <is>
          <t>has_classroom=1: basic education, GED prep, post-secondary education, vocational training. has_ojt=0: no structured OJT or work experience as primary component. has_jsa=1: job search assistance provided after education/training. has_multiple_components=1: education/training + JSA + case management.</t>
        </is>
      </c>
      <c r="F32" s="2" t="inlineStr">
        <is>
          <t>Sample sizes: Appendix Table C.1, Grand Rapids Human Capital Development section, 'Sample size' row. Randomization period: Chapter 1, Table 1.1, p. ~10-15 (approximate from text). Target group: Chapter 1 text ('single-parent AFDC recipients'). Data source: Appendix A.1 notes ('state UI earnings records'). Cost: Table 13.4, Grand Rapids Human Capital Development section, Total row (5-year net cost in 1999 dollars). mean_years_schooling: 'Highest grade completed in school (average)' from Freedman, Friedlander, Hamilton et al. 2000, Table 2.3 (p. 44). City-level average used; all program arms within a city share the same baseline sample.</t>
        </is>
      </c>
      <c r="G32" s="2" t="inlineStr">
        <is>
          <t>Short-term (Year 1): Appendix Table C.1, Grand Rapids Human Capital Development, Year 1 row (employment); Appendix Table C.2, Grand Rapids Human Capital Development, Year 1 row (earnings). Medium-term (Year 2): same tables, Year 2 rows. Long-term (Year 5): same tables, Year 5 rows. Control means from 'Control Group (%)' or 'Control Group ($)' columns of same rows.</t>
        </is>
      </c>
      <c r="H32" s="2" t="inlineStr">
        <is>
          <t>Regression-adjusted experimental-control difference (ITT), OLS controlling for pre-random assignment characteristics of sample members.</t>
        </is>
      </c>
      <c r="I32" s="2" t="inlineStr">
        <is>
          <t>Year 1 (quarters 2-5, ~3-15 months post-random-assignment) → short-term per CKW. Year 2 (quarters 6-9, ~15-27 months) → medium-term. Year 5 (quarters 18-21, ~51-63 months) → long-term. Per protocol: pick value closest to center of each bin when year-by-year data available.</t>
        </is>
      </c>
      <c r="J32" s="2" t="inlineStr">
        <is>
          <t>SEs not reported. Only significance stars from two-tailed t-test: * = p&lt;0.10, ** = p&lt;0.05, *** = p&lt;0.01.</t>
        </is>
      </c>
      <c r="K32" s="2" t="inlineStr">
        <is>
          <t>Table 13.4, Grand Rapids Human Capital Development, Total row. 5-year net cost in 1999 dollars.</t>
        </is>
      </c>
      <c r="L32" s="2" t="inlineStr">
        <is>
          <t xml:space="preserve">FLAG: No SEs reported — only significance stars. Cannot compute t-statistics. FLAG: Demographics not yet extracted from Table 2.1. FLAG: Employment measure is annual ('employed in at least one quarter of year'), not quarterly. </t>
        </is>
      </c>
      <c r="M32" t="inlineStr">
        <is>
          <t>NEWWS: Welfare-to-work program administered by welfare agencies (admin=mixed). Education-focused or employment-focused approaches. No CBO lead, no employer engagement in curriculum, no sector focus, no staffing agency.</t>
        </is>
      </c>
      <c r="N32" t="inlineStr">
        <is>
          <t>NEWWS: Welfare-to-work program administered by welfare agencies (admin=mixed). Education-focused or employment-focused approaches. No CBO lead, no employer engagement in curriculum, no sector focus, no staffing agency.</t>
        </is>
      </c>
      <c r="O32" t="inlineStr">
        <is>
          <t>NEWWS: Welfare-to-work program administered by welfare agencies (admin=mixed). Education-focused or employment-focused approaches. No CBO lead, no employer engagement in curriculum, no sector focus, no staffing agency.</t>
        </is>
      </c>
      <c r="P32" t="inlineStr">
        <is>
          <t>NEWWS: Welfare-to-work program administered by welfare agencies (admin=mixed). Education-focused or employment-focused approaches. No CBO lead, no employer engagement in curriculum, no sector focus, no staffing agency.</t>
        </is>
      </c>
      <c r="Q32" t="inlineStr">
        <is>
          <t>NEWWS: Welfare-to-work program administered by welfare agencies (admin=mixed). Education-focused or employment-focused approaches. No CBO lead, no employer engagement in curriculum, no sector focus, no staffing agency.</t>
        </is>
      </c>
      <c r="R32" t="inlineStr">
        <is>
          <t>NEWWS: Welfare-to-work program administered by welfare agencies (admin=mixed). Education-focused or employment-focused approaches. No CBO lead, no employer engagement in curriculum, no sector focus, no staffing agency.</t>
        </is>
      </c>
      <c r="S32" t="inlineStr">
        <is>
          <t>public: NEWWS evaluated mandatory welfare-to-work programs under the JOBS program, funded by federal JOBS matching funds and state/county welfare appropriations. No significant private funding of program operations.</t>
        </is>
      </c>
      <c r="T32" t="inlineStr">
        <is>
          <t>mixed: State and county welfare agencies (public) administered the programs but contracted with community colleges, nonprofits, and other providers (public and private) for education, training, and job search services. The degree of contracting varied by site.</t>
        </is>
      </c>
      <c r="U32" t="inlineStr">
        <is>
          <t>NEWWS Grand Rapids HCD: welfare-to-work. No site-specific avg training duration reported. Hamilton et al. 2001.</t>
        </is>
      </c>
      <c r="BK32" t="inlineStr">
        <is>
          <t>program_uptake: Hamilton et al. 2001, Table 3.1, 'Any activity' row, 'Grand Rapids Human Capital Development' column. Program=81.1%, Control=63.9%, Difference=17.1***.</t>
        </is>
      </c>
      <c r="BL32" t="inlineStr">
        <is>
          <t>any_training: Hamilton et al. 2001, Table 3.1, 'Any education or training' row, 'Grand Rapids Human Capital Development' column. Program=69.3%, Control=55.2%, Difference=14.1***.</t>
        </is>
      </c>
    </row>
    <row r="33" ht="86.40000000000001" customHeight="1">
      <c r="A33" s="2" t="inlineStr">
        <is>
          <t>NEWWS</t>
        </is>
      </c>
      <c r="B33" s="2" t="inlineStr">
        <is>
          <t>Riverside Human Capital Development</t>
        </is>
      </c>
      <c r="C33" s="2" t="inlineStr">
        <is>
          <t>UI wage records</t>
        </is>
      </c>
      <c r="D33" s="2" t="inlineStr">
        <is>
          <t>Primary: the HCD (Human Capital Development) approach is explicitly education-focused, emphasizing basic education, GED preparation, post-secondary education, and vocational training as the core pathway before job search. Classroom instruction is the central service.</t>
        </is>
      </c>
      <c r="E33" s="2" t="inlineStr">
        <is>
          <t>has_classroom=1: basic education, GED prep, post-secondary education, vocational training. has_ojt=0: no structured OJT or work experience as primary component. has_jsa=1: job search assistance provided after education/training. has_multiple_components=1: education/training + JSA + case management.</t>
        </is>
      </c>
      <c r="F33" s="2" t="inlineStr">
        <is>
          <t>Sample sizes: Appendix Table C.1, Riverside Human Capital Development section, 'Sample size' row. Randomization period: Chapter 1, Table 1.1, p. ~10-15 (approximate from text). Target group: Chapter 1 text ('single-parent AFDC recipients'). Data source: Appendix A.1 notes ('state UI earnings records'). Cost: Table 13.4, Riverside Human Capital Development section, Total row (5-year net cost in 1999 dollars). mean_years_schooling: 'Highest grade completed in school (average)' from Freedman, Friedlander, Hamilton et al. 2000, Table 2.3 (p. 44). City-level average used; all program arms within a city share the same baseline sample.</t>
        </is>
      </c>
      <c r="G33" s="2" t="inlineStr">
        <is>
          <t>Short-term (Year 1): Appendix Table C.1, Riverside Human Capital Development, Year 1 row (employment); Appendix Table C.2, Riverside Human Capital Development, Year 1 row (earnings). Medium-term (Year 2): same tables, Year 2 rows. Long-term (Year 5): same tables, Year 5 rows. Control means from 'Control Group (%)' or 'Control Group ($)' columns of same rows.</t>
        </is>
      </c>
      <c r="H33" s="2" t="inlineStr">
        <is>
          <t>Regression-adjusted experimental-control difference (ITT), OLS controlling for pre-random assignment characteristics of sample members.</t>
        </is>
      </c>
      <c r="I33" s="2" t="inlineStr">
        <is>
          <t>Year 1 (quarters 2-5, ~3-15 months post-random-assignment) → short-term per CKW. Year 2 (quarters 6-9, ~15-27 months) → medium-term. Year 5 (quarters 18-21, ~51-63 months) → long-term. Per protocol: pick value closest to center of each bin when year-by-year data available.</t>
        </is>
      </c>
      <c r="J33" s="2" t="inlineStr">
        <is>
          <t>SEs not reported. Only significance stars from two-tailed t-test: * = p&lt;0.10, ** = p&lt;0.05, *** = p&lt;0.01.</t>
        </is>
      </c>
      <c r="K33" s="2" t="inlineStr">
        <is>
          <t>Table 13.4, Riverside Human Capital Development, Total row. 5-year net cost in 1999 dollars.</t>
        </is>
      </c>
      <c r="L33" s="2" t="inlineStr">
        <is>
          <t xml:space="preserve">FLAG: No SEs reported — only significance stars. Cannot compute t-statistics. FLAG: Demographics not yet extracted from Table 2.1. FLAG: Employment measure is annual ('employed in at least one quarter of year'), not quarterly. FLAG: Riverside HCD sample is limited to those lacking a high school diploma or GED (determined by program regulations); control group means differ from LFA for this reason. </t>
        </is>
      </c>
      <c r="M33" t="inlineStr">
        <is>
          <t>NEWWS: Welfare-to-work program administered by welfare agencies (admin=mixed). Education-focused or employment-focused approaches. No CBO lead, no employer engagement in curriculum, no sector focus, no staffing agency.</t>
        </is>
      </c>
      <c r="N33" t="inlineStr">
        <is>
          <t>NEWWS: Welfare-to-work program administered by welfare agencies (admin=mixed). Education-focused or employment-focused approaches. No CBO lead, no employer engagement in curriculum, no sector focus, no staffing agency.</t>
        </is>
      </c>
      <c r="O33" t="inlineStr">
        <is>
          <t>NEWWS: Welfare-to-work program administered by welfare agencies (admin=mixed). Education-focused or employment-focused approaches. No CBO lead, no employer engagement in curriculum, no sector focus, no staffing agency.</t>
        </is>
      </c>
      <c r="P33" t="inlineStr">
        <is>
          <t>NEWWS: Welfare-to-work program administered by welfare agencies (admin=mixed). Education-focused or employment-focused approaches. No CBO lead, no employer engagement in curriculum, no sector focus, no staffing agency.</t>
        </is>
      </c>
      <c r="Q33" t="inlineStr">
        <is>
          <t>NEWWS: Welfare-to-work program administered by welfare agencies (admin=mixed). Education-focused or employment-focused approaches. No CBO lead, no employer engagement in curriculum, no sector focus, no staffing agency.</t>
        </is>
      </c>
      <c r="R33" t="inlineStr">
        <is>
          <t>NEWWS: Welfare-to-work program administered by welfare agencies (admin=mixed). Education-focused or employment-focused approaches. No CBO lead, no employer engagement in curriculum, no sector focus, no staffing agency.</t>
        </is>
      </c>
      <c r="S33" t="inlineStr">
        <is>
          <t>public: NEWWS evaluated mandatory welfare-to-work programs under the JOBS program, funded by federal JOBS matching funds and state/county welfare appropriations. No significant private funding of program operations.</t>
        </is>
      </c>
      <c r="T33" t="inlineStr">
        <is>
          <t>mixed: State and county welfare agencies (public) administered the programs but contracted with community colleges, nonprofits, and other providers (public and private) for education, training, and job search services. The degree of contracting varied by site.</t>
        </is>
      </c>
      <c r="U33" t="inlineStr">
        <is>
          <t>NEWWS Riverside HCD: welfare-to-work. No site-specific avg training duration reported. Hamilton et al. 2001.</t>
        </is>
      </c>
      <c r="BK33" t="inlineStr">
        <is>
          <t>program_uptake: Hamilton et al. 2001, Table 3.1, 'Any activity' row, 'Riverside Human Capital Development' column. Program=82.0%, Control=55.1%, Difference=26.8***. Note: Riverside HCD enrolled only individuals lacking a high school diploma or basic skills; the control group comparison is with those determined to need basic education.</t>
        </is>
      </c>
      <c r="BL33" t="inlineStr">
        <is>
          <t>any_training: Hamilton et al. 2001, Table 3.1, 'Any education or training' row, 'Riverside Human Capital Development' column. Program=68.9%, Control=47.1%, Difference=21.9***.</t>
        </is>
      </c>
    </row>
    <row r="34" ht="86.40000000000001" customHeight="1">
      <c r="A34" s="2" t="inlineStr">
        <is>
          <t>NEWWS</t>
        </is>
      </c>
      <c r="B34" s="2" t="inlineStr">
        <is>
          <t>Columbus Integrated</t>
        </is>
      </c>
      <c r="C34" s="2" t="inlineStr">
        <is>
          <t>UI wage records</t>
        </is>
      </c>
      <c r="D34" s="2" t="inlineStr">
        <is>
          <t>Secondary: Columbus programs tested case management models (integrated vs. traditional) within a welfare-to-work framework. Education and training were significant components but the primary experimental variation was in case management structure, not training content.</t>
        </is>
      </c>
      <c r="E34" s="2" t="inlineStr">
        <is>
          <t>has_classroom=1: basic education, post-secondary education, vocational training. has_ojt=1: work experience component. has_jsa=1: job search activities. has_multiple_components=1: combines education, training, job search, work experience, and case management.</t>
        </is>
      </c>
      <c r="F34" s="2" t="inlineStr">
        <is>
          <t>Sample sizes: Appendix Table C.1, Columbus Integrated section, 'Sample size' row. Randomization period: Chapter 1, Table 1.1, p. ~10-15 (approximate from text). Target group: Chapter 1 text ('single-parent AFDC recipients'). Data source: Appendix A.1 notes ('state UI earnings records'). Cost: Table 13.4, Columbus Integrated section, Total row (5-year net cost in 1999 dollars). mean_years_schooling: 'Highest grade completed in school (average)' from Freedman, Friedlander, Hamilton et al. 2000, Table 2.3 (p. 44). City-level average used; all program arms within a city share the same baseline sample.</t>
        </is>
      </c>
      <c r="G34" s="2" t="inlineStr">
        <is>
          <t>Short-term (Year 1): Appendix Table C.1, Columbus Integrated, Year 1 row (employment); Appendix Table C.2, Columbus Integrated, Year 1 row (earnings). Medium-term (Year 2): same tables, Year 2 rows. Long-term (Year 5): same tables, Year 5 rows. Control means from 'Control Group (%)' or 'Control Group ($)' columns of same rows.</t>
        </is>
      </c>
      <c r="H34" s="2" t="inlineStr">
        <is>
          <t>Regression-adjusted experimental-control difference (ITT), OLS controlling for pre-random assignment characteristics of sample members.</t>
        </is>
      </c>
      <c r="I34" s="2" t="inlineStr">
        <is>
          <t>Year 1 (quarters 2-5, ~3-15 months post-random-assignment) → short-term per CKW. Year 2 (quarters 6-9, ~15-27 months) → medium-term. Year 5 (quarters 18-21, ~51-63 months) → long-term. Per protocol: pick value closest to center of each bin when year-by-year data available.</t>
        </is>
      </c>
      <c r="J34" s="2" t="inlineStr">
        <is>
          <t>SEs not reported. Only significance stars from two-tailed t-test: * = p&lt;0.10, ** = p&lt;0.05, *** = p&lt;0.01.</t>
        </is>
      </c>
      <c r="K34" s="2" t="inlineStr">
        <is>
          <t>Table 13.4, Columbus Integrated, Total row. 5-year net cost in 1999 dollars.</t>
        </is>
      </c>
      <c r="L34" s="2" t="inlineStr">
        <is>
          <t xml:space="preserve">FLAG: No SEs reported — only significance stars. Cannot compute t-statistics. FLAG: Demographics not yet extracted from Table 2.1. FLAG: Employment measure is annual ('employed in at least one quarter of year'), not quarterly. FLAG: Columbus tested case management models; both Integrated and Traditional shared the same control group (n=2,159). FLAG: Columbus randomized before orientation (unlike other NEWWS sites). </t>
        </is>
      </c>
      <c r="M34" t="inlineStr">
        <is>
          <t>NEWWS: Welfare-to-work program administered by welfare agencies (admin=mixed). Education-focused or employment-focused approaches. No CBO lead, no employer engagement in curriculum, no sector focus, no staffing agency.</t>
        </is>
      </c>
      <c r="N34" t="inlineStr">
        <is>
          <t>NEWWS: Welfare-to-work program administered by welfare agencies (admin=mixed). Education-focused or employment-focused approaches. No CBO lead, no employer engagement in curriculum, no sector focus, no staffing agency.</t>
        </is>
      </c>
      <c r="O34" t="inlineStr">
        <is>
          <t>NEWWS: Welfare-to-work program administered by welfare agencies (admin=mixed). Education-focused or employment-focused approaches. No CBO lead, no employer engagement in curriculum, no sector focus, no staffing agency.</t>
        </is>
      </c>
      <c r="P34" t="inlineStr">
        <is>
          <t>NEWWS: Welfare-to-work program administered by welfare agencies (admin=mixed). Education-focused or employment-focused approaches. No CBO lead, no employer engagement in curriculum, no sector focus, no staffing agency.</t>
        </is>
      </c>
      <c r="Q34" t="inlineStr">
        <is>
          <t>NEWWS: Welfare-to-work program administered by welfare agencies (admin=mixed). Education-focused or employment-focused approaches. No CBO lead, no employer engagement in curriculum, no sector focus, no staffing agency.</t>
        </is>
      </c>
      <c r="R34" t="inlineStr">
        <is>
          <t>NEWWS: Welfare-to-work program administered by welfare agencies (admin=mixed). Education-focused or employment-focused approaches. No CBO lead, no employer engagement in curriculum, no sector focus, no staffing agency.</t>
        </is>
      </c>
      <c r="S34" t="inlineStr">
        <is>
          <t>public: NEWWS evaluated mandatory welfare-to-work programs under the JOBS program, funded by federal JOBS matching funds and state/county welfare appropriations. No significant private funding of program operations.</t>
        </is>
      </c>
      <c r="T34" t="inlineStr">
        <is>
          <t>mixed: State and county welfare agencies (public) administered the programs but contracted with community colleges, nonprofits, and other providers (public and private) for education, training, and job search services. The degree of contracting varied by site.</t>
        </is>
      </c>
      <c r="U34" t="inlineStr">
        <is>
          <t>NEWWS Columbus Integrated: welfare-to-work. No site-specific avg training duration reported. Hamilton et al. 2001; Scrivener &amp; Walter 2001.</t>
        </is>
      </c>
      <c r="BK34" t="inlineStr">
        <is>
          <t>program_uptake: Not extracted. Hamilton et al. 2001 reports five-year participation data from the Five-Year Client Survey for only 4 sites (Atlanta, Grand Rapids, Riverside, Portland). Columbus Integrated does not have survey-based participation data in this report.</t>
        </is>
      </c>
      <c r="BL34" t="inlineStr">
        <is>
          <t>any_training: Not extracted. Same reason as program_uptake — no five-year survey data for Columbus Integrated in Hamilton et al. 2001.</t>
        </is>
      </c>
    </row>
    <row r="35" ht="86.40000000000001" customHeight="1">
      <c r="A35" s="2" t="inlineStr">
        <is>
          <t>NEWWS</t>
        </is>
      </c>
      <c r="B35" s="2" t="inlineStr">
        <is>
          <t>Columbus Traditional</t>
        </is>
      </c>
      <c r="C35" s="2" t="inlineStr">
        <is>
          <t>UI wage records</t>
        </is>
      </c>
      <c r="D35" s="2" t="inlineStr">
        <is>
          <t>Secondary: Columbus programs tested case management models (integrated vs. traditional) within a welfare-to-work framework. Education and training were significant components but the primary experimental variation was in case management structure, not training content.</t>
        </is>
      </c>
      <c r="E35" s="2" t="inlineStr">
        <is>
          <t>has_classroom=1: basic education, post-secondary education, vocational training. has_ojt=1: work experience component. has_jsa=1: job search activities. has_multiple_components=1: combines education, training, job search, work experience, and case management.</t>
        </is>
      </c>
      <c r="F35" s="2" t="inlineStr">
        <is>
          <t>Sample sizes: Appendix Table C.1, Columbus Traditional section, 'Sample size' row. Randomization period: Chapter 1, Table 1.1, p. ~10-15 (approximate from text). Target group: Chapter 1 text ('single-parent AFDC recipients'). Data source: Appendix A.1 notes ('state UI earnings records'). Cost: Table 13.4, Columbus Traditional section, Total row (5-year net cost in 1999 dollars). mean_years_schooling: 'Highest grade completed in school (average)' from Freedman, Friedlander, Hamilton et al. 2000, Table 2.3 (p. 44). City-level average used; all program arms within a city share the same baseline sample.</t>
        </is>
      </c>
      <c r="G35" s="2" t="inlineStr">
        <is>
          <t>Short-term (Year 1): Appendix Table C.1, Columbus Traditional, Year 1 row (employment); Appendix Table C.2, Columbus Traditional, Year 1 row (earnings). Medium-term (Year 2): same tables, Year 2 rows. Long-term (Year 5): same tables, Year 5 rows. Control means from 'Control Group (%)' or 'Control Group ($)' columns of same rows.</t>
        </is>
      </c>
      <c r="H35" s="2" t="inlineStr">
        <is>
          <t>Regression-adjusted experimental-control difference (ITT), OLS controlling for pre-random assignment characteristics of sample members.</t>
        </is>
      </c>
      <c r="I35" s="2" t="inlineStr">
        <is>
          <t>Year 1 (quarters 2-5, ~3-15 months post-random-assignment) → short-term per CKW. Year 2 (quarters 6-9, ~15-27 months) → medium-term. Year 5 (quarters 18-21, ~51-63 months) → long-term. Per protocol: pick value closest to center of each bin when year-by-year data available.</t>
        </is>
      </c>
      <c r="J35" s="2" t="inlineStr">
        <is>
          <t>SEs not reported. Only significance stars from two-tailed t-test: * = p&lt;0.10, ** = p&lt;0.05, *** = p&lt;0.01.</t>
        </is>
      </c>
      <c r="K35" s="2" t="inlineStr">
        <is>
          <t>Table 13.4, Columbus Traditional, Total row. 5-year net cost in 1999 dollars.</t>
        </is>
      </c>
      <c r="L35" s="2" t="inlineStr">
        <is>
          <t xml:space="preserve">FLAG: No SEs reported — only significance stars. Cannot compute t-statistics. FLAG: Demographics not yet extracted from Table 2.1. FLAG: Employment measure is annual ('employed in at least one quarter of year'), not quarterly. FLAG: Columbus tested case management models; both Integrated and Traditional shared the same control group (n=2,159). FLAG: Columbus randomized before orientation (unlike other NEWWS sites). </t>
        </is>
      </c>
      <c r="M35" t="inlineStr">
        <is>
          <t>NEWWS: Welfare-to-work program administered by welfare agencies (admin=mixed). Education-focused or employment-focused approaches. No CBO lead, no employer engagement in curriculum, no sector focus, no staffing agency.</t>
        </is>
      </c>
      <c r="N35" t="inlineStr">
        <is>
          <t>NEWWS: Welfare-to-work program administered by welfare agencies (admin=mixed). Education-focused or employment-focused approaches. No CBO lead, no employer engagement in curriculum, no sector focus, no staffing agency.</t>
        </is>
      </c>
      <c r="O35" t="inlineStr">
        <is>
          <t>NEWWS: Welfare-to-work program administered by welfare agencies (admin=mixed). Education-focused or employment-focused approaches. No CBO lead, no employer engagement in curriculum, no sector focus, no staffing agency.</t>
        </is>
      </c>
      <c r="P35" t="inlineStr">
        <is>
          <t>NEWWS: Welfare-to-work program administered by welfare agencies (admin=mixed). Education-focused or employment-focused approaches. No CBO lead, no employer engagement in curriculum, no sector focus, no staffing agency.</t>
        </is>
      </c>
      <c r="Q35" t="inlineStr">
        <is>
          <t>NEWWS: Welfare-to-work program administered by welfare agencies (admin=mixed). Education-focused or employment-focused approaches. No CBO lead, no employer engagement in curriculum, no sector focus, no staffing agency.</t>
        </is>
      </c>
      <c r="R35" t="inlineStr">
        <is>
          <t>NEWWS: Welfare-to-work program administered by welfare agencies (admin=mixed). Education-focused or employment-focused approaches. No CBO lead, no employer engagement in curriculum, no sector focus, no staffing agency.</t>
        </is>
      </c>
      <c r="S35" t="inlineStr">
        <is>
          <t>public: NEWWS evaluated mandatory welfare-to-work programs under the JOBS program, funded by federal JOBS matching funds and state/county welfare appropriations. No significant private funding of program operations.</t>
        </is>
      </c>
      <c r="T35" t="inlineStr">
        <is>
          <t>mixed: State and county welfare agencies (public) administered the programs but contracted with community colleges, nonprofits, and other providers (public and private) for education, training, and job search services. The degree of contracting varied by site.</t>
        </is>
      </c>
      <c r="U35" t="inlineStr">
        <is>
          <t>NEWWS Columbus Traditional: welfare-to-work. No site-specific avg training duration reported. Hamilton et al. 2001.</t>
        </is>
      </c>
      <c r="BK35" t="inlineStr">
        <is>
          <t>program_uptake: Not extracted. Hamilton et al. 2001 reports five-year participation data from the Five-Year Client Survey for only 4 sites (Atlanta, Grand Rapids, Riverside, Portland). Columbus Traditional does not have survey-based participation data in this report.</t>
        </is>
      </c>
      <c r="BL35" t="inlineStr">
        <is>
          <t>any_training: Not extracted. Same reason as program_uptake — no five-year survey data for Columbus Traditional in Hamilton et al. 2001.</t>
        </is>
      </c>
    </row>
    <row r="36" ht="100.8" customHeight="1">
      <c r="A36" s="2" t="inlineStr">
        <is>
          <t>NEWWS</t>
        </is>
      </c>
      <c r="B36" s="2" t="inlineStr">
        <is>
          <t>Detroit MOST</t>
        </is>
      </c>
      <c r="C36" s="2" t="inlineStr">
        <is>
          <t>UI wage records</t>
        </is>
      </c>
      <c r="D36" s="2" t="inlineStr">
        <is>
          <t>Primary: Detroit MOST (Michigan Opportunity and Skills Training) emphasized education and training as core services. The program name itself highlights training. Due to data limitations, vocational training, post-secondary education, and basic education could not be separated in the cost analysis, suggesting they were treated as a unified training program.</t>
        </is>
      </c>
      <c r="E36" s="2" t="inlineStr">
        <is>
          <t>has_classroom=1: basic education and vocational training (combined as 'education and training'). has_ojt=1: work experience component. has_jsa=1: job search activities. has_multiple_components=1: combines education, training, job search, work experience, and case management.</t>
        </is>
      </c>
      <c r="F36" s="2" t="inlineStr">
        <is>
          <t>Sample sizes: Appendix Table C.1, Detroit MOST section, 'Sample size' row. Randomization period: Chapter 1, Table 1.1, p. ~10-15 (approximate from text). Target group: Chapter 1 text ('single-parent AFDC recipients'). Data source: Appendix A.1 notes ('state UI earnings records'). Cost: Table 13.4, Detroit MOST section, Total row (5-year net cost in 1999 dollars). mean_years_schooling: 'Highest grade completed in school (average)' from Freedman, Friedlander, Hamilton et al. 2000, Table 2.3 (p. 44). City-level average used; all program arms within a city share the same baseline sample.</t>
        </is>
      </c>
      <c r="G36" s="2" t="inlineStr">
        <is>
          <t>Short-term (Year 1): Appendix Table C.1, Detroit MOST, Year 1 row (employment); Appendix Table C.2, Detroit MOST, Year 1 row (earnings). Medium-term (Year 2): same tables, Year 2 rows. Long-term (Year 5): same tables, Year 5 rows. Control means from 'Control Group (%)' or 'Control Group ($)' columns of same rows.</t>
        </is>
      </c>
      <c r="H36" s="2" t="inlineStr">
        <is>
          <t>Regression-adjusted experimental-control difference (ITT), OLS controlling for pre-random assignment characteristics of sample members.</t>
        </is>
      </c>
      <c r="I36" s="2" t="inlineStr">
        <is>
          <t>Year 1 (quarters 2-5, ~3-15 months post-random-assignment) → short-term per CKW. Year 2 (quarters 6-9, ~15-27 months) → medium-term. Year 5 (quarters 18-21, ~51-63 months) → long-term. Per protocol: pick value closest to center of each bin when year-by-year data available.</t>
        </is>
      </c>
      <c r="J36" s="2" t="inlineStr">
        <is>
          <t>SEs not reported. Only significance stars from two-tailed t-test: * = p&lt;0.10, ** = p&lt;0.05, *** = p&lt;0.01.</t>
        </is>
      </c>
      <c r="K36" s="2" t="inlineStr">
        <is>
          <t>Table 13.4, Detroit, Total row. 5-year net cost in 1999 dollars.</t>
        </is>
      </c>
      <c r="L36" s="2" t="inlineStr">
        <is>
          <t xml:space="preserve">FLAG: No SEs reported — only significance stars. Cannot compute t-statistics. FLAG: Demographics not yet extracted from Table 2.1. FLAG: Employment measure is annual ('employed in at least one quarter of year'), not quarterly. </t>
        </is>
      </c>
      <c r="M36" t="inlineStr">
        <is>
          <t>NEWWS: Welfare-to-work program administered by welfare agencies (admin=mixed). Education-focused or employment-focused approaches. No CBO lead, no employer engagement in curriculum, no sector focus, no staffing agency.</t>
        </is>
      </c>
      <c r="N36" t="inlineStr">
        <is>
          <t>NEWWS: Welfare-to-work program administered by welfare agencies (admin=mixed). Education-focused or employment-focused approaches. No CBO lead, no employer engagement in curriculum, no sector focus, no staffing agency.</t>
        </is>
      </c>
      <c r="O36" t="inlineStr">
        <is>
          <t>NEWWS: Welfare-to-work program administered by welfare agencies (admin=mixed). Education-focused or employment-focused approaches. No CBO lead, no employer engagement in curriculum, no sector focus, no staffing agency.</t>
        </is>
      </c>
      <c r="P36" t="inlineStr">
        <is>
          <t>NEWWS: Welfare-to-work program administered by welfare agencies (admin=mixed). Education-focused or employment-focused approaches. No CBO lead, no employer engagement in curriculum, no sector focus, no staffing agency.</t>
        </is>
      </c>
      <c r="Q36" t="inlineStr">
        <is>
          <t>NEWWS: Welfare-to-work program administered by welfare agencies (admin=mixed). Education-focused or employment-focused approaches. No CBO lead, no employer engagement in curriculum, no sector focus, no staffing agency.</t>
        </is>
      </c>
      <c r="R36" t="inlineStr">
        <is>
          <t>NEWWS: Welfare-to-work program administered by welfare agencies (admin=mixed). Education-focused or employment-focused approaches. No CBO lead, no employer engagement in curriculum, no sector focus, no staffing agency.</t>
        </is>
      </c>
      <c r="S36" t="inlineStr">
        <is>
          <t>public: NEWWS evaluated mandatory welfare-to-work programs under the JOBS program, funded by federal JOBS matching funds and state/county welfare appropriations. No significant private funding of program operations.</t>
        </is>
      </c>
      <c r="T36" t="inlineStr">
        <is>
          <t>mixed: State and county welfare agencies (public) administered the programs but contracted with community colleges, nonprofits, and other providers (public and private) for education, training, and job search services. The degree of contracting varied by site.</t>
        </is>
      </c>
      <c r="U36" t="inlineStr">
        <is>
          <t>NEWWS Detroit MOST: welfare-to-work. No site-specific avg training duration reported. Hamilton et al. 2001.</t>
        </is>
      </c>
      <c r="BK36" t="inlineStr">
        <is>
          <t>program_uptake: Not extracted. Hamilton et al. 2001 reports five-year participation data from the Five-Year Client Survey for only 4 sites (Atlanta, Grand Rapids, Riverside, Portland). Detroit MOST does not have survey-based participation data in this report.</t>
        </is>
      </c>
      <c r="BL36" t="inlineStr">
        <is>
          <t>any_training: Not extracted. Same reason as program_uptake — no five-year survey data for Detroit MOST in Hamilton et al. 2001.</t>
        </is>
      </c>
    </row>
    <row r="37" ht="86.40000000000001" customHeight="1">
      <c r="A37" s="2" t="inlineStr">
        <is>
          <t>NEWWS</t>
        </is>
      </c>
      <c r="B37" s="2" t="inlineStr">
        <is>
          <t>Oklahoma City ET&amp;E</t>
        </is>
      </c>
      <c r="C37" s="2" t="inlineStr">
        <is>
          <t>UI wage records</t>
        </is>
      </c>
      <c r="D37" s="2" t="inlineStr">
        <is>
          <t>Secondary: Oklahoma City ET&amp;E (Education, Training, and Employment) included training as one component of a broader welfare-to-work program. The program combined education, training, and employment activities; training was not the sole focus.</t>
        </is>
      </c>
      <c r="E37" s="2" t="inlineStr">
        <is>
          <t>has_classroom=1: basic education and vocational training components. has_ojt=0: no structured OJT reported as a major component. has_jsa=1: job search activities. has_multiple_components=1: combines education, training, and employment activities + case management.</t>
        </is>
      </c>
      <c r="F37" s="2" t="inlineStr">
        <is>
          <t>Sample sizes: Appendix Table C.1, Oklahoma City ET&amp;E section, 'Sample size' row. Randomization period: Chapter 1, Table 1.1, p. ~10-15 (approximate from text). Target group: Chapter 1 text ('single-parent AFDC recipients'). Data source: Appendix A.1 notes ('state UI earnings records'). Cost: Table 13.4, Oklahoma City ET&amp;E section, Total row (5-year net cost in 1999 dollars). mean_years_schooling: 'Highest grade completed in school (average)' from Freedman, Friedlander, Hamilton et al. 2000, Table 2.3 (p. 44). City-level average used; all program arms within a city share the same baseline sample.</t>
        </is>
      </c>
      <c r="G37" s="2" t="inlineStr">
        <is>
          <t>Short-term (Year 1): Appendix Table C.1, Oklahoma City ET&amp;E, Year 1 row (employment); Appendix Table C.2, Oklahoma City ET&amp;E, Year 1 row (earnings). Medium-term (Year 2): same tables, Year 2 rows. Long-term (Year 5): same tables, Year 5 rows. Control means from 'Control Group (%)' or 'Control Group ($)' columns of same rows.</t>
        </is>
      </c>
      <c r="H37" s="2" t="inlineStr">
        <is>
          <t>Regression-adjusted experimental-control difference (ITT), OLS controlling for pre-random assignment characteristics of sample members.</t>
        </is>
      </c>
      <c r="I37" s="2" t="inlineStr">
        <is>
          <t>Year 1 (quarters 2-5, ~3-15 months post-random-assignment) → short-term per CKW. Year 2 (quarters 6-9, ~15-27 months) → medium-term. Year 5 (quarters 18-21, ~51-63 months) → long-term. Per protocol: pick value closest to center of each bin when year-by-year data available.</t>
        </is>
      </c>
      <c r="J37" s="2" t="inlineStr">
        <is>
          <t>SEs not reported. Only significance stars from two-tailed t-test: * = p&lt;0.10, ** = p&lt;0.05, *** = p&lt;0.01.</t>
        </is>
      </c>
      <c r="K37" s="2" t="inlineStr">
        <is>
          <t>Oklahoma City not included in Table 13.4; cost data not reported for this site.</t>
        </is>
      </c>
      <c r="L37" s="2" t="inlineStr">
        <is>
          <t xml:space="preserve">FLAG: No SEs reported — only significance stars. Cannot compute t-statistics. FLAG: Demographics not yet extracted from Table 2.1. FLAG: Employment measure is annual ('employed in at least one quarter of year'), not quarterly. FLAG: Cost data not reported in Table 13.4 for Oklahoma City. </t>
        </is>
      </c>
      <c r="M37" t="inlineStr">
        <is>
          <t>NEWWS: Welfare-to-work program administered by welfare agencies (admin=mixed). Education-focused or employment-focused approaches. No CBO lead, no employer engagement in curriculum, no sector focus, no staffing agency.</t>
        </is>
      </c>
      <c r="N37" t="inlineStr">
        <is>
          <t>NEWWS: Welfare-to-work program administered by welfare agencies (admin=mixed). Education-focused or employment-focused approaches. No CBO lead, no employer engagement in curriculum, no sector focus, no staffing agency.</t>
        </is>
      </c>
      <c r="O37" t="inlineStr">
        <is>
          <t>NEWWS: Welfare-to-work program administered by welfare agencies (admin=mixed). Education-focused or employment-focused approaches. No CBO lead, no employer engagement in curriculum, no sector focus, no staffing agency.</t>
        </is>
      </c>
      <c r="P37" t="inlineStr">
        <is>
          <t>NEWWS: Welfare-to-work program administered by welfare agencies (admin=mixed). Education-focused or employment-focused approaches. No CBO lead, no employer engagement in curriculum, no sector focus, no staffing agency.</t>
        </is>
      </c>
      <c r="Q37" t="inlineStr">
        <is>
          <t>NEWWS: Welfare-to-work program administered by welfare agencies (admin=mixed). Education-focused or employment-focused approaches. No CBO lead, no employer engagement in curriculum, no sector focus, no staffing agency.</t>
        </is>
      </c>
      <c r="R37" t="inlineStr">
        <is>
          <t>NEWWS: Welfare-to-work program administered by welfare agencies (admin=mixed). Education-focused or employment-focused approaches. No CBO lead, no employer engagement in curriculum, no sector focus, no staffing agency.</t>
        </is>
      </c>
      <c r="S37" t="inlineStr">
        <is>
          <t>public: NEWWS evaluated mandatory welfare-to-work programs under the JOBS program, funded by federal JOBS matching funds and state/county welfare appropriations. No significant private funding of program operations.</t>
        </is>
      </c>
      <c r="T37" t="inlineStr">
        <is>
          <t>mixed: State and county welfare agencies (public) administered the programs but contracted with community colleges, nonprofits, and other providers (public and private) for education, training, and job search services. The degree of contracting varied by site.</t>
        </is>
      </c>
      <c r="U37" t="inlineStr">
        <is>
          <t>NEWWS Oklahoma City: welfare-to-work. No site-specific avg training duration reported. Hamilton et al. 2001.</t>
        </is>
      </c>
      <c r="BK37" t="inlineStr">
        <is>
          <t>program_uptake: Not extracted. Hamilton et al. 2001 reports five-year participation data from the Five-Year Client Survey for only 4 sites (Atlanta, Grand Rapids, Riverside, Portland). Oklahoma City ET&amp;E does not have survey-based participation data in this report.</t>
        </is>
      </c>
      <c r="BL37" t="inlineStr">
        <is>
          <t>any_training: Not extracted. Same reason as program_uptake — no five-year survey data for Oklahoma City ET&amp;E in Hamilton et al. 2001.</t>
        </is>
      </c>
    </row>
    <row r="38" ht="100.8" customHeight="1">
      <c r="A38" s="2" t="inlineStr">
        <is>
          <t>NEWWS</t>
        </is>
      </c>
      <c r="B38" s="2" t="inlineStr">
        <is>
          <t>Portland JOBS</t>
        </is>
      </c>
      <c r="C38" s="2" t="inlineStr">
        <is>
          <t>UI wage records</t>
        </is>
      </c>
      <c r="D38" s="2" t="inlineStr">
        <is>
          <t>Secondary: Portland JOBS used a mixed approach emphasizing rapid employment for job-ready participants and education/training for those who needed skill-building. Training was a significant component but the program's distinctive feature was its mixed strategy, not its training per se.</t>
        </is>
      </c>
      <c r="E38" s="2" t="inlineStr">
        <is>
          <t>has_classroom=1: basic education, post-secondary education, vocational training for those needing it. has_ojt=0: no structured OJT. has_jsa=1: strong job search emphasis for job-ready participants. has_multiple_components=1: mixed approach combining education/training and job search + case management.</t>
        </is>
      </c>
      <c r="F38" s="2" t="inlineStr">
        <is>
          <t>Sample sizes: Appendix Table C.1, Portland JOBS section, 'Sample size' row. Randomization period: Chapter 1, Table 1.1, p. ~10-15 (approximate from text). Target group: Chapter 1 text ('single-parent AFDC recipients'). Data source: Appendix A.1 notes ('state UI earnings records'). Cost: Table 13.4, Portland JOBS section, Total row (5-year net cost in 1999 dollars). mean_years_schooling: 'Highest grade completed in school (average)' from Freedman, Friedlander, Hamilton et al. 2000, Table 2.3 (p. 44). City-level average used; all program arms within a city share the same baseline sample.</t>
        </is>
      </c>
      <c r="G38" s="2" t="inlineStr">
        <is>
          <t>Short-term (Year 1): Appendix Table C.1, Portland JOBS, Year 1 row (employment); Appendix Table C.2, Portland JOBS, Year 1 row (earnings). Medium-term (Year 2): same tables, Year 2 rows. Long-term (Year 5): same tables, Year 5 rows. Control means from 'Control Group (%)' or 'Control Group ($)' columns of same rows.</t>
        </is>
      </c>
      <c r="H38" s="2" t="inlineStr">
        <is>
          <t>Regression-adjusted experimental-control difference (ITT), OLS controlling for pre-random assignment characteristics of sample members.</t>
        </is>
      </c>
      <c r="I38" s="2" t="inlineStr">
        <is>
          <t>Year 1 (quarters 2-5, ~3-15 months post-random-assignment) → short-term per CKW. Year 2 (quarters 6-9, ~15-27 months) → medium-term. Year 5 (quarters 18-21, ~51-63 months) → long-term. Per protocol: pick value closest to center of each bin when year-by-year data available.</t>
        </is>
      </c>
      <c r="J38" s="2" t="inlineStr">
        <is>
          <t>SEs not reported. Only significance stars from two-tailed t-test: * = p&lt;0.10, ** = p&lt;0.05, *** = p&lt;0.01.</t>
        </is>
      </c>
      <c r="K38" s="2" t="inlineStr">
        <is>
          <t>Table 13.4, Portland, Total row. 5-year net cost in 1999 dollars.</t>
        </is>
      </c>
      <c r="L38" s="2" t="inlineStr">
        <is>
          <t xml:space="preserve">FLAG: No SEs reported — only significance stars. Cannot compute t-statistics. FLAG: Demographics not yet extracted from Table 2.1. FLAG: Employment measure is annual ('employed in at least one quarter of year'), not quarterly. FLAG: Very unbalanced randomization — 3,529 treatment vs. 499 control. FLAG: Portland used a mixed LFA/HCD approach; classified as training_role='secondary' because the distinctive feature was the mixed strategy, not training alone. </t>
        </is>
      </c>
      <c r="M38" t="inlineStr">
        <is>
          <t>NEWWS: Welfare-to-work program administered by welfare agencies (admin=mixed). Education-focused or employment-focused approaches. No CBO lead, no employer engagement in curriculum, no sector focus, no staffing agency.</t>
        </is>
      </c>
      <c r="N38" t="inlineStr">
        <is>
          <t>NEWWS: Welfare-to-work program administered by welfare agencies (admin=mixed). Education-focused or employment-focused approaches. No CBO lead, no employer engagement in curriculum, no sector focus, no staffing agency.</t>
        </is>
      </c>
      <c r="O38" t="inlineStr">
        <is>
          <t>NEWWS: Welfare-to-work program administered by welfare agencies (admin=mixed). Education-focused or employment-focused approaches. No CBO lead, no employer engagement in curriculum, no sector focus, no staffing agency.</t>
        </is>
      </c>
      <c r="P38" t="inlineStr">
        <is>
          <t>NEWWS: Welfare-to-work program administered by welfare agencies (admin=mixed). Education-focused or employment-focused approaches. No CBO lead, no employer engagement in curriculum, no sector focus, no staffing agency.</t>
        </is>
      </c>
      <c r="Q38" t="inlineStr">
        <is>
          <t>NEWWS: Welfare-to-work program administered by welfare agencies (admin=mixed). Education-focused or employment-focused approaches. No CBO lead, no employer engagement in curriculum, no sector focus, no staffing agency.</t>
        </is>
      </c>
      <c r="R38" t="inlineStr">
        <is>
          <t>NEWWS: Welfare-to-work program administered by welfare agencies (admin=mixed). Education-focused or employment-focused approaches. No CBO lead, no employer engagement in curriculum, no sector focus, no staffing agency.</t>
        </is>
      </c>
      <c r="S38" t="inlineStr">
        <is>
          <t>public: NEWWS evaluated mandatory welfare-to-work programs under the JOBS program, funded by federal JOBS matching funds and state/county welfare appropriations. No significant private funding of program operations.</t>
        </is>
      </c>
      <c r="T38" t="inlineStr">
        <is>
          <t>mixed: State and county welfare agencies (public) administered the programs but contracted with community colleges, nonprofits, and other providers (public and private) for education, training, and job search services. The degree of contracting varied by site.</t>
        </is>
      </c>
      <c r="U38" t="inlineStr">
        <is>
          <t>NEWWS Portland JOBS: welfare-to-work. No site-specific avg training duration reported. Hamilton et al. 2001.</t>
        </is>
      </c>
      <c r="BK38" t="inlineStr">
        <is>
          <t>program_uptake: Hamilton et al. 2001, Table 3.1, 'Any activity' row, 'Portland' column. Program=83.8%, Control=75.0%, Difference=8.8**. Note: Portland had the highest control group participation (75%), reflecting the active self-initiated participation of controls in this site. The small impact reflects high control-group activity, not low program participation.</t>
        </is>
      </c>
      <c r="BL38" t="inlineStr">
        <is>
          <t>any_training: Hamilton et al. 2001, Table 3.1, 'Any education or training' row, 'Portland' column. Program=67.5%, Control=55.0%, Difference=12.5***.</t>
        </is>
      </c>
    </row>
    <row r="39" ht="100.8" customHeight="1">
      <c r="A39" s="2" t="inlineStr">
        <is>
          <t>PACE</t>
        </is>
      </c>
      <c r="B39" s="2" t="inlineStr">
        <is>
          <t>Bridge to Employment (San Diego)</t>
        </is>
      </c>
      <c r="C39" s="2" t="inlineStr">
        <is>
          <t>NDNH wage records</t>
        </is>
      </c>
      <c r="D39" s="2" t="inlineStr">
        <is>
          <t>Primary: the program's core service is classroom-based education and/or occupational training. All PACE programs are career pathways training interventions.</t>
        </is>
      </c>
      <c r="E39" s="2" t="inlineStr">
        <is>
          <t>has_classroom=1: formal classroom instruction (occupational training, basic education). has_ojt=0: no structured on-the-job training component. has_jsa varies by program. has_multiple_components=1: training + supports.</t>
        </is>
      </c>
      <c r="F39" s="2" t="inlineStr">
        <is>
          <t>Sample sizes: Exhibit B (earnings table), sample size row, in Juras et al. 2022 cross-site report. Randomization period: Exhibit 1, p.2 ('earliest enrollment began November 2011, all ended December 2014'). Program description: Program Profiles section, pp.8-17. Demographics (Female %, Race/Ethnicity %, Less than a high school degree %): PACE Cross-Program Implementation and Impact Study Findings (Abt 2017), Appendix B, p. B-2, Bridge to Employment column.</t>
        </is>
      </c>
      <c r="G39" s="2" t="inlineStr">
        <is>
          <t>ST (Year 1): Exhibit B-2, 'Year 1 (Q 0-3)' row, p.31. MT (Year 2): same table, 'Year 2 (Q 4-7)' row. LT (Confirm): same table, 'Confirmatory outcome' row. LT employment: same table, 'Employed (%) in follow-up Q24' row.</t>
        </is>
      </c>
      <c r="H39" s="2" t="inlineStr">
        <is>
          <t>ITT regression-adjusted impact from OLS with baseline demographic controls (Abt Associates PACE methodology).</t>
        </is>
      </c>
      <c r="I39"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39" s="2" t="inlineStr">
        <is>
          <t>SEs reported directly in Appendix B tables.</t>
        </is>
      </c>
      <c r="K39" s="2" t="inlineStr">
        <is>
          <t>Cost data not extracted from cross-site report; available in individual program reports.</t>
        </is>
      </c>
      <c r="L39"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M39" t="inlineStr">
        <is>
          <t>Peck et al. 2021 dataset (PACE-Bridge to Employment): coded as 0</t>
        </is>
      </c>
      <c r="N39" t="inlineStr">
        <is>
          <t>Peck et al. 2021 dataset (PACE-Bridge to Employment): coded as 0</t>
        </is>
      </c>
      <c r="O39" t="inlineStr">
        <is>
          <t>Peck et al. 2021 dataset (PACE-Bridge to Employment): coded as 0</t>
        </is>
      </c>
      <c r="P39" t="inlineStr">
        <is>
          <t>Peck et al. 2021 dataset (PACE-Bridge to Employment): coded as 1</t>
        </is>
      </c>
      <c r="Q39" t="inlineStr">
        <is>
          <t>Peck et al. 2021 dataset (PACE-Bridge to Employment): coded as 0</t>
        </is>
      </c>
      <c r="R39" t="inlineStr">
        <is>
          <t>Peck et al. 2021 dataset (PACE-Bridge to Employment): coded as 0</t>
        </is>
      </c>
      <c r="S39" t="inlineStr">
        <is>
          <t>public: All PACE programs were funded through combinations of public sources: community college budgets, Pell grants, WIA/WIOA funds, TANF, and state workforce development funds. Some sites had supplemental private funding but public sources dominated.</t>
        </is>
      </c>
      <c r="T39" t="inlineStr">
        <is>
          <t>public: Bridge to Employment was based at San Diego Continuing Education (public adult ed).</t>
        </is>
      </c>
      <c r="U39" t="inlineStr">
        <is>
          <t>Bridge to Employment (San Diego): among those who enrolled in training, avg 4.9 months in training. PACE San Diego Three-Year Report 2020.</t>
        </is>
      </c>
      <c r="BK39" t="inlineStr">
        <is>
          <t>program_uptake: PACE San Diego BTE Three-Year Impact Report 2020, Section 1.2.1, p.10: 'about 82 percent of treatment group members participated in healthcare training' (from HPOG administrative records). Control group barred from BTE by design, so C=0. Impact = 82 - 0 = 82 pp.</t>
        </is>
      </c>
      <c r="BL39" t="inlineStr">
        <is>
          <t>any_training: PACE San Diego BTE Three-Year Impact Report 2020, Section 1.2.1, p.10: '17 percentage point difference in the proportion of treatment versus control group members who received training in any subject (75 percent versus 58 percent)' — from 18-month follow-up survey (fn 22). Impact = 75 - 58 = 17 pp, C mean = 58%.</t>
        </is>
      </c>
    </row>
    <row r="40" ht="100.8" customHeight="1">
      <c r="A40" s="2" t="inlineStr">
        <is>
          <t>PACE</t>
        </is>
      </c>
      <c r="B40" s="2" t="inlineStr">
        <is>
          <t>Carreras en Salud (Chicago)</t>
        </is>
      </c>
      <c r="C40" s="2" t="inlineStr">
        <is>
          <t>NDNH wage records</t>
        </is>
      </c>
      <c r="D40" s="2" t="inlineStr">
        <is>
          <t>Primary: the program's core service is classroom-based education and/or occupational training. All PACE programs are career pathways training interventions.</t>
        </is>
      </c>
      <c r="E40" s="2" t="inlineStr">
        <is>
          <t>has_classroom=1: formal classroom instruction (occupational training, basic education). has_ojt=0: no structured on-the-job training component. has_jsa varies by program. has_multiple_components=1: training + supports.</t>
        </is>
      </c>
      <c r="F40"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Carreras en Salud column.</t>
        </is>
      </c>
      <c r="G40" s="2" t="inlineStr">
        <is>
          <t>ST: Exhibit B-5, 'Year 1 (Q 0-3)' row, p.33. MT: same table, 'Year 2 (Q 4-7)'. LT: same table, 'Confirmatory outcome'. LT emp: same table, 'Employed (%) in follow-up Q24'.</t>
        </is>
      </c>
      <c r="H40" s="2" t="inlineStr">
        <is>
          <t>ITT regression-adjusted impact from OLS with baseline demographic controls (Abt Associates PACE methodology).</t>
        </is>
      </c>
      <c r="I40"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0" s="2" t="inlineStr">
        <is>
          <t>SEs reported directly in Appendix B tables.</t>
        </is>
      </c>
      <c r="K40" s="2" t="inlineStr">
        <is>
          <t>Cost data not extracted from cross-site report; available in individual program reports.</t>
        </is>
      </c>
      <c r="L40"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M40" t="inlineStr">
        <is>
          <t>Peck et al. 2021 dataset (PACE-Carreras en Salud): coded as 1</t>
        </is>
      </c>
      <c r="N40" t="inlineStr">
        <is>
          <t>Peck et al. 2021 dataset (PACE-Carreras en Salud): coded as 0</t>
        </is>
      </c>
      <c r="O40" t="inlineStr">
        <is>
          <t>Peck et al. 2021 dataset (PACE-Carreras en Salud): coded as 0</t>
        </is>
      </c>
      <c r="P40" t="inlineStr">
        <is>
          <t>Peck et al. 2021 dataset (PACE-Carreras en Salud): coded as 1</t>
        </is>
      </c>
      <c r="Q40" t="inlineStr">
        <is>
          <t>Peck et al. 2021 dataset (PACE-Carreras en Salud): coded as 1</t>
        </is>
      </c>
      <c r="R40" t="inlineStr">
        <is>
          <t>Peck et al. 2021 dataset (PACE-Carreras en Salud): coded as 0</t>
        </is>
      </c>
      <c r="S40" t="inlineStr">
        <is>
          <t>public: All PACE programs were funded through combinations of public sources: community college budgets, Pell grants, WIA/WIOA funds, TANF, and state workforce development funds. Some sites had supplemental private funding but public sources dominated.</t>
        </is>
      </c>
      <c r="T40" t="inlineStr">
        <is>
          <t>private: Carreras en Salud was run by Instituto del Progreso Latino, a nonprofit CBO in Chicago.</t>
        </is>
      </c>
      <c r="U40" t="inlineStr">
        <is>
          <t>Carreras en Salud (Chicago): multi-step pathway from lower bridge courses (CNA, 16+16 weeks) to LPN (12 months). Total duration varies widely by pathway chosen. PACE Carreras Six-Year Report 2022. Duration ambiguous.</t>
        </is>
      </c>
      <c r="BK40" t="inlineStr">
        <is>
          <t>program_uptake_impact=93: Section 1.4, p. 11 of Introduction, Carreras en Salud Six-Year Impact Report (2022): 'In the first three years, 93 percent of students enrolled in at least one training course.' Source is Instituto program records per Gardiner, Martinson, and Dastrup (2021). C=0 by design: controls barred from Carreras program (Section 1.3, p. 5: 'Control group members could not enroll in the program').</t>
        </is>
      </c>
      <c r="BL40" t="inlineStr">
        <is>
          <t>any_training: NOT REPORTED. The six-year report provides T-group participation in Carreras steps (93%) from program records, but does not report T vs C rates of training from any source. The three-year report (Gardiner, Martinson, and Dastrup 2021) may contain this data but is not available. Credential receipt data (29% T vs 17% C for any college credential at 3 years, Section 1.4, p. 11) is not equivalent to training enrollment rates.</t>
        </is>
      </c>
    </row>
    <row r="41" ht="100.8" customHeight="1">
      <c r="A41" s="2" t="inlineStr">
        <is>
          <t>PACE</t>
        </is>
      </c>
      <c r="B41" s="2" t="inlineStr">
        <is>
          <t>Health Careers for All (Seattle)</t>
        </is>
      </c>
      <c r="C41" s="2" t="inlineStr">
        <is>
          <t>NDNH wage records</t>
        </is>
      </c>
      <c r="D41" s="2" t="inlineStr">
        <is>
          <t>Primary: the program's core service is classroom-based education and/or occupational training. All PACE programs are career pathways training interventions.</t>
        </is>
      </c>
      <c r="E41" s="2" t="inlineStr">
        <is>
          <t>has_classroom=1: formal classroom instruction (occupational training, basic education). has_ojt=0: no structured on-the-job training component. has_jsa varies by program. has_multiple_components=1: training + supports.</t>
        </is>
      </c>
      <c r="F41"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Health Careers for All column.</t>
        </is>
      </c>
      <c r="G41" s="2" t="inlineStr">
        <is>
          <t>ST: Exhibit B-8, 'Year 1 (Q 0-3)' row, p.35. MT: same table, 'Year 2 (Q 4-7)'. LT: same table, 'Confirmatory outcome'. LT emp: same table, 'Employed (%) in follow-up Q24'.</t>
        </is>
      </c>
      <c r="H41" s="2" t="inlineStr">
        <is>
          <t>ITT regression-adjusted impact from OLS with baseline demographic controls (Abt Associates PACE methodology).</t>
        </is>
      </c>
      <c r="I41"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1" s="2" t="inlineStr">
        <is>
          <t>SEs reported directly in Appendix B tables.</t>
        </is>
      </c>
      <c r="K41" s="2" t="inlineStr">
        <is>
          <t>Cost data not extracted from cross-site report; available in individual program reports.</t>
        </is>
      </c>
      <c r="L41"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M41" t="inlineStr">
        <is>
          <t>Peck et al. 2021 dataset (PACE-Health Careers for All): coded as 0</t>
        </is>
      </c>
      <c r="N41" t="inlineStr">
        <is>
          <t>Peck et al. 2021 dataset (PACE-Health Careers for All): coded as 0</t>
        </is>
      </c>
      <c r="O41" t="inlineStr">
        <is>
          <t>Peck et al. 2021 dataset (PACE-Health Careers for All): coded as 0</t>
        </is>
      </c>
      <c r="P41" t="inlineStr">
        <is>
          <t>Peck et al. 2021 dataset (PACE-Health Careers for All): coded as 1</t>
        </is>
      </c>
      <c r="Q41" t="inlineStr">
        <is>
          <t>Peck et al. 2021 dataset (PACE-Health Careers for All): coded as 0</t>
        </is>
      </c>
      <c r="R41" t="inlineStr">
        <is>
          <t>Peck et al. 2021 dataset (PACE-Health Careers for All): coded as 0</t>
        </is>
      </c>
      <c r="S41" t="inlineStr">
        <is>
          <t>public: All PACE programs were funded through combinations of public sources: community college budgets, Pell grants, WIA/WIOA funds, TANF, and state workforce development funds. Some sites had supplemental private funding but public sources dominated.</t>
        </is>
      </c>
      <c r="T41" t="inlineStr">
        <is>
          <t>public: Health Careers for All was a consortium of community colleges in Seattle (public).</t>
        </is>
      </c>
      <c r="U41" t="inlineStr">
        <is>
          <t>Health Careers for All (Seattle): avg duration of education/training at non-college schools was only 0.84 months for treatment group. Short-term program with modest training component. PACE WDC Three-Year Report 2020. Duration ambiguous.</t>
        </is>
      </c>
      <c r="BK41" t="inlineStr">
        <is>
          <t>program_uptake_impact=82: Section 1.2.1, p. 9 of Introduction, Health Careers for All Three-Year Impact Report (2020): 'Some 82 percent of treatment group members participated in at least one program.' Source is 18-month follow-up survey and implementation study (Glosser, Judkins, and Morrison 2017). C=0 by design: controls barred from Health Careers for All (Section 1.1.1, p. 4: 'control group members could not enter the program but could access other services available in the community').</t>
        </is>
      </c>
      <c r="BL41" t="inlineStr">
        <is>
          <t>any_training_impact=8, any_training_control_mean=65: Section 2.4, p. 17 of Methods, Health Careers for All Three-Year Impact Report (2020): 'the short-term report (Glosser, Judkins, and Morrison 2017) found that at 18 months, 65 percent of the control group had enrolled in training without help from Health Careers for All... Health Careers for All only boosted these two percentages by 8 and 11 percentage points, respectively.' The 8 pp figure refers to any training from any source; the 11 pp refers specifically to healthcare training. T rate implied: 65+8=73%. Source: 18-month follow-up survey.</t>
        </is>
      </c>
    </row>
    <row r="42" ht="100.8" customHeight="1">
      <c r="A42" s="2" t="inlineStr">
        <is>
          <t>PACE</t>
        </is>
      </c>
      <c r="B42" s="2" t="inlineStr">
        <is>
          <t>I-BEST (Washington State)</t>
        </is>
      </c>
      <c r="C42" s="2" t="inlineStr">
        <is>
          <t>NDNH wage records</t>
        </is>
      </c>
      <c r="D42" s="2" t="inlineStr">
        <is>
          <t>Primary: the program's core service is classroom-based education and/or occupational training. All PACE programs are career pathways training interventions.</t>
        </is>
      </c>
      <c r="E42" s="2" t="inlineStr">
        <is>
          <t>has_classroom=1: formal classroom instruction (occupational training, basic education). has_ojt=0: no structured on-the-job training component. has_jsa varies by program. has_multiple_components=1: training + supports.</t>
        </is>
      </c>
      <c r="F42"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I-BEST column.</t>
        </is>
      </c>
      <c r="G42" s="2" t="inlineStr">
        <is>
          <t>ST: Exhibit B-11, 'Year 1 (Q 0-3)' row, p.36. MT: same table, 'Year 2 (Q 4-7)'. LT: same table, 'Confirmatory outcome'. LT emp: same table, 'Employed (%) in follow-up Q24'.</t>
        </is>
      </c>
      <c r="H42" s="2" t="inlineStr">
        <is>
          <t>ITT regression-adjusted impact from OLS with baseline demographic controls (Abt Associates PACE methodology).</t>
        </is>
      </c>
      <c r="I42"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2" s="2" t="inlineStr">
        <is>
          <t>SEs reported directly in Appendix B tables.</t>
        </is>
      </c>
      <c r="K42" s="2" t="inlineStr">
        <is>
          <t>Cost data not extracted from cross-site report; available in individual program reports.</t>
        </is>
      </c>
      <c r="L42"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M42" t="inlineStr">
        <is>
          <t>Peck et al. 2021 dataset (PACE-IBest): coded as 0</t>
        </is>
      </c>
      <c r="N42" t="inlineStr">
        <is>
          <t>Peck et al. 2021 dataset (PACE-IBest): coded as 0</t>
        </is>
      </c>
      <c r="O42" t="inlineStr">
        <is>
          <t>Peck et al. 2021 dataset (PACE-IBest): coded as 0</t>
        </is>
      </c>
      <c r="P42" t="inlineStr">
        <is>
          <t>Peck et al. 2021 dataset (PACE-IBest): coded as 0</t>
        </is>
      </c>
      <c r="Q42" t="inlineStr">
        <is>
          <t>Peck et al. 2021 dataset (PACE-IBest): coded as 1</t>
        </is>
      </c>
      <c r="R42" t="inlineStr">
        <is>
          <t>Peck et al. 2021 dataset (PACE-IBest): coded as 0</t>
        </is>
      </c>
      <c r="S42" t="inlineStr">
        <is>
          <t>public: All PACE programs were funded through combinations of public sources: community college budgets, Pell grants, WIA/WIOA funds, TANF, and state workforce development funds. Some sites had supplemental private funding but public sources dominated.</t>
        </is>
      </c>
      <c r="T42" t="inlineStr">
        <is>
          <t>public: I-BEST is a Washington State community and technical college program (public).</t>
        </is>
      </c>
      <c r="U42" t="inlineStr">
        <is>
          <t>I-BEST (WA): short-term college program, roughly one semester. Exact avg duration not reported in months. PACE I-BEST Six-Year Report 2022.</t>
        </is>
      </c>
      <c r="BK42" t="inlineStr">
        <is>
          <t>program_uptake_impact=73: Section 1.5, p. 11 of Introduction, I-BEST Six-Year Impact Report (2022): 'About three quarters (73 percent) of treatment group members participated in at least one I-BEST course of study, based on SBCTC administrative data.' C=0 by design: Section 1.4, p. 5: 'Those assigned to the control groups could not participate in courses that were part of the I-BEST program at the college where they enrolled, but they could participate in other training programs available in the community.'</t>
        </is>
      </c>
      <c r="BL42" t="inlineStr">
        <is>
          <t>any_training: NOT REPORTED as T vs C rate in the six-year report. The report states 73% of T attended I-BEST and 'almost two thirds enrolled in subsequent education and training' (Section 1.5, p. 11), but does not report corresponding C group training rates from any source. Exhibit 2-3 (p. 16) shows credential receipt: 'A college or other training provider' T=55.1% vs C=40.1%, but this is credential receipt, not training enrollment. The three-year report (Martinson et al. 2021) may have service receipt data but is not available.</t>
        </is>
      </c>
    </row>
    <row r="43" ht="100.8" customHeight="1">
      <c r="A43" s="2" t="inlineStr">
        <is>
          <t>PACE</t>
        </is>
      </c>
      <c r="B43" s="2" t="inlineStr">
        <is>
          <t>Pathways to Healthcare (Tucson)</t>
        </is>
      </c>
      <c r="C43" s="2" t="inlineStr">
        <is>
          <t>NDNH wage records</t>
        </is>
      </c>
      <c r="D43" s="2" t="inlineStr">
        <is>
          <t>Primary: the program's core service is classroom-based education and/or occupational training. All PACE programs are career pathways training interventions.</t>
        </is>
      </c>
      <c r="E43" s="2" t="inlineStr">
        <is>
          <t>has_classroom=1: formal classroom instruction (occupational training, basic education). has_ojt=0: no structured on-the-job training component. has_jsa varies by program. has_multiple_components=1: training + supports.</t>
        </is>
      </c>
      <c r="F43"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Pathways to Healthcare column.</t>
        </is>
      </c>
      <c r="G43" s="2" t="inlineStr">
        <is>
          <t>ST: Exhibit B-17, 'Year 1 (Q 0-3)' row, p.40. MT: same table, 'Year 2 (Q 4-7)'. LT: same table, 'Confirmatory outcome'. LT emp: same table, 'Employed (%) in follow-up Q24'.</t>
        </is>
      </c>
      <c r="H43" s="2" t="inlineStr">
        <is>
          <t>ITT regression-adjusted impact from OLS with baseline demographic controls (Abt Associates PACE methodology).</t>
        </is>
      </c>
      <c r="I43"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3" s="2" t="inlineStr">
        <is>
          <t>SEs reported directly in Appendix B tables.</t>
        </is>
      </c>
      <c r="K43" s="2" t="inlineStr">
        <is>
          <t>Cost data not extracted from cross-site report; available in individual program reports.</t>
        </is>
      </c>
      <c r="L43"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M43" t="inlineStr">
        <is>
          <t>Peck et al. 2021 dataset (PACE-Pathways to Healthcare): coded as 0</t>
        </is>
      </c>
      <c r="N43" t="inlineStr">
        <is>
          <t>Peck et al. 2021 dataset (PACE-Pathways to Healthcare): coded as 0</t>
        </is>
      </c>
      <c r="O43" t="inlineStr">
        <is>
          <t>Peck et al. 2021 dataset (PACE-Pathways to Healthcare): coded as 0</t>
        </is>
      </c>
      <c r="P43" t="inlineStr">
        <is>
          <t>Peck et al. 2021 dataset (PACE-Pathways to Healthcare): coded as 1</t>
        </is>
      </c>
      <c r="Q43" t="inlineStr">
        <is>
          <t>Peck et al. 2021 dataset (PACE-Pathways to Healthcare): coded as 0</t>
        </is>
      </c>
      <c r="R43" t="inlineStr">
        <is>
          <t>Peck et al. 2021 dataset (PACE-Pathways to Healthcare): coded as 0</t>
        </is>
      </c>
      <c r="S43" t="inlineStr">
        <is>
          <t>public: All PACE programs were funded through combinations of public sources: community college budgets, Pell grants, WIA/WIOA funds, TANF, and state workforce development funds. Some sites had supplemental private funding but public sources dominated.</t>
        </is>
      </c>
      <c r="T43" t="inlineStr">
        <is>
          <t>public: Pathways to Healthcare was based at Pima Community College in Tucson (public).</t>
        </is>
      </c>
      <c r="U43" t="inlineStr">
        <is>
          <t>Pathways to Healthcare (Pima): 'compressed basic skills programs that in one semester remediated students.' Exact avg months not reported. PACE Pima Three-Year Report 2020.</t>
        </is>
      </c>
      <c r="BK43" t="inlineStr">
        <is>
          <t>program_uptake_impact=56: Exec Summary p. viii: '56 percent of the treatment group had enrolled in occupational training, an increase from 48 percent in the first 18 months.' Chapter 3, p. 21: at 18 months, '48 percent of treatment group members had enrolled in occupational training: 35 percent enrolled directly in occupational training, and 13 percent enrolled in occupational training after completing a College Readiness bridge.' Section 3.3, p. 24: '8 percent of the treatment group enrolled in occupational training for the first time after the short-term follow-up' (48+8=56 by 3 years). Exhibit 3-1 note, p. 23: 'Almost 62 percent of treatment group members (375 of 609) enrolled in any training within 18 months' — the 62% includes College Readiness bridge participants who had not yet progressed to occupational training. Using 56% (occupational training enrollment by 3 years) as program_uptake. program_uptake_control_mean=0: C barred from Pathways to Healthcare by design (see Exec Summary footnote 4, p. vii).</t>
        </is>
      </c>
      <c r="BL43" t="inlineStr">
        <is>
          <t>any_training columns left blank. Chapter 3 reports only treatment group participation from PCC program records; no T vs C comparison of enrollment in training from any source is available in the three-year report. Footnote 44, p. 21: 'Administrative records indicate whether the control group was enrolled in PCC or not, but we do not have more detailed information (e.g., the particular course of study) for control group members.' The impact tables in Chapter 4 report credential receipt impacts but not a binary 'enrolled in any training' impact.</t>
        </is>
      </c>
    </row>
    <row r="44" ht="100.8" customHeight="1">
      <c r="A44" s="2" t="inlineStr">
        <is>
          <t>PACE</t>
        </is>
      </c>
      <c r="B44" s="2" t="inlineStr">
        <is>
          <t>Patient Care Pathway Program (Madison)</t>
        </is>
      </c>
      <c r="C44" s="2" t="inlineStr">
        <is>
          <t>NDNH wage records</t>
        </is>
      </c>
      <c r="D44" s="2" t="inlineStr">
        <is>
          <t>Primary: the program's core service is classroom-based education and/or occupational training. All PACE programs are career pathways training interventions.</t>
        </is>
      </c>
      <c r="E44" s="2" t="inlineStr">
        <is>
          <t>has_classroom=1: formal classroom instruction (occupational training, basic education). has_ojt=0: no structured on-the-job training component. has_jsa varies by program. has_multiple_components=1: training + supports.</t>
        </is>
      </c>
      <c r="F44"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Patient Care Pathway Program column.</t>
        </is>
      </c>
      <c r="G44" s="2" t="inlineStr">
        <is>
          <t>ST: Exhibit B-14, 'Year 1 (Q 0-3)' row, p.39. MT: same table, 'Year 2 (Q 4-7)'. LT: same table, 'Confirmatory outcome'. LT emp: same table, 'Employed (%) in follow-up Q24'.</t>
        </is>
      </c>
      <c r="H44" s="2" t="inlineStr">
        <is>
          <t>ITT regression-adjusted impact from OLS with baseline demographic controls (Abt Associates PACE methodology).</t>
        </is>
      </c>
      <c r="I44"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4" s="2" t="inlineStr">
        <is>
          <t>SEs reported directly in Appendix B tables.</t>
        </is>
      </c>
      <c r="K44" s="2" t="inlineStr">
        <is>
          <t>Cost data not extracted from cross-site report; available in individual program reports.</t>
        </is>
      </c>
      <c r="L44"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M44" t="inlineStr">
        <is>
          <t>Peck et al. 2021 dataset (PACE-Patient Care Academies): coded as 0</t>
        </is>
      </c>
      <c r="N44" t="inlineStr">
        <is>
          <t>Peck et al. 2021 dataset (PACE-Patient Care Academies): coded as 0</t>
        </is>
      </c>
      <c r="O44" t="inlineStr">
        <is>
          <t>Peck et al. 2021 dataset (PACE-Patient Care Academies): coded as 0</t>
        </is>
      </c>
      <c r="P44" t="inlineStr">
        <is>
          <t>Peck et al. 2021 dataset (PACE-Patient Care Academies): coded as 0</t>
        </is>
      </c>
      <c r="Q44" t="inlineStr">
        <is>
          <t>Peck et al. 2021 dataset (PACE-Patient Care Academies): coded as 0</t>
        </is>
      </c>
      <c r="R44" t="inlineStr">
        <is>
          <t>Peck et al. 2021 dataset (PACE-Patient Care Academies): coded as 0</t>
        </is>
      </c>
      <c r="S44" t="inlineStr">
        <is>
          <t>public: All PACE programs were funded through combinations of public sources: community college budgets, Pell grants, WIA/WIOA funds, TANF, and state workforce development funds. Some sites had supplemental private funding but public sources dominated.</t>
        </is>
      </c>
      <c r="T44" t="inlineStr">
        <is>
          <t>public: Patient Care Pathway was at Madison Area Technical College (public).</t>
        </is>
      </c>
      <c r="U44" t="inlineStr">
        <is>
          <t>Patient Care Pathway Program (Madison): 'semester-long academies.' Roughly 4-5 months. PACE Madison Three-Year Report 2020. Duration approximate.</t>
        </is>
      </c>
      <c r="BK44" t="inlineStr">
        <is>
          <t>program_uptake_impact=94: Section 1.2.1, p. 14: 'Overall, 94 percent of treatment group members participated in education and training courses, including those in PCA1, PCA2, and PCNA or other courses bearing college credit.' Exhibit 1-4, p. 15 (flow chart from Cook et al. 2018): shows 'Participated In Any Training: 94%' at top, branching to PCNA (8%), PCA1 (27%), PCA2 (75%), and 'Enrolled Directly In Other Credit-Bearing Courses: 4%'. program_uptake_control_mean=0: Controls barred from PCPP academies by design. However, controls could access other Madison College courses and services — some contamination noted: '50 percent of control group members received the advising' pre-randomization, and 'less than 15 percent of control group members enrolled in any of the recommended courses' (Section 1.2.1, p. 12).</t>
        </is>
      </c>
      <c r="BL44" t="inlineStr">
        <is>
          <t>any_training columns left blank. The 3-year report exec summary mentions 'PCPP increased enrollment in college training (impact of 8 percentage points)' and Section 1.2.2, p. 16 states 'Treatment group members were 7 to 10 percentage points more likely than control group members to be enrolled in occupational training... They were 7 percentage points more likely to have any such enrollment over the entire 18-month follow-up period.' However, the T and C levels for any training enrollment from any source are not reported in the pages read, only the impact magnitude. The full impact table with T and C levels would need to come from the short-term report (Cook et al. 2018) or three-year Chapter 3 tables, which are not available in the papers folder.</t>
        </is>
      </c>
    </row>
    <row r="45" ht="100.8" customHeight="1">
      <c r="A45" s="2" t="inlineStr">
        <is>
          <t>PACE</t>
        </is>
      </c>
      <c r="B45" s="2" t="inlineStr">
        <is>
          <t>VIDA (Rio Grande Valley)</t>
        </is>
      </c>
      <c r="C45" s="2" t="inlineStr">
        <is>
          <t>NDNH wage records</t>
        </is>
      </c>
      <c r="D45" s="2" t="inlineStr">
        <is>
          <t>Primary: the program's core service is classroom-based education and/or occupational training. All PACE programs are career pathways training interventions.</t>
        </is>
      </c>
      <c r="E45" s="2" t="inlineStr">
        <is>
          <t>has_classroom=1: formal classroom instruction (occupational training, basic education). has_ojt=0: no structured on-the-job training component. has_jsa varies by program. has_multiple_components=1: training + supports.</t>
        </is>
      </c>
      <c r="F45"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VIDA column.</t>
        </is>
      </c>
      <c r="G45" s="2" t="inlineStr">
        <is>
          <t>ST: Exhibit B-20, 'Year 1 (Q 0-3)' row, p.42. MT: same table, 'Year 2 (Q 4-7)'. LT: same table, 'Confirmatory outcome'. LT emp: same table, 'Employed (%) in follow-up Q24'.</t>
        </is>
      </c>
      <c r="H45" s="2" t="inlineStr">
        <is>
          <t>ITT regression-adjusted impact from OLS with baseline demographic controls (Abt Associates PACE methodology).</t>
        </is>
      </c>
      <c r="I45"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5" s="2" t="inlineStr">
        <is>
          <t>SEs reported directly in Appendix B tables.</t>
        </is>
      </c>
      <c r="K45" s="2" t="inlineStr">
        <is>
          <t>Cost data not extracted from cross-site report; available in individual program reports.</t>
        </is>
      </c>
      <c r="L45"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M45" t="inlineStr">
        <is>
          <t>Peck et al. 2021 dataset (PACE-VIDA): coded as 1</t>
        </is>
      </c>
      <c r="N45" t="inlineStr">
        <is>
          <t>Peck et al. 2021 dataset (PACE-VIDA): coded as 0</t>
        </is>
      </c>
      <c r="O45" t="inlineStr">
        <is>
          <t>Peck et al. 2021 dataset (PACE-VIDA): coded as 1</t>
        </is>
      </c>
      <c r="P45" t="inlineStr">
        <is>
          <t>Peck et al. 2021 dataset (PACE-VIDA): coded as 0</t>
        </is>
      </c>
      <c r="Q45" t="inlineStr">
        <is>
          <t>Peck et al. 2021 dataset (PACE-VIDA): coded as 0</t>
        </is>
      </c>
      <c r="R45" t="inlineStr">
        <is>
          <t>Peck et al. 2021 dataset (PACE-VIDA): coded as 0</t>
        </is>
      </c>
      <c r="S45" t="inlineStr">
        <is>
          <t>public: All PACE programs were funded through combinations of public sources: community college budgets, Pell grants, WIA/WIOA funds, TANF, and state workforce development funds. Some sites had supplemental private funding but public sources dominated.</t>
        </is>
      </c>
      <c r="T45" t="inlineStr">
        <is>
          <t>private: VIDA (Valley Initiative for Development and Advancement) is a nonprofit CBO in the Rio Grande Valley.</t>
        </is>
      </c>
      <c r="U45" t="inlineStr">
        <is>
          <t>VIDA (Rio Grande Valley): required full-time enrollment in certificate/degree programs of varying length. Avg duration not reported. PACE VIDA Six-Year Report 2022.</t>
        </is>
      </c>
      <c r="BK45" t="inlineStr">
        <is>
          <t>program_uptake_impact=98: Section 1.4, p. 9: 'Nearly all treatment group members (98 percent) participated in some education or training activity, which included both basic skills education in the College Prep Academy and occupational training.' Also: '91 percent of treatment group members earned at least one college credit, and 66 percent completed 30 or more college credits.' Section 1.4, p. 10: 'VIDA provided financial assistance to 99 percent of treatment group members.' program_uptake_control_mean=0: C barred from VIDA by design (Exec Summary p. ix: control group 'was not able to enroll in VIDA but could access other, often similar, training and services in the community on their own').</t>
        </is>
      </c>
      <c r="BL45" t="inlineStr">
        <is>
          <t>any_training columns left blank. The six-year report does not report a binary 'enrolled in any training from any source' T vs C comparison. It reports credential receipt (Exhibit ES-1: 66.4% T vs 54.8% C for college credential after 8+ FTE months), FTE months of enrollment (T=19, C=16), and college enrollment by year, but not a simple participation rate. Exec Summary p. xv notes '70 percent of VIDA participants were already enrolled in college when they joined the study,' suggesting very high baseline training participation for both groups that would reduce the contrast.</t>
        </is>
      </c>
    </row>
    <row r="46" ht="100.8" customHeight="1">
      <c r="A46" s="2" t="inlineStr">
        <is>
          <t>PACE</t>
        </is>
      </c>
      <c r="B46" s="2" t="inlineStr">
        <is>
          <t>WTA Connect (Des Moines)</t>
        </is>
      </c>
      <c r="C46" s="2" t="inlineStr">
        <is>
          <t>NDNH wage records</t>
        </is>
      </c>
      <c r="D46" s="2" t="inlineStr">
        <is>
          <t>Primary: the program's core service is classroom-based education and/or occupational training. All PACE programs are career pathways training interventions.</t>
        </is>
      </c>
      <c r="E46" s="2" t="inlineStr">
        <is>
          <t>has_classroom=1: formal classroom instruction (occupational training, basic education). has_ojt=0: no structured on-the-job training component. has_jsa varies by program. has_multiple_components=1: training + supports.</t>
        </is>
      </c>
      <c r="F46" s="2" t="inlineStr">
        <is>
          <t>Juras et al. 2022 cross-site report; Hamadyk &amp; Juras 2021 three-year report Exhibit 1-1 (N=470 T, 473 C; demographics). Randomization April 2012–Dec 2014. Demographics also cross-checked against PACE Cross-Program Implementation and Impact Study Findings (Abt 2017), Appendix B, p. B-2, Workforce Training Academy-Connect column (matches Hamadyk &amp; Juras 2021 Exhibit 1-1).</t>
        </is>
      </c>
      <c r="G46" s="2" t="inlineStr">
        <is>
          <t>Hamadyk &amp; Juras 2021 Ch.4: Q12-13 earn +$93 (ns, 90% CI -$275 to +$461). Juras et al. 2022: Q23-24 earn -$135, SE=288; 6yr employment +2pp, SE=3.1. No detectable impact at any horizon.</t>
        </is>
      </c>
      <c r="H46" s="2" t="inlineStr">
        <is>
          <t>ITT regression-adjusted impact from OLS with baseline demographic controls (Abt Associates PACE methodology).</t>
        </is>
      </c>
      <c r="I46"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6" s="2" t="inlineStr">
        <is>
          <t>SEs reported directly in Appendix B tables.</t>
        </is>
      </c>
      <c r="K46" s="2" t="inlineStr">
        <is>
          <t>Cost data not extracted from cross-site report; available in individual program reports.</t>
        </is>
      </c>
      <c r="L46"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M46" t="inlineStr">
        <is>
          <t>Peck et al. 2021 dataset (PACE-WTA Connect): coded as 0</t>
        </is>
      </c>
      <c r="N46" t="inlineStr">
        <is>
          <t>Peck et al. 2021 dataset (PACE-WTA Connect): coded as 0</t>
        </is>
      </c>
      <c r="O46" t="inlineStr">
        <is>
          <t>Peck et al. 2021 dataset (PACE-WTA Connect): coded as 1</t>
        </is>
      </c>
      <c r="P46" t="inlineStr">
        <is>
          <t>Peck et al. 2021 dataset (PACE-WTA Connect): coded as 0</t>
        </is>
      </c>
      <c r="Q46" t="inlineStr">
        <is>
          <t>Peck et al. 2021 dataset (PACE-WTA Connect): coded as 1</t>
        </is>
      </c>
      <c r="R46" t="inlineStr">
        <is>
          <t>Peck et al. 2021 dataset (PACE-WTA Connect): coded as 0</t>
        </is>
      </c>
      <c r="S46" t="inlineStr">
        <is>
          <t>public: All PACE programs were funded through combinations of public sources: community college budgets, Pell grants, WIA/WIOA funds, TANF, and state workforce development funds. Some sites had supplemental private funding but public sources dominated.</t>
        </is>
      </c>
      <c r="T46" t="inlineStr">
        <is>
          <t>public: WTA Connect was based at Des Moines Area Community College (public).</t>
        </is>
      </c>
      <c r="U46" t="inlineStr">
        <is>
          <t>WTA Connect (Des Moines): avg 2.7 months of training for treatment group. Hamadyk &amp; Juras 2021, implementation findings.</t>
        </is>
      </c>
      <c r="BK46" t="inlineStr">
        <is>
          <t>program_uptake_impact=50: Section 4.2, p. 36: '50 percent of the treatment group attended education or training in the 18 months following random assignment. All 50 percent attended basic skills remediation, which was the first step in the WTA Connect program.' Exhibit 4-2, p. 37 (flow chart): 'Assigned to WTA Connect: 100%' → 'Attended Any Education or Training Activity: 50%' → 'Attended Basic Skills Remediation: 50%' → ... → 'Attended Occupational Training: 37%' → 'Completed At Least One Occupational Training Program: 28%'. Source: DMACC program administrative records, n=292. program_uptake_control_mean=0: C barred from WTA Connect by design. Controls could access Workforce Training Academy occupational training only if they self-remediated and retested above the 9th-grade threshold (Section 3.2.4, p. 27).</t>
        </is>
      </c>
      <c r="BL46" t="inlineStr">
        <is>
          <t>any_training_impact=13.9, any_training_control_mean=36.1: Exhibit 4-5, p. 40, row 'Received education or training since random assignment (%) / In any field': Treatment Group=50.0, Control Group=36.1, Difference=+13.9***, Standard Error=3.7, p-Value=&lt;.001. Source: Abt Associates calculations based on data from the PACE short-term follow-up survey. This is a fully experimental, regression-adjusted impact estimate (see Exhibit 4-5 notes). The 50% T rate matches the admin records rate in Exhibit 4-2 and Section 4.2. The 36.1% C rate reflects controls who accessed training at DMACC or elsewhere on their own.</t>
        </is>
      </c>
    </row>
    <row r="47" ht="158.4" customHeight="1">
      <c r="A47" s="2" t="inlineStr">
        <is>
          <t>National Job Corps Study</t>
        </is>
      </c>
      <c r="B47" s="2" t="inlineStr">
        <is>
          <t>Full sample</t>
        </is>
      </c>
      <c r="C47" s="2" t="inlineStr">
        <is>
          <t>SSA earnings records (SER)</t>
        </is>
      </c>
      <c r="D47" s="2" t="inlineStr">
        <is>
          <t>Primary: Job Corps IS a training program. Its core services are academic education (GED prep, basic education) and vocational training. Residential setting and support services are facilitating infrastructure, not the intervention itself.</t>
        </is>
      </c>
      <c r="E47" s="2" t="inlineStr">
        <is>
          <t>has_classroom=1: academic education (GED prep, basic education) and vocational courses. has_ojt=1: vocational training includes hands-on occupational training components. has_jsa=0: no formal job search assistance component described. has_multiple_components=1: classroom + vocational training + residential services + counseling + health care.</t>
        </is>
      </c>
      <c r="F47" s="2" t="inlineStr">
        <is>
          <t>Sample sizes: Table 4, bottom row, N = 9,264 treatment + 5,874 control (p.1875). Demographics: Table 1 (p.1867): 59% male, 27% white, 48% Black, 18% Hispanic, 77% no HS credential. Randomization period: p.1865 ('November 1994 through February 1996'). Cost: p.1883 ('about $16,500 per participant'). Follow-up rate: SER has near-complete coverage (administrative records).</t>
        </is>
      </c>
      <c r="G47" s="2" t="inlineStr">
        <is>
          <t>ST (CY1997): Table 4, 'SER Data' panel, row '1997', 'Earnings Impact' column = 173 (SE 85); 'Fraction with Earnings Impact' column = 2.1 (SE 0.6). p.1875. MT (CY1998): same panel, row '1998', Earnings Impact = 218 (SE 103); Fraction with Earnings = 1.3 (SE 0.6). LT (CY2003): same panel, row '2003', Earnings Impact = -9 (SE 178); Fraction with Earnings = 0.2 (SE 0.6).</t>
        </is>
      </c>
      <c r="H47" s="2" t="inlineStr">
        <is>
          <t>ITT regression-adjusted impact, estimated via OLS with controls for baseline demographic characteristics. Table 4 note: 'Regressions control for sample member characteristics.' (p.1875)</t>
        </is>
      </c>
      <c r="I47" s="2" t="inlineStr">
        <is>
          <t>Randomization Nov 1994 – Feb 1996, midpoint ~mid-1995. CY1997 ≈ Year 2 post-RA → short-term. Year 1 (CY1996) would be preferred for ST but shows heavy lock-in effect (treatment group in program), so Year 2 is the first clean post-program year. CY1998 ≈ Year 3 → medium-term. CY2003 ≈ Year 8 → long-term (latest available year in Table 4, well within 3+ year window).</t>
        </is>
      </c>
      <c r="J47" s="2" t="inlineStr">
        <is>
          <t>SEs reported directly in Table 4, in parentheses below each impact estimate.</t>
        </is>
      </c>
      <c r="K47" s="2" t="inlineStr">
        <is>
          <t>p.1883 text: 'about $16,500 per participant.' In 1995 dollars. Gross cost, not net.</t>
        </is>
      </c>
      <c r="L47" s="2" t="inlineStr">
        <is>
          <t>FLAG: Significance notation — Table 4 uses * = p&lt;0.05 (two-tailed), NOT * = p&lt;0.10. This differs from most other studies in the extraction. I have recorded stars based on the SEs and t-stats: |173/85| = 2.04 → ** (significant at 0.05), |218/103| = 2.12 → ** (significant at 0.05), |2.1/0.6| = 3.5 → *** (significant at 0.01), |1.3/0.6| = 2.17 → ** (significant at 0.05). FLAG: Short-term is Year 2 not Year 1 because Year 1 has program lock-in. FLAG: Earnings gains fade completely after 1998 — this is the paper's central finding. FLAG: Cost is gross, not net (no estimate of control group service costs). FLAG: 73% treatment take-up rate means ITT attenuates effects. FLAG: Control group embargoed from Job Corps for 3 years (ended ~1999); long-term estimates are post-embargo.</t>
        </is>
      </c>
      <c r="M47" t="inlineStr">
        <is>
          <t>National Job Corps Study: Federally-funded residential training program (admin=public). No CBO lead, no employer engagement in curriculum design, no staffing agency partnerships, no formal employer hiring commitments.</t>
        </is>
      </c>
      <c r="N47" t="inlineStr">
        <is>
          <t>National Job Corps Study: Federally-funded residential training program (admin=public). No CBO lead, no employer engagement in curriculum design, no staffing agency partnerships, no formal employer hiring commitments.</t>
        </is>
      </c>
      <c r="O47" t="inlineStr">
        <is>
          <t>National Job Corps Study: Federally-funded residential training program (admin=public). No CBO lead, no employer engagement in curriculum design, no staffing agency partnerships, no formal employer hiring commitments.</t>
        </is>
      </c>
      <c r="P47" t="inlineStr">
        <is>
          <t>National Job Corps Study: Federally-funded residential training program (admin=public). No CBO lead, no employer engagement in curriculum design, no staffing agency partnerships, no formal employer hiring commitments.</t>
        </is>
      </c>
      <c r="Q47" t="inlineStr">
        <is>
          <t>National Job Corps Study: Federally-funded residential training program (admin=public). No CBO lead, no employer engagement in curriculum design, no staffing agency partnerships, no formal employer hiring commitments.</t>
        </is>
      </c>
      <c r="R47" t="inlineStr">
        <is>
          <t>National Job Corps Study: Federally-funded residential training program (admin=public). No CBO lead, no employer engagement in curriculum design, no staffing agency partnerships, no formal employer hiring commitments.</t>
        </is>
      </c>
      <c r="S47" t="inlineStr">
        <is>
          <t>public: Job Corps is 100% federally funded through annual DOL appropriations (~$1.7B/year). No private operational funding.</t>
        </is>
      </c>
      <c r="T47" t="inlineStr">
        <is>
          <t>mixed: The Office of Job Corps within DOL designs the program, sets standards, and provides oversight, but individual Job Corps centers are operated by private contractors (for-profit companies like MTC, Management &amp; Training Corporation; and nonprofits). Day-to-day program delivery is by private entities under federal contract. Changed from 'public' to 'mixed' upon review.</t>
        </is>
      </c>
      <c r="U47" t="inlineStr">
        <is>
          <t>Average stay in Job Corps ~8 months. Schochet et al. 2008.</t>
        </is>
      </c>
      <c r="BK47" t="inlineStr">
        <is>
          <t>program_uptake: Schochet, Burghardt, and McConnell 2008, p.1871: 'About 73 percent enrolled in centers' (treatment group). p.1868: 'only 1.4 percent of controls enrolled in Job Corps before the end of their three-year embargo period.' Footnote 2, p.1869: 'An additional 3.2 percent of control group members enrolled in Job Corps after their three-year restriction period ended.' Control total = 1.4 + 3.2 = 4.6%. Impact = 73.0 - 4.6 = 68.4 pp.</t>
        </is>
      </c>
      <c r="BL47" t="inlineStr">
        <is>
          <t>any_training: Table 2, p.1872, row 'Percentage ever enrolled in an education or training program during the 48 months after random assignment', columns 'Treatment group' and 'Control group': T=92.5%, C=71.7%, Impact=20.8* (SE=0.7). Text p.1871 confirms: 'About 93 percent of treatments enrolled in education and training programs' and 'About 70 percent of controls enrolled in education and training programs other than Job Corps.'</t>
        </is>
      </c>
    </row>
    <row r="48" ht="129.6" customHeight="1">
      <c r="A48" s="2" t="inlineStr">
        <is>
          <t>National Job Corps Study</t>
        </is>
      </c>
      <c r="B48" s="2" t="inlineStr">
        <is>
          <t>Full sample</t>
        </is>
      </c>
      <c r="C48" s="2" t="inlineStr">
        <is>
          <t>self-report (survey)</t>
        </is>
      </c>
      <c r="D48" s="2" t="inlineStr">
        <is>
          <t>Primary: Job Corps IS a training program. Its core services are academic education (GED prep, basic education) and vocational training. Residential setting and support services are facilitating infrastructure, not the intervention itself.</t>
        </is>
      </c>
      <c r="E48" s="2" t="inlineStr">
        <is>
          <t>has_classroom=1: academic education (GED prep, basic education) and vocational courses. has_ojt=1: vocational training includes hands-on occupational training components. has_jsa=0: no formal job search assistance component described. has_multiple_components=1: classroom + vocational training + residential services + counseling + health care.</t>
        </is>
      </c>
      <c r="F48" s="2" t="inlineStr">
        <is>
          <t>Survey sample sizes: Table 2 note / Table 4 bottom, 6,828 T + 4,485 C (p.1872/1875). Demographics: same as SER row (Table 1, p.1867). Follow-up rate: ~80% at 48-month interview (p.1870).</t>
        </is>
      </c>
      <c r="G48" s="2" t="inlineStr">
        <is>
          <t>MT (CY1998): Table 4, 'Survey Data' panel, row '1998', 'Earnings Impact' column = 972 (SE 186). p.1875.</t>
        </is>
      </c>
      <c r="H48" s="2" t="inlineStr">
        <is>
          <t>ITT regression-adjusted impact, OLS with demographic controls, using survey-reported earnings.</t>
        </is>
      </c>
      <c r="I48" s="2" t="inlineStr">
        <is>
          <t>Survey covers through ~48 months post-assignment. CY1998 for mid-cohort (enrolled ~mid-1995) ≈ Year 3 → medium-term. No long-term row because survey follow-up ends at ~4 years. Short-term (CY1997 survey) impact is $292 (SE 163, t=1.79, not significant) — left blank rather than entering a non-significant estimate with no employment counterpart.</t>
        </is>
      </c>
      <c r="J48" s="2" t="inlineStr">
        <is>
          <t>SEs reported directly in Table 4.</t>
        </is>
      </c>
      <c r="K48" s="2" t="inlineStr">
        <is>
          <t>Same as SER row: p.1883, $16,500 per participant (1995 dollars, gross).</t>
        </is>
      </c>
      <c r="L48" s="2" t="inlineStr">
        <is>
          <t>FLAG: Survey-based earnings are much higher than SER-based earnings ($972 vs $218 in CY1998). This is a well-known discrepancy discussed by the authors (pp.1876-1877). FLAG: Survey response rate ~80% — potential attrition bias. FLAG: Only medium-term estimate extracted from survey. Short-term CY1997 impact not significant. Long-term not available (survey ends at ~4 years). FLAG: Could alternatively enter Q16 employment impact (+2.4 ppt, SE 0.9) as a medium-term employment measure, but quarterly employment rates and annual earnings measures don't map cleanly to the same follow-up window.</t>
        </is>
      </c>
      <c r="M48" t="inlineStr">
        <is>
          <t>National Job Corps Study: Federally-funded residential training program (admin=public). No CBO lead, no employer engagement in curriculum design, no staffing agency partnerships, no formal employer hiring commitments.</t>
        </is>
      </c>
      <c r="N48" t="inlineStr">
        <is>
          <t>National Job Corps Study: Federally-funded residential training program (admin=public). No CBO lead, no employer engagement in curriculum design, no staffing agency partnerships, no formal employer hiring commitments.</t>
        </is>
      </c>
      <c r="O48" t="inlineStr">
        <is>
          <t>National Job Corps Study: Federally-funded residential training program (admin=public). No CBO lead, no employer engagement in curriculum design, no staffing agency partnerships, no formal employer hiring commitments.</t>
        </is>
      </c>
      <c r="P48" t="inlineStr">
        <is>
          <t>National Job Corps Study: Federally-funded residential training program (admin=public). No CBO lead, no employer engagement in curriculum design, no staffing agency partnerships, no formal employer hiring commitments.</t>
        </is>
      </c>
      <c r="Q48" t="inlineStr">
        <is>
          <t>National Job Corps Study: Federally-funded residential training program (admin=public). No CBO lead, no employer engagement in curriculum design, no staffing agency partnerships, no formal employer hiring commitments.</t>
        </is>
      </c>
      <c r="R48" t="inlineStr">
        <is>
          <t>National Job Corps Study: Federally-funded residential training program (admin=public). No CBO lead, no employer engagement in curriculum design, no staffing agency partnerships, no formal employer hiring commitments.</t>
        </is>
      </c>
      <c r="S48" t="inlineStr">
        <is>
          <t>public: Job Corps is 100% federally funded through annual DOL appropriations (~$1.7B/year). No private operational funding.</t>
        </is>
      </c>
      <c r="T48" t="inlineStr">
        <is>
          <t>mixed: The Office of Job Corps within DOL designs the program, sets standards, and provides oversight, but individual Job Corps centers are operated by private contractors (for-profit companies like MTC, Management &amp; Training Corporation; and nonprofits). Day-to-day program delivery is by private entities under federal contract. Changed from 'public' to 'mixed' upon review.</t>
        </is>
      </c>
      <c r="BK48" t="inlineStr">
        <is>
          <t>program_uptake: Schochet, Burghardt, and McConnell 2008, p.1871: 'About 73 percent enrolled in centers' (treatment group). p.1868: 'only 1.4 percent of controls enrolled in Job Corps before the end of their three-year embargo period.' Footnote 2, p.1869: 'An additional 3.2 percent of control group members enrolled in Job Corps after their three-year restriction period ended.' Control total = 1.4 + 3.2 = 4.6%. Impact = 73.0 - 4.6 = 68.4 pp.</t>
        </is>
      </c>
      <c r="BL48" t="inlineStr">
        <is>
          <t>any_training: Table 2, p.1872, row 'Percentage ever enrolled in an education or training program during the 48 months after random assignment', columns 'Treatment group' and 'Control group': T=92.5%, C=71.7%, Impact=20.8* (SE=0.7). Text p.1871 confirms: 'About 93 percent of treatments enrolled in education and training programs' and 'About 70 percent of controls enrolled in education and training programs other than Job Corps.'</t>
        </is>
      </c>
    </row>
    <row r="49" ht="86.40000000000001" customHeight="1">
      <c r="A49" s="2" t="inlineStr">
        <is>
          <t>ETJD</t>
        </is>
      </c>
      <c r="B49" s="2" t="inlineStr">
        <is>
          <t>Atlanta</t>
        </is>
      </c>
      <c r="C49" s="2" t="inlineStr">
        <is>
          <t>NDNH</t>
        </is>
      </c>
      <c r="D49"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49"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49" s="2" t="inlineStr">
        <is>
          <t>N: Appendix Table B.1, 'Sample size' row, p.125: 501 treatment, 495 control. Cost: Table 5.2, 'Atlanta' row, p.89: net $6,219 (2016$). Demographics: Table 1.3 pooled for NCP sites (~93% male).</t>
        </is>
      </c>
      <c r="G49" s="2" t="inlineStr">
        <is>
          <t>MT earnings: Appendix Table B.1, 'Total earnings in the last year of the follow-up period ($)', p.125: impact $930, CI [-595, 2456]. MT employment: Appendix Table B.1, 'Ever employed in that last year (%)', p.125: impact 5.0*, CI [0.8, 9.3]. Control means from same rows: earn $13,168, emp 74.1%.</t>
        </is>
      </c>
      <c r="H49" s="2" t="inlineStr">
        <is>
          <t>ITT regression-adjusted impact, controlling for pre-random assignment characteristics. NDNH quarterly wage data used for employment and earnings outcomes.</t>
        </is>
      </c>
      <c r="I49" s="2" t="inlineStr">
        <is>
          <t>Last year of 30-month follow-up = months 18-30, centering around month 24 (~2 years post-RA). Classified as medium-term per CKW (~1-2 years). No short-term or long-term data separately reported.</t>
        </is>
      </c>
      <c r="J49" s="2" t="inlineStr">
        <is>
          <t>SEs derived from 90% confidence intervals: SE = (upper - lower) / (2 * 1.645).</t>
        </is>
      </c>
      <c r="K49" s="2" t="inlineStr">
        <is>
          <t>Table 5.2, p.89: net cost $6,219 per program group member (2016 dollars).</t>
        </is>
      </c>
      <c r="L49" s="2" t="inlineStr">
        <is>
          <t>FLAG: 30-month follow-up spans borderline medium/long-term. Last year (months 18-30) classified as MT. FLAG: Cumulative 30-month earnings strongly significant ($4,741***) but last-year earnings not significant ($930). FLAG: Demographics only available pooled across NCP sites, not site-specific.</t>
        </is>
      </c>
      <c r="M49" t="inlineStr">
        <is>
          <t>Atlanta Center for Self-Sufficiency (ACSS) is a CBO (admin=private).</t>
        </is>
      </c>
      <c r="N49" t="inlineStr">
        <is>
          <t>No staffing agency.</t>
        </is>
      </c>
      <c r="O49" t="inlineStr">
        <is>
          <t>Transitional employment, no employer engagement in training curricula.</t>
        </is>
      </c>
      <c r="P49" t="inlineStr">
        <is>
          <t>Participants worked at Goodwill store then moved to subsidized private-sector position. Case management provided but no evidence of dedicated job developers (Barden et al. 2018, Table 1.1).</t>
        </is>
      </c>
      <c r="Q49" t="inlineStr">
        <is>
          <t>No employer role in curriculum design.</t>
        </is>
      </c>
      <c r="R49" t="inlineStr">
        <is>
          <t>No employer commitment to hire.</t>
        </is>
      </c>
      <c r="S49" t="inlineStr">
        <is>
          <t>public: Enhanced Transitional Jobs Demonstration was funded by DOL grants. No significant private funding of program operations.</t>
        </is>
      </c>
      <c r="T49" t="inlineStr">
        <is>
          <t>private: All ETJD grantee organizations were nonprofits/CBOs that directly administered the transitional jobs programs at their sites.</t>
        </is>
      </c>
      <c r="U49" t="inlineStr">
        <is>
          <t>ETJD Atlanta: ~4 months. Barden et al. 2018, Table 1.1.</t>
        </is>
      </c>
      <c r="BK49" t="inlineStr">
        <is>
          <t>program_uptake: Barden et al. 2018, Figure 1.2, p.15: Atlanta subsidized employment rate = 97%. Also confirmed in text p.17: 'Almost all program group members (97 percent) were placed into the first stage of subsidized employment at Goodwill Industries.' Control = 0 by design. Impact = 97 pp.</t>
        </is>
      </c>
      <c r="BL49"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0" ht="86.40000000000001" customHeight="1">
      <c r="A50" s="2" t="inlineStr">
        <is>
          <t>ETJD</t>
        </is>
      </c>
      <c r="B50" s="2" t="inlineStr">
        <is>
          <t>Milwaukee</t>
        </is>
      </c>
      <c r="C50" s="2" t="inlineStr">
        <is>
          <t>NDNH</t>
        </is>
      </c>
      <c r="D50"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0"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0" s="2" t="inlineStr">
        <is>
          <t>N: Appendix Table C.1, p.127: 502 treatment, 501 control. Cost: Table 5.2, p.89: net $6,670 (2016$).</t>
        </is>
      </c>
      <c r="G50" s="2" t="inlineStr">
        <is>
          <t>MT earnings: Appendix Table C.1, 'Total earnings in the last year', p.127: impact $567, CI [-364, 1499]. MT employment: Appendix Table C.1, 'Ever employed in that last year', p.127: impact 2.5, CI [-2.1, 7.1]. Control means: earn $6,592, emp 69.2%.</t>
        </is>
      </c>
      <c r="H50" s="2" t="inlineStr">
        <is>
          <t>ITT regression-adjusted impact, controlling for pre-random assignment characteristics. NDNH quarterly wage data used for employment and earnings outcomes.</t>
        </is>
      </c>
      <c r="I50" s="2" t="inlineStr">
        <is>
          <t>Last year (months 18-30) → medium-term. Same logic as Atlanta.</t>
        </is>
      </c>
      <c r="J50" s="2" t="inlineStr">
        <is>
          <t>SEs derived from 90% confidence intervals: SE = (upper - lower) / (2 * 1.645).</t>
        </is>
      </c>
      <c r="K50" s="2" t="inlineStr">
        <is>
          <t>Table 5.2, p.89: net $6,670 (2016$).</t>
        </is>
      </c>
      <c r="L50" s="2" t="inlineStr">
        <is>
          <t>FLAG: Neither last-year impact significant despite significant cumulative ($2,875***). FLAG: Demographics pooled across NCP sites.</t>
        </is>
      </c>
      <c r="M50" t="inlineStr">
        <is>
          <t>MAXIMUS is a for-profit company, not a CBO.</t>
        </is>
      </c>
      <c r="N50" t="inlineStr">
        <is>
          <t>No staffing agency partnerships described (Barden et al. 2018).</t>
        </is>
      </c>
      <c r="O50" t="inlineStr">
        <is>
          <t>Transitional jobs with private-sector employers; no employer engagement in curricula (Barden et al. 2018).</t>
        </is>
      </c>
      <c r="P50" t="inlineStr">
        <is>
          <t>Job-readiness workshop and transitional jobs placement with wage supplement. No evidence of dedicated job developers (Barden et al. 2018, Table 1.1).</t>
        </is>
      </c>
      <c r="Q50" t="inlineStr">
        <is>
          <t>No employer role in curriculum design (Barden et al. 2018).</t>
        </is>
      </c>
      <c r="R50" t="inlineStr">
        <is>
          <t>No employer hiring commitments described (Barden et al. 2018).</t>
        </is>
      </c>
      <c r="S50" t="inlineStr">
        <is>
          <t>public: Enhanced Transitional Jobs Demonstration was funded by DOL grants. No significant private funding of program operations.</t>
        </is>
      </c>
      <c r="T50" t="inlineStr">
        <is>
          <t>private: All ETJD grantee organizations were nonprofits/CBOs that directly administered the transitional jobs programs at their sites.</t>
        </is>
      </c>
      <c r="U50" t="inlineStr">
        <is>
          <t>ETJD Milwaukee: ~6 months. Barden et al. 2018, Table 1.1.</t>
        </is>
      </c>
      <c r="BK50" t="inlineStr">
        <is>
          <t>program_uptake: Barden et al. 2018, Figure 1.2, p.15: Milwaukee subsidized employment rate = 63%. Text p.17: 'ultimately fewer than two-thirds of participants actually received transitional jobs.' Control = 0 for ETJD specifically (though ~20% of both groups worked in non-ETJD transitional jobs per p.15). Impact = 63 pp.</t>
        </is>
      </c>
      <c r="BL50"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1" ht="86.40000000000001" customHeight="1">
      <c r="A51" s="2" t="inlineStr">
        <is>
          <t>ETJD</t>
        </is>
      </c>
      <c r="B51" s="2" t="inlineStr">
        <is>
          <t>San Francisco</t>
        </is>
      </c>
      <c r="C51" s="2" t="inlineStr">
        <is>
          <t>NDNH</t>
        </is>
      </c>
      <c r="D51"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1"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1" s="2" t="inlineStr">
        <is>
          <t>N: Appendix Table D.1, p.133: 502 treatment, 492 control. Cost: Table 5.2, p.89: net $8,662 (2016$).</t>
        </is>
      </c>
      <c r="G51" s="2" t="inlineStr">
        <is>
          <t>MT earnings: Appendix Table D.1, 'Total earnings in the last year', p.133: impact $1,660*, CI [227, 3094]. MT employment: Appendix Table D.1, 'Ever employed in that last year', p.133: impact 7.6**, CI [2.7, 12.6]. Control means: earn $8,551, emp 53.9%.</t>
        </is>
      </c>
      <c r="H51" s="2" t="inlineStr">
        <is>
          <t>ITT regression-adjusted impact, controlling for pre-random assignment characteristics. NDNH quarterly wage data used for employment and earnings outcomes.</t>
        </is>
      </c>
      <c r="I51" s="2" t="inlineStr">
        <is>
          <t>Last year (months 18-30) → medium-term. Same logic as Atlanta.</t>
        </is>
      </c>
      <c r="J51" s="2" t="inlineStr">
        <is>
          <t>SEs derived from 90% confidence intervals: SE = (upper - lower) / (2 * 1.645).</t>
        </is>
      </c>
      <c r="K51" s="2" t="inlineStr">
        <is>
          <t>Table 5.2, p.89: net $8,662 (2016$).</t>
        </is>
      </c>
      <c r="L51" s="2" t="inlineStr">
        <is>
          <t>FLAG: Demographics pooled across NCP sites.</t>
        </is>
      </c>
      <c r="M51" t="inlineStr">
        <is>
          <t>SF Dept of Child Support Services (govt) + Arriba Juntos (CBO). Government-led partnership.</t>
        </is>
      </c>
      <c r="N51" t="inlineStr">
        <is>
          <t>No staffing agency partnerships described (Barden et al. 2018).</t>
        </is>
      </c>
      <c r="O51" t="inlineStr">
        <is>
          <t>Three-tier subsidized jobs model; no employer engagement in curricula (Barden et al. 2018).</t>
        </is>
      </c>
      <c r="P51" t="inlineStr">
        <is>
          <t>Three-tiered subsidized jobs with assessment and job-readiness training. No evidence of dedicated job developers (Barden et al. 2018, Table 1.1).</t>
        </is>
      </c>
      <c r="Q51" t="inlineStr">
        <is>
          <t>No employer role in curriculum design (Barden et al. 2018).</t>
        </is>
      </c>
      <c r="R51" t="inlineStr">
        <is>
          <t>No employer hiring commitments; child support incentives were the main enhancement (Barden et al. 2018).</t>
        </is>
      </c>
      <c r="S51" t="inlineStr">
        <is>
          <t>public: Enhanced Transitional Jobs Demonstration was funded by DOL grants. No significant private funding of program operations.</t>
        </is>
      </c>
      <c r="T51" t="inlineStr">
        <is>
          <t>private: All ETJD grantee organizations were nonprofits/CBOs that directly administered the transitional jobs programs at their sites.</t>
        </is>
      </c>
      <c r="U51" t="inlineStr">
        <is>
          <t>ETJD San Francisco: duration unclear from Table 1.1. Barden et al. 2018.</t>
        </is>
      </c>
      <c r="BK51" t="inlineStr">
        <is>
          <t>program_uptake: Barden et al. 2018, Figure 1.2 (p.15) shows 46%; text p.18 states 'Fewer than half of the program group (44 percent) ever worked in a subsidized job.' Using text figure (44%) as more precise. Control = 0 for ETJD specifically. Impact = 44 pp.</t>
        </is>
      </c>
      <c r="BL51"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2" ht="86.40000000000001" customHeight="1">
      <c r="A52" s="2" t="inlineStr">
        <is>
          <t>ETJD</t>
        </is>
      </c>
      <c r="B52" s="2" t="inlineStr">
        <is>
          <t>Syracuse</t>
        </is>
      </c>
      <c r="C52" s="2" t="inlineStr">
        <is>
          <t>NDNH</t>
        </is>
      </c>
      <c r="D52"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2"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2" s="2" t="inlineStr">
        <is>
          <t>N: Appendix Table E.1, p.149: 506 treatment, 498 control. Cost: Table 5.2, p.89: net $7,206 (2016$).</t>
        </is>
      </c>
      <c r="G52" s="2" t="inlineStr">
        <is>
          <t>MT earnings: Appendix Table E.1, 'Total earnings in the last year', p.149: impact $931*, CI [114, 1747]. MT employment: Appendix Table E.1, 'Ever employed in that last year', p.149: impact 3.7, CI [-1.2, 8.6]. Control means: earn $4,582, emp 55.7%.</t>
        </is>
      </c>
      <c r="H52" s="2" t="inlineStr">
        <is>
          <t>ITT regression-adjusted impact, controlling for pre-random assignment characteristics. NDNH quarterly wage data used for employment and earnings outcomes.</t>
        </is>
      </c>
      <c r="I52" s="2" t="inlineStr">
        <is>
          <t>Last year (months 18-30) → medium-term. Same logic as Atlanta.</t>
        </is>
      </c>
      <c r="J52" s="2" t="inlineStr">
        <is>
          <t>SEs derived from 90% confidence intervals: SE = (upper - lower) / (2 * 1.645).</t>
        </is>
      </c>
      <c r="K52" s="2" t="inlineStr">
        <is>
          <t>Table 5.2, p.89: net $7,206 (2016$).</t>
        </is>
      </c>
      <c r="L52" s="2" t="inlineStr">
        <is>
          <t>FLAG: Demographics pooled across NCP sites.</t>
        </is>
      </c>
      <c r="M52" t="inlineStr">
        <is>
          <t>Center for Employment Opportunities (CEO) is a CBO (admin=private).</t>
        </is>
      </c>
      <c r="N52" t="inlineStr">
        <is>
          <t>No staffing agency partnerships described (Barden et al. 2018).</t>
        </is>
      </c>
      <c r="O52" t="inlineStr">
        <is>
          <t>Work crews at public housing authority, BIDs, nonprofits; no employer curricula engagement (Barden et al. 2018).</t>
        </is>
      </c>
      <c r="P52" t="inlineStr">
        <is>
          <t>Program offered 'job-search and job-placement assistance' as explicit component; work crews model with dedicated follow-up services (Barden et al. 2018, Table 1.1).</t>
        </is>
      </c>
      <c r="Q52" t="inlineStr">
        <is>
          <t>No employer role in curriculum design (Barden et al. 2018).</t>
        </is>
      </c>
      <c r="R52" t="inlineStr">
        <is>
          <t>No employer hiring commitments (Barden et al. 2018).</t>
        </is>
      </c>
      <c r="S52" t="inlineStr">
        <is>
          <t>public: Enhanced Transitional Jobs Demonstration was funded by DOL grants. No significant private funding of program operations.</t>
        </is>
      </c>
      <c r="T52" t="inlineStr">
        <is>
          <t>private: All ETJD grantee organizations were nonprofits/CBOs that directly administered the transitional jobs programs at their sites.</t>
        </is>
      </c>
      <c r="U52" t="inlineStr">
        <is>
          <t>ETJD Syracuse: duration unclear from Table 1.1. Barden et al. 2018.</t>
        </is>
      </c>
      <c r="BK52" t="inlineStr">
        <is>
          <t>program_uptake: Barden et al. 2018, Figure 1.2, p.15: Syracuse subsidized employment rate = 80%. Control = 0 by design. Impact = 80 pp.</t>
        </is>
      </c>
      <c r="BL52"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3" ht="86.40000000000001" customHeight="1">
      <c r="A53" s="2" t="inlineStr">
        <is>
          <t>ETJD</t>
        </is>
      </c>
      <c r="B53" s="2" t="inlineStr">
        <is>
          <t>Fort Worth</t>
        </is>
      </c>
      <c r="C53" s="2" t="inlineStr">
        <is>
          <t>NDNH</t>
        </is>
      </c>
      <c r="D53"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3"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3" s="2" t="inlineStr">
        <is>
          <t>N: Appendix Table F.1, p.165: 503 treatment, 495 control. Cost: Table 5.2, p.89: net $8,899 (2016$).</t>
        </is>
      </c>
      <c r="G53" s="2" t="inlineStr">
        <is>
          <t>MT earnings: Appendix Table F.1, 'Total earnings in the last year', p.165: impact -$657, CI [-1975, 660]. MT employment: Appendix Table F.1, 'Ever employed in that last year', p.165: impact -3.2, CI [-8.2, 1.9]. Control means: earn $9,122, emp 60.7%.</t>
        </is>
      </c>
      <c r="H53" s="2" t="inlineStr">
        <is>
          <t>ITT regression-adjusted impact, controlling for pre-random assignment characteristics. NDNH quarterly wage data used for employment and earnings outcomes.</t>
        </is>
      </c>
      <c r="I53" s="2" t="inlineStr">
        <is>
          <t>Last year (months 18-30) → medium-term. Same logic as Atlanta.</t>
        </is>
      </c>
      <c r="J53" s="2" t="inlineStr">
        <is>
          <t>SEs derived from 90% confidence intervals: SE = (upper - lower) / (2 * 1.645).</t>
        </is>
      </c>
      <c r="K53" s="2" t="inlineStr">
        <is>
          <t>Table 5.2, p.89: net $8,899 (2016$).</t>
        </is>
      </c>
      <c r="L53" s="2" t="inlineStr">
        <is>
          <t>FLAG: Demographics pooled across ex-offender sites. FLAG: Only site with negative impacts — may reflect program implementation issues.</t>
        </is>
      </c>
      <c r="M53" t="inlineStr">
        <is>
          <t>Workforce Solutions for Tarrant County + Corrections Dept. Government agencies.</t>
        </is>
      </c>
      <c r="N53" t="inlineStr">
        <is>
          <t>No staffing agency partnerships described (Barden et al. 2018).</t>
        </is>
      </c>
      <c r="O53" t="inlineStr">
        <is>
          <t>Private-sector subsidized jobs; no employer engagement in curricula (Barden et al. 2018).</t>
        </is>
      </c>
      <c r="P53" t="inlineStr">
        <is>
          <t>Participants 'placed in jobs with private employers' with program paying wages; placement into private-sector jobs implies dedicated placement function (Barden et al. 2018, Table 1.1).</t>
        </is>
      </c>
      <c r="Q53" t="inlineStr">
        <is>
          <t>No employer role in curriculum design (Barden et al. 2018).</t>
        </is>
      </c>
      <c r="R53" t="inlineStr">
        <is>
          <t>Employers 'expected to retain participants who performed well' (Barden et al. 2018) but this is an expectation to retain subsidized workers, not a formal commitment to hire graduates per Peck definition.</t>
        </is>
      </c>
      <c r="S53" t="inlineStr">
        <is>
          <t>public: Enhanced Transitional Jobs Demonstration was funded by DOL grants. No significant private funding of program operations.</t>
        </is>
      </c>
      <c r="T53" t="inlineStr">
        <is>
          <t>private: All ETJD grantee organizations were nonprofits/CBOs that directly administered the transitional jobs programs at their sites.</t>
        </is>
      </c>
      <c r="U53" t="inlineStr">
        <is>
          <t>ETJD Fort Worth: ~4.5 months. Barden et al. 2018, Table 1.1.</t>
        </is>
      </c>
      <c r="BK53" t="inlineStr">
        <is>
          <t>program_uptake: Barden et al. 2018, Figure 1.2, p.15: Fort Worth subsidized employment rate = 39%. Also ES p.16: 'fewer than 40 percent of participants worked in transitional jobs.' Fort Worth attempted to place participants directly into subsidized private-sector jobs, which proved difficult. Control = 0 by design. Impact = 39 pp.</t>
        </is>
      </c>
      <c r="BL53"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4" ht="86.40000000000001" customHeight="1">
      <c r="A54" s="2" t="inlineStr">
        <is>
          <t>ETJD</t>
        </is>
      </c>
      <c r="B54" s="2" t="inlineStr">
        <is>
          <t>Indianapolis</t>
        </is>
      </c>
      <c r="C54" s="2" t="inlineStr">
        <is>
          <t>NDNH</t>
        </is>
      </c>
      <c r="D54"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4"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4" s="2" t="inlineStr">
        <is>
          <t>N: Appendix Table G.1, p.179: 500 treatment, 497 control. Cost: Table 5.2, p.89: net $11,075 (2016$).</t>
        </is>
      </c>
      <c r="G54" s="2" t="inlineStr">
        <is>
          <t>MT earnings: Appendix Table G.1, 'Total earnings in the last year', p.179: impact $1,016**, CI [261, 1771]. MT employment: Appendix Table G.1, 'Ever employed in that last year', p.179: impact 9.0***, CI [3.9, 14.1]. Control means: earn $4,186, emp 55.7%.</t>
        </is>
      </c>
      <c r="H54" s="2" t="inlineStr">
        <is>
          <t>ITT regression-adjusted impact, controlling for pre-random assignment characteristics. NDNH quarterly wage data used for employment and earnings outcomes.</t>
        </is>
      </c>
      <c r="I54" s="2" t="inlineStr">
        <is>
          <t>Last year (months 18-30) → medium-term. Same logic as Atlanta.</t>
        </is>
      </c>
      <c r="J54" s="2" t="inlineStr">
        <is>
          <t>SEs derived from 90% confidence intervals: SE = (upper - lower) / (2 * 1.645).</t>
        </is>
      </c>
      <c r="K54" s="2" t="inlineStr">
        <is>
          <t>Table 5.2, p.89: net $11,075 (2016$).</t>
        </is>
      </c>
      <c r="L54" s="2" t="inlineStr">
        <is>
          <t>FLAG: Demographics pooled across ex-offender sites.</t>
        </is>
      </c>
      <c r="M54" t="inlineStr">
        <is>
          <t>RecycleForce is a nonprofit (admin=private).</t>
        </is>
      </c>
      <c r="N54" t="inlineStr">
        <is>
          <t>No staffing agency; RecycleForce is a social enterprise, not a staffing agency (Barden et al. 2018).</t>
        </is>
      </c>
      <c r="O54" t="inlineStr">
        <is>
          <t>Social enterprise model (electronics recycling); no employer curricula engagement (Barden et al. 2018).</t>
        </is>
      </c>
      <c r="P54" t="inlineStr">
        <is>
          <t>Program explicitly offered 'job development' as a named component alongside case management and occupational training (Barden et al. 2018, Table 1.1).</t>
        </is>
      </c>
      <c r="Q54" t="inlineStr">
        <is>
          <t>No external employer role in curriculum design (Barden et al. 2018).</t>
        </is>
      </c>
      <c r="R54" t="inlineStr">
        <is>
          <t>Participants 'may have been hired later as unsubsidized employees' by RecycleForce, but no formal external employer hiring commitments (Barden et al. 2018).</t>
        </is>
      </c>
      <c r="S54" t="inlineStr">
        <is>
          <t>public: Enhanced Transitional Jobs Demonstration was funded by DOL grants. No significant private funding of program operations.</t>
        </is>
      </c>
      <c r="T54" t="inlineStr">
        <is>
          <t>private: All ETJD grantee organizations were nonprofits/CBOs that directly administered the transitional jobs programs at their sites.</t>
        </is>
      </c>
      <c r="U54" t="inlineStr">
        <is>
          <t>ETJD Indianapolis: duration unclear from Table 1.1. Barden et al. 2018.</t>
        </is>
      </c>
      <c r="BK54" t="inlineStr">
        <is>
          <t>program_uptake: Barden et al. 2018, Figure 1.2, p.15: Indianapolis subsidized employment rate = 100%. 'participants were immediately placed into jobs with the program sponsor' (ES p.5 / Table ES.1). Control = 0 by design. Impact = 100 pp.</t>
        </is>
      </c>
      <c r="BL54"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5" ht="86.40000000000001" customHeight="1">
      <c r="A55" s="2" t="inlineStr">
        <is>
          <t>ETJD</t>
        </is>
      </c>
      <c r="B55" s="2" t="inlineStr">
        <is>
          <t>New York City</t>
        </is>
      </c>
      <c r="C55" s="2" t="inlineStr">
        <is>
          <t>NDNH</t>
        </is>
      </c>
      <c r="D55"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5"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5" s="2" t="inlineStr">
        <is>
          <t>N: Appendix Table H.1, p.193: 504 treatment, 501 control. Cost: Table 5.2, p.89: net $6,459 (2016$).</t>
        </is>
      </c>
      <c r="G55" s="2" t="inlineStr">
        <is>
          <t>MT earnings: Appendix Table H.1, 'Total earnings in the last year', p.193: impact $247, CI [-824, 1318]. MT employment: Appendix Table H.1, 'Ever employed in that last year', p.193: impact 3.5, CI [-1.6, 8.5]. Control means: earn $7,124, emp 53.4%.</t>
        </is>
      </c>
      <c r="H55" s="2" t="inlineStr">
        <is>
          <t>ITT regression-adjusted impact, controlling for pre-random assignment characteristics. NDNH quarterly wage data used for employment and earnings outcomes.</t>
        </is>
      </c>
      <c r="I55" s="2" t="inlineStr">
        <is>
          <t>Last year (months 18-30) → medium-term. Same logic as Atlanta.</t>
        </is>
      </c>
      <c r="J55" s="2" t="inlineStr">
        <is>
          <t>SEs derived from 90% confidence intervals: SE = (upper - lower) / (2 * 1.645).</t>
        </is>
      </c>
      <c r="K55" s="2" t="inlineStr">
        <is>
          <t>Table 5.2, p.89: net $6,459 (2016$).</t>
        </is>
      </c>
      <c r="L55" s="2" t="inlineStr">
        <is>
          <t>FLAG: Demographics pooled across ex-offender sites. FLAG: CEO operates both NYC (ex-offenders) and Syracuse (NCPs) sites.</t>
        </is>
      </c>
      <c r="M55" t="inlineStr">
        <is>
          <t>CEO is a CBO (admin=private).</t>
        </is>
      </c>
      <c r="N55" t="inlineStr">
        <is>
          <t>No staffing agency partnerships described (Barden et al. 2018).</t>
        </is>
      </c>
      <c r="O55" t="inlineStr">
        <is>
          <t>Street-cleaning crews then subsidized internships; no employer engagement in curricula (Barden et al. 2018).</t>
        </is>
      </c>
      <c r="P55" t="inlineStr">
        <is>
          <t>Job coaching and job development explicitly described (Barden et al. 2018).</t>
        </is>
      </c>
      <c r="Q55" t="inlineStr">
        <is>
          <t>No employer role in curriculum design (Barden et al. 2018).</t>
        </is>
      </c>
      <c r="R55" t="inlineStr">
        <is>
          <t>Internships could transition to unsubsidized employment, but no formal employer hiring commitments (Barden et al. 2018).</t>
        </is>
      </c>
      <c r="S55" t="inlineStr">
        <is>
          <t>public: Enhanced Transitional Jobs Demonstration was funded by DOL grants. No significant private funding of program operations.</t>
        </is>
      </c>
      <c r="T55" t="inlineStr">
        <is>
          <t>private: All ETJD grantee organizations were nonprofits/CBOs that directly administered the transitional jobs programs at their sites.</t>
        </is>
      </c>
      <c r="U55" t="inlineStr">
        <is>
          <t>ETJD NYC (Doe Fund): ~6 months. Barden et al. 2018, Table 1.1.</t>
        </is>
      </c>
      <c r="BK55" t="inlineStr">
        <is>
          <t>program_uptake: Barden et al. 2018, Figure 1.2, p.15: NYC subsidized employment rate = 79%. Note: significant control group crossover — ~36% of control group and 16% of program group worked in transitional jobs through CEO, a separate program (p.15). Control = 0 for ETJD specifically. Impact = 79 pp.</t>
        </is>
      </c>
      <c r="BL55"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6" ht="100.8" customHeight="1">
      <c r="A56" s="2" t="inlineStr">
        <is>
          <t>STED</t>
        </is>
      </c>
      <c r="B56" s="2" t="inlineStr">
        <is>
          <t>NYC (YAIP)</t>
        </is>
      </c>
      <c r="C56" s="2" t="inlineStr">
        <is>
          <t>NDNH</t>
        </is>
      </c>
      <c r="D56" s="2" t="inlineStr">
        <is>
          <t>Secondary: the core service is a 14-week paid internship (subsidized employment). Workshops on job readiness, financial literacy, and college prep are concurrent but ancillary to the internship placement.</t>
        </is>
      </c>
      <c r="E56" s="2" t="inlineStr">
        <is>
          <t>has_classroom=1: concurrent workshops on job readiness, career exploration, financial literacy, college preparation. has_ojt=1: 14-week paid internship at private/nonprofit worksites. has_jsa=1: 9 months post-internship follow-up with job placement assistance. has_multiple_components=1: combines subsidized internship, classroom workshops, job search assistance, and mentoring.</t>
        </is>
      </c>
      <c r="F56" s="2" t="inlineStr">
        <is>
          <t>Sample sizes (n_treatment=1638, n_control=1040): Table 4.2, p.85. Demographics: Table 2.1, pp.47-48. Randomization period: p.4 (July 2013–March 2014).</t>
        </is>
      </c>
      <c r="G56" s="2" t="inlineStr">
        <is>
          <t>ST employment: Table 2.2, row 'Ever employed in Year 1 (%)', Program=95.2, Control=66.4, Impact=28.8***, 90% CI [26.6, 31.0], p. 22. ST earnings: Table 2.2, row 'Total earnings in Year 1 ($)', Program=6675, Control=3247, Impact=3428***, 90% CI [3109, 3746], p. 22. MT employment: Table 2.2, row 'Ever employed in Last Year (%)', Program=78.3, Control=78.7, Impact=-0.4, 90% CI [-3.1, 2.2], p. 22. MT earnings: Table 2.1/2.2, row 'Total earnings in Last Year ($)', Program=8131, Control=7637, Impact=494, 90% CI [-84, 1071], p. 20/22. All regression-adjusted. N=2,678 (1,638 T + 1,040 C).</t>
        </is>
      </c>
      <c r="H56" s="2" t="inlineStr">
        <is>
          <t>ITT regression-adjusted impact, controlling for pre-random assignment characteristics (NDNH administrative data).</t>
        </is>
      </c>
      <c r="I56" s="2" t="inlineStr">
        <is>
          <t>ST: Year 1 (quarters 1-4 post-RA) → short-term. MT: Last Year (months 19-30, centered ~24 months) → medium-term. 30-month total not used as it spans both time bins. Source: Cummings et al. 2018 final 30-month report.</t>
        </is>
      </c>
      <c r="J56" s="2" t="inlineStr">
        <is>
          <t>All SEs converted from 90% CIs: SE = half-width / 1.645. ST emp: (31.0-26.6)/(2×1.645) = 4.4/3.29 = 1.34. ST earn: (3746-3109)/(2×1.645) = 637/3.29 = 193.6. MT emp: (2.2-(-3.1))/(2×1.645) = 5.3/3.29 = 1.61. MT earn: (1071-(-84))/(2×1.645) = 1155/3.29 = 351.06.</t>
        </is>
      </c>
      <c r="K56" s="2" t="inlineStr">
        <is>
          <t>Cummings et al. 2018, p. xv: '$5,431 per program group member (in 2016 dollars).' Net cost above control services.</t>
        </is>
      </c>
      <c r="L56" s="2" t="inlineStr">
        <is>
          <t>MAJOR CAVEAT: 80.7% of program group had subsidized employment during the follow-up year, so ST employment impact (28.8 pp) and earnings impact ($3,428) largely reflect subsidized placement, not unsubsidized labor market gains. By the last year (months 19-30), all impacts fade to near zero and are not statistically significant, consistent with no lasting effect beyond the subsidized period. Updated from early impacts (Skemer et al. 2017) to final 30-month report (Cummings et al. 2018); minor numerical differences reflect final regression-adjusted estimates.</t>
        </is>
      </c>
      <c r="M56" t="inlineStr">
        <is>
          <t>YAIP operated by private nonprofit (admin=private).</t>
        </is>
      </c>
      <c r="N56" t="inlineStr">
        <is>
          <t>No staffing agency partnerships described (Cummings et al. 2018).</t>
        </is>
      </c>
      <c r="O56" t="inlineStr">
        <is>
          <t>No employer engagement in workshop curricula documented.</t>
        </is>
      </c>
      <c r="P56" t="inlineStr">
        <is>
          <t>Job placement and follow-up support documented (Skemer et al. 2017).</t>
        </is>
      </c>
      <c r="Q56" t="inlineStr">
        <is>
          <t>Curriculum developed by Workforce Professionals Training Institute for DYCD/CEO; no employer role in design (Cummings et al. 2018).</t>
        </is>
      </c>
      <c r="R56" t="inlineStr">
        <is>
          <t>'Employers do not have to commit to hiring participants'; subsidized internship model (Cummings et al. 2018).</t>
        </is>
      </c>
      <c r="S56" t="inlineStr">
        <is>
          <t>public: Subsidized and Transitional Employment Demonstration was funded by DOL grants under the American Recovery and Reinvestment Act and subsequent appropriations.</t>
        </is>
      </c>
      <c r="T56" t="inlineStr">
        <is>
          <t>private: YAIP (Young Adult Internship Program) in NYC was operated by nonprofit CBOs.</t>
        </is>
      </c>
      <c r="U56" t="inlineStr">
        <is>
          <t>YAIP NYC: 10-12 week paid internship, ~2.5 months. Cummings et al. 2018.</t>
        </is>
      </c>
      <c r="BK56" t="inlineStr">
        <is>
          <t>Table 3.2, report p. 40 (Skemer et al. 2017): 77% of program group worked in a subsidized internship. C barred from YAIP by design, so C=0. Note: Table 4.2 footnote 2 notes that YAIP payroll data (Table 4.2) shows participation differently from program data (Table 3.2) due to different measurement approaches.</t>
        </is>
      </c>
      <c r="BL56" t="inlineStr">
        <is>
          <t>Not reported. YAIP Table 4.1 (report p. 60, 'One-Year Impacts on Service Receipt') does not include an education/training category. The table covers employment support (received help finding job: T=84.6, C=53.3; unpaid work experience: T=18.0, C=11.4) and other support services, but has no 'participated in education and training' row. Left blank.</t>
        </is>
      </c>
    </row>
    <row r="57" ht="100.8" customHeight="1">
      <c r="A57" s="2" t="inlineStr">
        <is>
          <t>STED</t>
        </is>
      </c>
      <c r="B57" s="2" t="inlineStr">
        <is>
          <t>San Francisco (STEP Forward)</t>
        </is>
      </c>
      <c r="C57" s="2" t="inlineStr">
        <is>
          <t>NDNH</t>
        </is>
      </c>
      <c r="D57" s="2" t="inlineStr">
        <is>
          <t>Secondary: the core intervention is a wage subsidy to private employers. Job-readiness services and case management are ancillary. The report explicitly states 'the STEP Forward program did not emphasize education or training' (p.56).</t>
        </is>
      </c>
      <c r="E57" s="2" t="inlineStr">
        <is>
          <t>has_classroom=0: program did not emphasize education or training (p.56). has_ojt=0: subsidized employment, not structured OJT with training objective; employers hired participants as regular employees. has_jsa=1: weekly job fairs, job-readiness services, career planning services. has_multiple_components=1: combines wage subsidy to employers, job fairs/JSA, and case management.</t>
        </is>
      </c>
      <c r="F57" s="2" t="inlineStr">
        <is>
          <t>Sample sizes (n_treatment=414, n_control=397): Table 5.2, p.58. Demographics: Table 3.1, pp.28-29 (Full Sample column). Randomization period: p.25 footnote (fall 2012 enrollment began; expanded September 2013; continued through spring 2015). Attrition: NDNH administrative data, 100% coverage.</t>
        </is>
      </c>
      <c r="G57" s="2" t="inlineStr">
        <is>
          <t>ST employment: Table 5.2, Administrative outcomes panel, row 'Employment (%)', columns Program=75.7, Control=69.7, Impact=6.0**, 90% CI [1.3, 10.7], p.58. ST earnings: Table 5.2, row 'Total earnings ($)', columns Program=8520, Control=6912, Impact=1608***, 90% CI [589, 2628], p.58.</t>
        </is>
      </c>
      <c r="H57" s="2" t="inlineStr">
        <is>
          <t>ITT regression-adjusted impact, controlling for pre-random assignment characteristics (NDNH + STEP Forward subsidy payment records).</t>
        </is>
      </c>
      <c r="I57" s="2" t="inlineStr">
        <is>
          <t>1-year follow-up (4 quarters post-random assignment) → short-term per CKW classification. Q5 data also available (employment impact 6.6** at ~15 months) but assigned to short-term bin as closest to 1-year center.</t>
        </is>
      </c>
      <c r="J57" s="2" t="inlineStr">
        <is>
          <t>Converted from 90% CIs. Employment SE = (10.7 - 1.3) / (2 × 1.645) = 9.4 / 3.29 = 2.86. Earnings SE = (2628 - 589) / (2 × 1.645) = 2039 / 3.29 = 619.76.</t>
        </is>
      </c>
      <c r="K57" s="2" t="inlineStr">
        <is>
          <t>Not reported in early impacts report.</t>
        </is>
      </c>
      <c r="L57" s="2" t="inlineStr">
        <is>
          <t>Low take-up: only 25.4% of program group ever worked in a subsidized job. Early impacts include the subsidized employment period. pct_no_hs_diploma=28.0 is 'No degree' (19.1%) + 'Certificate of attendance' (8.9%); this is a judgment call since certificate of attendance is not a diploma. White non-Hispanic category is only 9.4% of sample; large Asian (23.3%) and multiracial components not captured in standard race columns.</t>
        </is>
      </c>
      <c r="M57" t="inlineStr">
        <is>
          <t>Public program (admin=public).</t>
        </is>
      </c>
      <c r="N57" t="inlineStr">
        <is>
          <t>No evidence.</t>
        </is>
      </c>
      <c r="O57" t="inlineStr">
        <is>
          <t>No employer engagement in curricula; job fairs are an employer engagement mechanism but not curricula design.</t>
        </is>
      </c>
      <c r="P57" t="inlineStr">
        <is>
          <t>Job readiness services and case management provided.</t>
        </is>
      </c>
      <c r="Q57" t="inlineStr">
        <is>
          <t>No employer role in curriculum design.</t>
        </is>
      </c>
      <c r="R57" t="inlineStr">
        <is>
          <t>Employers 'had agreed to hire program participants' — explicit employer commitment to hire (Walter et al. 2017).</t>
        </is>
      </c>
      <c r="S57" t="inlineStr">
        <is>
          <t>public: Subsidized and Transitional Employment Demonstration was funded by DOL grants under the American Recovery and Reinvestment Act and subsequent appropriations.</t>
        </is>
      </c>
      <c r="T57" t="inlineStr">
        <is>
          <t>public: STEP Forward was administered by the San Francisco Office of Economic and Workforce Development (public).</t>
        </is>
      </c>
      <c r="U57" t="inlineStr">
        <is>
          <t>STEP Forward (SF): duration not clearly reported. Farrell &amp; Webster 2019.</t>
        </is>
      </c>
      <c r="BK57" t="inlineStr">
        <is>
          <t>Table 4.2, report p. 41 (Walter et al. 2017): 'Ever worked in a subsidized job in Months 1-12 (%)': 25.4. Also 'Ever placed in a subsidized job: 31.6%' but 'worked' is the stricter measure. C barred from STEP Forward subsidized jobs by design, so C=0.</t>
        </is>
      </c>
      <c r="BL57" t="inlineStr">
        <is>
          <t>Not reported. STEP Forward was a subsidized employment program with negligible training. Table 4.1 (report p. 38) shows program-group-only service receipt: 'Referral to remedial education services: 1.5%', 'Referral to post-secondary education services: 1.0%'. No T vs C comparison on training. Left blank.</t>
        </is>
      </c>
    </row>
    <row r="58" ht="115.2" customHeight="1">
      <c r="A58" s="2" t="inlineStr">
        <is>
          <t>STED</t>
        </is>
      </c>
      <c r="B58" s="2" t="inlineStr">
        <is>
          <t>Minnesota</t>
        </is>
      </c>
      <c r="C58" s="2" t="inlineStr">
        <is>
          <t>NDNH</t>
        </is>
      </c>
      <c r="D58" s="2" t="inlineStr">
        <is>
          <t>Secondary: the core intervention is subsidized employment (private-sector or public work experience). Job-readiness workshops (2-6 weeks) are ancillary to the employment placement.</t>
        </is>
      </c>
      <c r="E58" s="2" t="inlineStr">
        <is>
          <t>has_classroom=1: job-readiness workshops at all three providers (2-week at HIRED, 6-week at Goodwill, optional at Avivo). has_ojt=0: subsidized private jobs are wage reimbursement to employers, not structured OJT with formal training objectives. has_jsa=1: job-readiness workshops include job search skills and career planning. has_multiple_components=1: subsidized employment + job-readiness workshops + case management.</t>
        </is>
      </c>
      <c r="F58" s="2" t="inlineStr">
        <is>
          <t>Sample sizes (n_treatment=403, n_control=396): Table 4.2, p.31. Demographics: Table 2.1, pp.15-16 (TSE Group and Control Group columns). Randomization period: p.5 (November 2014 through June 2016).</t>
        </is>
      </c>
      <c r="G58" s="2" t="inlineStr">
        <is>
          <t>ST employment: Table 4.2, row 'Ever employed in Year 1 (%)', Program=87.0, Control=80.2, Impact=6.8, 90% CI [2.7, 10.9], p.31. ST earnings: Table 4.2, row 'Total earnings in Year 1 ($)', Program=7132, Control=6572, Impact=560, 90% CI [-188, 1308], p.31.</t>
        </is>
      </c>
      <c r="H58" s="2" t="inlineStr">
        <is>
          <t>ITT regression-adjusted impact, controlling for pre-random assignment characteristics (NDNH administrative data).</t>
        </is>
      </c>
      <c r="I58" s="2" t="inlineStr">
        <is>
          <t>1-year follow-up (4 quarters post-random assignment) → short-term per CKW classification. Q5 data also available (employment impact 6.2* at ~15 months) but year 1 is the primary estimate.</t>
        </is>
      </c>
      <c r="J58" s="2" t="inlineStr">
        <is>
          <t>Converted from 90% CIs. Employment SE = (10.9 - 2.7) / (2 × 1.645) = 8.2 / 3.29 = 2.49. Earnings SE = (1308 - (-188)) / (2 × 1.645) = 1496 / 3.29 = 454.71.</t>
        </is>
      </c>
      <c r="K58" s="2" t="inlineStr">
        <is>
          <t>Not reported in early impacts report.</t>
        </is>
      </c>
      <c r="L58" s="2" t="inlineStr">
        <is>
          <t>Low take-up: only 33% of program group participated in subsidized employment. Mandatory program (MFIP condition) but take-up still low. Employment impact sustained into Q5 suggesting lasting effect beyond subsidy period, but earnings impact never significant. Demographics from Table 2.1 are for the TSE and control groups separately; values used are approximate averages.</t>
        </is>
      </c>
      <c r="M58" t="inlineStr">
        <is>
          <t>Admin=private but operator unclear; subsidized employment model.</t>
        </is>
      </c>
      <c r="N58" t="inlineStr">
        <is>
          <t>No staffing agency partnerships described (Farrell &amp; Webster 2019).</t>
        </is>
      </c>
      <c r="O58" t="inlineStr">
        <is>
          <t>Subsidized private-sector jobs; no employer engagement in curricula design (Farrell &amp; Webster 2019).</t>
        </is>
      </c>
      <c r="P58" t="inlineStr">
        <is>
          <t>Job readiness workshops and employment services (Farrell &amp; Webster 2019).</t>
        </is>
      </c>
      <c r="Q58" t="inlineStr">
        <is>
          <t>No employer role in curriculum design (Farrell &amp; Webster 2019).</t>
        </is>
      </c>
      <c r="R58" t="inlineStr">
        <is>
          <t>Employers 'expected to retain the participants after the subsidy ended' (Farrell &amp; Webster 2019) but this is an expectation to retain subsidized workers, not a formal commitment to hire graduates per Peck definition.</t>
        </is>
      </c>
      <c r="S58" t="inlineStr">
        <is>
          <t>public: Subsidized and Transitional Employment Demonstration was funded by DOL grants under the American Recovery and Reinvestment Act and subsequent appropriations.</t>
        </is>
      </c>
      <c r="T58" t="inlineStr">
        <is>
          <t>private: Minnesota STED was operated by nonprofit workforce organizations (Twin Cities RISE, EMERGE).</t>
        </is>
      </c>
      <c r="U58" t="inlineStr">
        <is>
          <t>Minnesota STED: duration not clearly reported. Farrell &amp; Webster 2019; LeBlanc et al. 2007.</t>
        </is>
      </c>
      <c r="BK58" t="inlineStr">
        <is>
          <t>Table 3.1, report p. 23 (Farrell and Webster 2019): 33.7% of program group participated in MSTED subsidized employment (18.9% paid work experience, 19.6% subsidized job 100% phase, 8.2% 50% phase). Table 4.2 (report p. 31) admin data shows 32.7% — slight discrepancy due to different data sources (provider data vs. admin). Used 33.7 from implementation chapter. C barred from MSTED, so C=0.</t>
        </is>
      </c>
      <c r="BL58" t="inlineStr">
        <is>
          <t>Table 4.1, report p. 29 (Farrell and Webster 2019): row 'Participated in education and training', Program Group=35.4%, Control Group=33.8%, Difference (Impact)=1.6 (not statistically significant, 90% CI [-5.1, 8.4]). Regression-adjusted, controlling for pre-random assignment characteristics. 12-month survey. Note: text states 'there is not a statistically significant difference in participation in education and training activities.' Program group was LESS likely to attend postsecondary education (T=9.2 vs C=16.6, impact=-7.5**).</t>
        </is>
      </c>
    </row>
    <row r="59" ht="129.6" customHeight="1">
      <c r="A59" s="2" t="inlineStr">
        <is>
          <t>STED</t>
        </is>
      </c>
      <c r="B59" s="2" t="inlineStr">
        <is>
          <t>LA County (PWE)</t>
        </is>
      </c>
      <c r="C59" s="2" t="inlineStr">
        <is>
          <t>NDNH</t>
        </is>
      </c>
      <c r="D59" s="2" t="inlineStr">
        <is>
          <t>Secondary: the core intervention is Paid Work Experience (subsidized employment at nonprofit/public worksites). GAIN services (job club, counseling) are ancillary.</t>
        </is>
      </c>
      <c r="E59" s="2" t="inlineStr">
        <is>
          <t>has_classroom=0: no formal classroom instruction described for the PWE model specifically. has_ojt=0: PWE is subsidized employment (work experience), not structured on-the-job training with formal training objectives. has_jsa=1: GAIN includes job club and placement services. has_multiple_components=1: subsidized employment + GAIN case management + job club + counseling + supportive services.</t>
        </is>
      </c>
      <c r="F59" s="2" t="inlineStr">
        <is>
          <t>Sample sizes: Appendix Table B.2, p.55 (874 PWE, 871 control). Demographics: Table 1.2, pp.9-10 (pooled across all groups). Randomization period: p.3 (November 2012 through November 2013). Cost: Table 3.1, p.34 ($4,701 net per PWE member, 2016$).</t>
        </is>
      </c>
      <c r="G59" s="2" t="inlineStr">
        <is>
          <t>ST employment: Appendix Table B.2, row 'Ever employed in the first year (%)', PWE column: impact 34.1, p=0.000, control=57.8, p.55. ST earnings: Table B.2, row 'Total earnings in the first year ($)', PWE column: impact 2,716, p=0.000, control=4,476, p.55. MT employment: Table B.2, row 'Ever employed in the last year (%)', PWE column: impact 4.1, p=0.056, control=68.0. MT earnings: Table B.2, row 'Total earnings in the last year ($)', PWE column: impact 889, p=0.114, control=9,777.</t>
        </is>
      </c>
      <c r="H59" s="2" t="inlineStr">
        <is>
          <t>ITT regression-adjusted impact, controlling for pre-random assignment characteristics (NDNH administrative data).</t>
        </is>
      </c>
      <c r="I59" s="2" t="inlineStr">
        <is>
          <t>First year (quarters 1-4) → short-term. Last year (months 19-30, centered at ~24 months) → medium-term per CKW classification. 30-month total not used as it spans multiple time bins.</t>
        </is>
      </c>
      <c r="J59" s="2" t="inlineStr">
        <is>
          <t>Short-term SEs not derivable: p reported as 0.000 (&lt; 0.0005), giving z &gt; 3.29, but exact z unknown. Medium-term SEs derived from two-tailed p-values: Employment: p=0.056, z=Φ^(-1)(0.972)=1.911, SE=4.1/1.911=2.15. Earnings: p=0.114, z=Φ^(-1)(0.943)=1.580, SE=889/1.580=562.66.</t>
        </is>
      </c>
      <c r="K59" s="2" t="inlineStr">
        <is>
          <t>Table 3.1, p.34: Total net cost (PWE - Control) = $4,701 per program group member (2016$). Includes GAIN costs ($65 net), TSE costs ($5,404 net), and non-GAIN education costs (-$768 net).</t>
        </is>
      </c>
      <c r="L59" s="2" t="inlineStr">
        <is>
          <t>Short-term SEs not derivable from p=0.000. Short-term employment impact (34.1 pp) heavily driven by subsidized jobs. Demographics are pooled across all three research groups (PWE, OJT, control) — not broken out by arm. PWE and OJT share the same control group; coefficients from separate columns in Table B.2. admin_public_private='mixed': GAIN administered by LA County DPSS, but TSE worksites include nonprofits.</t>
        </is>
      </c>
      <c r="M59" t="inlineStr">
        <is>
          <t>LA County PWE: public welfare agency administering subsidized employment at nonprofit/public worksites. Part of GAIN. No dedicated job development, no employer engagement in curricula.</t>
        </is>
      </c>
      <c r="N59" t="inlineStr">
        <is>
          <t>LA County PWE: public welfare agency administering subsidized employment at nonprofit/public worksites. Part of GAIN. No dedicated job development, no employer engagement in curricula.</t>
        </is>
      </c>
      <c r="O59" t="inlineStr">
        <is>
          <t>LA County PWE: public welfare agency administering subsidized employment at nonprofit/public worksites. Part of GAIN. No dedicated job development, no employer engagement in curricula.</t>
        </is>
      </c>
      <c r="P59" t="inlineStr">
        <is>
          <t>LA County PWE: public welfare agency administering subsidized employment at nonprofit/public worksites. Part of GAIN. No dedicated job development, no employer engagement in curricula.</t>
        </is>
      </c>
      <c r="Q59" t="inlineStr">
        <is>
          <t>LA County PWE: public welfare agency administering subsidized employment at nonprofit/public worksites. Part of GAIN. No dedicated job development, no employer engagement in curricula.</t>
        </is>
      </c>
      <c r="R59" t="inlineStr">
        <is>
          <t>LA County PWE: public welfare agency administering subsidized employment at nonprofit/public worksites. Part of GAIN. No dedicated job development, no employer engagement in curricula.</t>
        </is>
      </c>
      <c r="S59" t="inlineStr">
        <is>
          <t>public: Subsidized and Transitional Employment Demonstration was funded by DOL grants under the American Recovery and Reinvestment Act and subsequent appropriations.</t>
        </is>
      </c>
      <c r="T59" t="inlineStr">
        <is>
          <t>mixed: LA County PWE was administered by LA County DPSS (public) contracting with community-based providers.</t>
        </is>
      </c>
      <c r="U59" t="inlineStr">
        <is>
          <t>LA County PWE: up to 6 months paid work experience. Anderson et al. 2019.</t>
        </is>
      </c>
      <c r="BK59" t="inlineStr">
        <is>
          <t>Figure 1.1, report p. 11 (Anderson et al. 2019): 79% of PWE group placed in subsidized employment (n=874). C barred from STED subsidized employment, so C=0. Note: C participated in other welfare-to-work services through CalWORKs.</t>
        </is>
      </c>
      <c r="BL59" t="inlineStr">
        <is>
          <t>Not reported at broad level. Figure 1.2 (report p. 14, Anderson et al. 2019) only shows narrow 'Participated in postsecondary education leading to a degree (%)': PWE=11.6, Control=18.0, impact=-6.4*** — negative impact, C had MORE education. At 30 months (Figure 2.1, report p. 17), broader 'Participating in education and training' (including HS diploma/equiv, postsecondary, vocational): PWE=17.2, Control=18.6, impact=-1.4 (not sig). Left blank because 12-month measure is too narrow; noted for reviewer.</t>
        </is>
      </c>
    </row>
    <row r="60" ht="115.2" customHeight="1">
      <c r="A60" s="2" t="inlineStr">
        <is>
          <t>STED</t>
        </is>
      </c>
      <c r="B60" s="2" t="inlineStr">
        <is>
          <t>LA County (OJT)</t>
        </is>
      </c>
      <c r="C60" s="2" t="inlineStr">
        <is>
          <t>NDNH</t>
        </is>
      </c>
      <c r="D60" s="2" t="inlineStr">
        <is>
          <t>Secondary: although 'OJT' implies training, the intervention is primarily a subsidized employment model within a welfare-to-work framework (GAIN). The training component is incidental to the wage subsidy — employers hire participants as regular employees with wage reimbursement. The STED demonstration frames this as transitional subsidized employment, not a training program.</t>
        </is>
      </c>
      <c r="E60" s="2" t="inlineStr">
        <is>
          <t>has_classroom=0: no formal classroom instruction in the OJT model. has_ojt=1: on-the-job training with private employers is literally OJT, with employers expected to provide training during subsidized period. has_jsa=1: GAIN includes job club and placement services; TSE staff spent considerable time on job development for OJT placements. has_multiple_components=1: OJT + GAIN case management + job club + counseling + employer retention bonus.</t>
        </is>
      </c>
      <c r="F60" s="2" t="inlineStr">
        <is>
          <t>Sample sizes: Appendix Table B.2, p.55 (877 OJT, 871 control). Demographics: Table 1.2, pp.9-10 (pooled). Randomization period: p.3. Cost: Table 3.1, p.34 ($2,046 net per OJT member, 2016$).</t>
        </is>
      </c>
      <c r="G60" s="2" t="inlineStr">
        <is>
          <t>ST employment: Appendix Table B.2, row 'Ever employed in the first year (%)', OJT column: impact 18.3, p=0.000, control=57.8. ST earnings: Table B.2, row 'Total earnings in the first year ($)', OJT column: impact 1,269, p=0.000, control=4,476. MT employment: Table B.2, row 'Ever employed in the last year (%)', OJT column: impact 2.3, p=0.294, control=68.0. MT earnings: Table B.2, row 'Total earnings in the last year ($)', OJT column: impact 174, p=0.757, control=9,777.</t>
        </is>
      </c>
      <c r="H60" s="2" t="inlineStr">
        <is>
          <t>ITT regression-adjusted impact, controlling for pre-random assignment characteristics (NDNH administrative data).</t>
        </is>
      </c>
      <c r="I60" s="2" t="inlineStr">
        <is>
          <t>First year → short-term. Last year (months 19-30) → medium-term. Same logic as PWE row.</t>
        </is>
      </c>
      <c r="J60" s="2" t="inlineStr">
        <is>
          <t>Short-term SEs not derivable (p=0.000). Medium-term: Employment p=0.294, z=Φ^(-1)(0.853)=1.050, SE=2.3/1.050=2.19. Earnings p=0.757, z=Φ^(-1)(0.6215)=0.309, SE=174/0.309=563.11.</t>
        </is>
      </c>
      <c r="K60" s="2" t="inlineStr">
        <is>
          <t>Table 3.1, p.34: Total net cost (OJT - Control) = $2,046 per program group member (2016$). Includes GAIN costs ($-151 net), TSE costs ($2,725 net), and non-GAIN education costs (-$528 net).</t>
        </is>
      </c>
      <c r="L60" s="2" t="inlineStr">
        <is>
          <t>training_role='secondary' is a judgment call — OJT literally means on-the-job training, but in this context it functions as subsidized employment within a welfare-to-work system. Short-term SEs not derivable. Same shared control group as PWE row. Demographics pooled across arms.</t>
        </is>
      </c>
      <c r="M60" t="inlineStr">
        <is>
          <t>LA County OJT: public welfare agency administering OJT subsidies. Employer retained with bonus but no formal hiring commitment in program design.</t>
        </is>
      </c>
      <c r="N60" t="inlineStr">
        <is>
          <t>LA County OJT: public welfare agency administering OJT subsidies. Employer retained with bonus but no formal hiring commitment in program design.</t>
        </is>
      </c>
      <c r="O60" t="inlineStr">
        <is>
          <t>LA County OJT: public welfare agency administering OJT subsidies. Employer retained with bonus but no formal hiring commitment in program design.</t>
        </is>
      </c>
      <c r="P60" t="inlineStr">
        <is>
          <t>LA County OJT: public welfare agency administering OJT subsidies. Employer retained with bonus but no formal hiring commitment in program design.</t>
        </is>
      </c>
      <c r="Q60" t="inlineStr">
        <is>
          <t>LA County OJT: public welfare agency administering OJT subsidies. Employer retained with bonus but no formal hiring commitment in program design.</t>
        </is>
      </c>
      <c r="R60" t="inlineStr">
        <is>
          <t>LA County OJT: public welfare agency administering OJT subsidies. Employer retained with bonus but no formal hiring commitment in program design.</t>
        </is>
      </c>
      <c r="S60" t="inlineStr">
        <is>
          <t>public: Subsidized and Transitional Employment Demonstration was funded by DOL grants under the American Recovery and Reinvestment Act and subsequent appropriations.</t>
        </is>
      </c>
      <c r="T60" t="inlineStr">
        <is>
          <t>mixed: LA County OJT was administered by LA County DPSS (public) contracting with employers and providers.</t>
        </is>
      </c>
      <c r="U60" t="inlineStr">
        <is>
          <t>LA County OJT: 2 months classroom + 4 months OJT = up to 6 months. Anderson et al. 2019.</t>
        </is>
      </c>
      <c r="BK60" t="inlineStr">
        <is>
          <t>Figure 1.1, report p. 11 (Anderson et al. 2019): 42% of OJT group placed in subsidized employment (n=877). C barred from STED subsidized employment, so C=0.</t>
        </is>
      </c>
      <c r="BL60" t="inlineStr">
        <is>
          <t>Not reported at broad level. Figure 1.2 (report p. 14, Anderson et al. 2019) only shows narrow 'Participated in postsecondary education leading to a degree (%)': OJT=12.6, Control=18.0, impact=-5.4*** — negative impact. At 30 months (Figure 2.1), broader 'Participating in education and training': OJT=17.8, Control=18.6, impact=-0.8 (not sig). Left blank because 12-month measure is too narrow.</t>
        </is>
      </c>
    </row>
    <row r="61" ht="100.8" customHeight="1">
      <c r="A61" s="2" t="inlineStr">
        <is>
          <t>STED</t>
        </is>
      </c>
      <c r="B61" s="2" t="inlineStr">
        <is>
          <t>Chicago (Bridges to Pathways)</t>
        </is>
      </c>
      <c r="C61" s="2" t="inlineStr">
        <is>
          <t>self-report (survey)</t>
        </is>
      </c>
      <c r="D61" s="2" t="inlineStr">
        <is>
          <t>Primary: the program is structured around three phases, with Phase 1 being classroom-based education (GED prep, literacy, numeracy) lasting approximately 6 months. Education/training is the core service, with subsidized internship and job placement as subsequent phases.</t>
        </is>
      </c>
      <c r="E61" s="2" t="inlineStr">
        <is>
          <t>has_classroom=1: Phase 1 is classroom-based education (GED prep, literacy, numeracy, financial education). has_ojt=1: Phase 2 is a subsidized internship with on-the-job work experience. has_jsa=1: Phase 3 includes job placement support. has_multiple_components=1: education + subsidized internship + job placement + mentoring + case management.</t>
        </is>
      </c>
      <c r="F61" s="2" t="inlineStr">
        <is>
          <t>Sample sizes (n_treatment=289, n_control=191): Table 6.2, p.69. Demographics: Table 3.2, p.30. Randomization period: Table 3.2 notes (June 2015 through July 2016). Participation: Table 4.1, p.34 (67.8% ever attended).</t>
        </is>
      </c>
      <c r="G61" s="2" t="inlineStr">
        <is>
          <t>ST employment: Table 6.3, 'Employment' section, row 'Ever employed (%)', columns Program=68.2, Control=50.1, Difference=18.2***, 90% CI [7.7, 28.6], p.71. Survey sample sizes: 137 program, 91 control.</t>
        </is>
      </c>
      <c r="H61" s="2" t="inlineStr">
        <is>
          <t>ITT regression-adjusted impact, controlling for pre-random assignment characteristics (follow-up survey data).</t>
        </is>
      </c>
      <c r="I61" s="2" t="inlineStr">
        <is>
          <t>Survey administered approximately 1 year after random assignment → short-term per CKW classification.</t>
        </is>
      </c>
      <c r="J61" s="2" t="inlineStr">
        <is>
          <t>Converted from 90% CI. Employment SE = (28.6 - 7.7) / (2 × 1.645) = 20.9 / 3.29 = 6.35.</t>
        </is>
      </c>
      <c r="K61" s="2" t="inlineStr">
        <is>
          <t>Not reported in feasibility study.</t>
        </is>
      </c>
      <c r="L61" s="2" t="inlineStr">
        <is>
          <t>MAJOR CAVEAT: 47.5% survey follow-up rate — very high attrition, potential selection bias. 'Ever employed' inflated by subsidized Bridges internships; 'currently employed' (5.8 pp, not significant) is more informative for sustained effects. No earnings data in impact tables. NDNH data in Figure 6.1 only (N=251, not in tabular form). pct_no_hs_diploma=100 by program eligibility (must lack HS credential). Feasibility study — small sample, high attrition, results should be interpreted cautiously.</t>
        </is>
      </c>
      <c r="M61" t="inlineStr">
        <is>
          <t>Bridges to Pathways operated by private CBO (admin=private).</t>
        </is>
      </c>
      <c r="N61" t="inlineStr">
        <is>
          <t>No staffing agency partnerships; partnered with &gt;25 employers for subsidized internships (Wasserman et al. 2019).</t>
        </is>
      </c>
      <c r="O61" t="inlineStr">
        <is>
          <t>Classroom-based education developed by program providers; no employer engagement in curricula (Wasserman et al. 2019).</t>
        </is>
      </c>
      <c r="P61" t="inlineStr">
        <is>
          <t>Three-phase model with Phase 3 including job development/placement (Wasserman et al. 2019).</t>
        </is>
      </c>
      <c r="Q61" t="inlineStr">
        <is>
          <t>No employer role in curriculum design (Wasserman et al. 2019).</t>
        </is>
      </c>
      <c r="R61" t="inlineStr">
        <is>
          <t>No employer hiring commitments; some participants hoped to be hired but no formal arrangements (Wasserman et al. 2019).</t>
        </is>
      </c>
      <c r="S61" t="inlineStr">
        <is>
          <t>public: Subsidized and Transitional Employment Demonstration was funded by DOL grants under the American Recovery and Reinvestment Act and subsequent appropriations.</t>
        </is>
      </c>
      <c r="T61" t="inlineStr">
        <is>
          <t>private: Bridges to Pathways in Chicago was operated by nonprofit CBOs.</t>
        </is>
      </c>
      <c r="U61" t="inlineStr">
        <is>
          <t>Bridges to Pathways (Chicago): 6 months program + 3 months follow-up. Wasserman et al. 2019.</t>
        </is>
      </c>
      <c r="BK61" t="inlineStr">
        <is>
          <t>Table ES.2 / Chapter 4 (Wasserman et al. 2019): 67.8% of program group 'ever attended' Bridges to Pathways (n=289). Table 5.3 (report p. 58) shows 25.6% 'worked in an internship.' Used 67.8% (ever attended) as program_uptake since Bridges is a multi-component program (education + employment + social-emotional learning). C barred from Bridges, so C=0.</t>
        </is>
      </c>
      <c r="BL61" t="inlineStr">
        <is>
          <t>Table 6.1, report p. 65 (Wasserman et al. 2019): row 'Participated in education and training', Program Group=69.2%, Control Group=61.8%, Difference=7.4 (not statistically significant, 90% CI [-3.4, 18.3]). Regression-adjusted. 12-month survey (n=137 T, 91 C). Text (p. 64): '69 percent of program group reported participating in any education and training activities, compared with over 60 percent among control group members. This 7 percentage point increase is not statistically significant.' High C rate reflects access to alternative community services.</t>
        </is>
      </c>
    </row>
    <row r="62" ht="86.40000000000001" customHeight="1">
      <c r="A62" s="2" t="inlineStr">
        <is>
          <t>WorkAdvance</t>
        </is>
      </c>
      <c r="B62" s="2" t="inlineStr">
        <is>
          <t>Per Scholas (Bronx)</t>
        </is>
      </c>
      <c r="C62" s="2" t="inlineStr">
        <is>
          <t>NDNH</t>
        </is>
      </c>
      <c r="D62" s="2" t="inlineStr">
        <is>
          <t>Primary: Per Scholas provides intensive IT skills training (CompTIA A+ certification prep) as the core service. Training averaged 3.6 months. Job placement follows training completion.</t>
        </is>
      </c>
      <c r="E62" s="2" t="inlineStr">
        <is>
          <t>has_classroom=1: formal IT certification training. has_ojt=1: internships with employers. has_jsa=1: sector-focused job development and placement. has_multiple_components=1: screening + training + internship + placement + retention services.</t>
        </is>
      </c>
      <c r="F62" s="2" t="inlineStr">
        <is>
          <t>Sample sizes (349T, 341C): Table 2.1, p.16. Demographics (age, pct_male): Table 1.1, p.5. Provider info: Table ES.1, p.ES-2. Enrollment period: p.2. Cost: p.4.</t>
        </is>
      </c>
      <c r="G62" s="2" t="inlineStr">
        <is>
          <t>LT earnings: Table 2.1, 'Total earnings (2018)', row 'Program group vs. control group', impact=$6,281, p=0.004, p.16. LT employment: Table 2.1, 'Employed (% with NDNH earnings, 2018)', impact=-1.4 pp, p=0.624, p.16. Control means: same table. ST/MT: Hendra et al. 2016, Table 5.2 (pp. 124-125). Year 1 (Quarters 2-5) = ST; Year 2 (Quarters 6-9) = MT. Employment: 'Ever employed (%)' row. Earnings: 'Earnings ($)' row.</t>
        </is>
      </c>
      <c r="H62" s="2" t="inlineStr">
        <is>
          <t>ITT regression-adjusted impact from NDNH administrative data, controlling for baseline characteristics.</t>
        </is>
      </c>
      <c r="I62" s="2" t="inlineStr">
        <is>
          <t>Calendar year 2018 NDNH data for cohort enrolled June 2011-June 2013. Midpoint of enrollment ~Dec 2012, so 2018 ≈ 6 years post-enrollment → long-term per CKW classification (3+ years). ST = Year 1 post-RA (Quarters 2-5, ~1 year) per CKW. MT = Year 2 post-RA (Quarters 6-9, ~2 years) per CKW. LT = calendar year 2018 (~6 years post-RA) from Schaberg &amp; Greenberg 2020.</t>
        </is>
      </c>
      <c r="J62" s="2" t="inlineStr">
        <is>
          <t>SE derived from reported p-values using z = Φ^{-1}(1-p/2). Earnings: z = Φ^{-1}(0.998) = 2.878, SE = 6281/2.878 = 2182. Employment: z = Φ^{-1}(0.688) = 0.490, SE = 1.4/0.490 = 2.86. ST/MT SEs: derived from significance stars in Table 5.2 using SE = |impact| / Phi^-1(1 - p/2). Stars: * → p=0.10, ** → p=0.05, *** → p=0.01. Where no stars reported (n.s.), SE left blank.</t>
        </is>
      </c>
      <c r="K62" s="2" t="inlineStr">
        <is>
          <t>p.4: 'net cost of about $3,750 per program group member' for Per Scholas (2018$). Gross cost $6,400.</t>
        </is>
      </c>
      <c r="L62" s="2" t="inlineStr">
        <is>
          <t>Race/ethnicity not reported in the 5-year report (Table 1.1). Available in earlier Hendra et al. 2016 report. Very long follow-up (6 years) makes this a strong long-term estimate. Earnings impact highly significant ($6,281***) but employment impact slightly negative and not significant.</t>
        </is>
      </c>
      <c r="M62" t="inlineStr">
        <is>
          <t>Peck et al. 2021 dataset (WorkAdvance-Per Scholas): coded as 1</t>
        </is>
      </c>
      <c r="N62" t="inlineStr">
        <is>
          <t>Peck et al. 2021 dataset (WorkAdvance-Per Scholas): coded as 0</t>
        </is>
      </c>
      <c r="O62" t="inlineStr">
        <is>
          <t>Peck et al. 2021 dataset (WorkAdvance-Per Scholas): coded as 1</t>
        </is>
      </c>
      <c r="P62" t="inlineStr">
        <is>
          <t>Peck et al. 2021 dataset (WorkAdvance-Per Scholas): coded as 1</t>
        </is>
      </c>
      <c r="Q62" t="inlineStr">
        <is>
          <t>Peck et al. 2021 dataset (WorkAdvance-Per Scholas): coded as 1</t>
        </is>
      </c>
      <c r="R62" t="inlineStr">
        <is>
          <t>Peck et al. 2021 dataset (WorkAdvance-Per Scholas): coded as 0</t>
        </is>
      </c>
      <c r="S62" t="inlineStr">
        <is>
          <t>mixed: WorkAdvance was funded through the Social Innovation Fund (federal) matched with private philanthropy (Robin Hood Foundation and other foundations). Genuine mixed funding.</t>
        </is>
      </c>
      <c r="T62" t="inlineStr">
        <is>
          <t>private: All four WorkAdvance provider organizations are nonprofits: Per Scholas, St. Nicks Alliance, Madison Strategies Group, and Towards Employment.</t>
        </is>
      </c>
      <c r="U62" t="inlineStr">
        <is>
          <t>Per Scholas (Bronx): 15-week training. 15/4 = 3.75 months. Hendra et al. 2016, Table 2.4.</t>
        </is>
      </c>
      <c r="BK62" t="inlineStr">
        <is>
          <t>Hendra et al. 2016, Table 3.2 (continued), 'WorkAdvance provider' row, Per Scholas columns: WA=68.0%, C=0.0%, regression-adjusted impact=68.3pp***. C barred from WA program; 0.0% contamination.</t>
        </is>
      </c>
      <c r="BL62" t="inlineStr">
        <is>
          <t>Hendra et al. 2016, Table 3.2, 'Participated in education or training' row, Per Scholas columns: WA=84.4%, C=63.0%, impact=21.4pp***. Consistent with Katz et al. 2022 (~21pp).</t>
        </is>
      </c>
    </row>
    <row r="63" ht="86.40000000000001" customHeight="1">
      <c r="A63" s="2" t="inlineStr">
        <is>
          <t>WorkAdvance</t>
        </is>
      </c>
      <c r="B63" s="2" t="inlineStr">
        <is>
          <t>St. Nicks Alliance (Brooklyn)</t>
        </is>
      </c>
      <c r="C63" s="2" t="inlineStr">
        <is>
          <t>NDNH</t>
        </is>
      </c>
      <c r="D63" s="2" t="inlineStr">
        <is>
          <t>Primary: environmental remediation training (asbestos, lead, mold removal certifications) is the core service.</t>
        </is>
      </c>
      <c r="E63" s="2" t="inlineStr">
        <is>
          <t>has_classroom=1: formal certification training in environmental remediation. has_ojt=0: no structured OJT/internship component mentioned. has_jsa=1: sector-focused job development and placement. has_multiple_components=1: screening + training + placement + retention.</t>
        </is>
      </c>
      <c r="F63" s="2" t="inlineStr">
        <is>
          <t>Sample sizes (242T, 237C): Table 2.2, p.20. Demographics: Table 1.1, p.5. Provider info: Table ES.1, p.ES-2.</t>
        </is>
      </c>
      <c r="G63" s="2" t="inlineStr">
        <is>
          <t>LT earnings: Table 2.2, 'Total earnings (2018)', impact=$2,849, p=0.208, p.20. LT employment: Table 2.2, 'Employed (%, 2018)', impact=-2.0, p=0.601, p.20. ST/MT: Hendra et al. 2016, Table 5.2 (pp. 124-125). Year 1 (Quarters 2-5) = ST; Year 2 (Quarters 6-9) = MT. Employment: 'Ever employed (%)' row. Earnings: 'Earnings ($)' row.</t>
        </is>
      </c>
      <c r="H63" s="2" t="inlineStr">
        <is>
          <t>ITT regression-adjusted impact from NDNH administrative data, controlling for baseline characteristics.</t>
        </is>
      </c>
      <c r="I63" s="2" t="inlineStr">
        <is>
          <t>Calendar year 2018 NDNH data, ~6 years post-enrollment → long-term. ST = Year 1 post-RA (Quarters 2-5, ~1 year) per CKW. MT = Year 2 post-RA (Quarters 6-9, ~2 years) per CKW. LT = calendar year 2018 (~6 years post-RA) from Schaberg &amp; Greenberg 2020.</t>
        </is>
      </c>
      <c r="J63" s="2" t="inlineStr">
        <is>
          <t>Earnings: z = Φ^{-1}(0.896) = 1.259, SE = 2849/1.259 = 2263. Employment: z = Φ^{-1}(0.6995) = 0.524, SE = 2.0/0.524 = 3.82. ST/MT SEs: derived from significance stars in Table 5.2 using SE = |impact| / Phi^-1(1 - p/2). Stars: * → p=0.10, ** → p=0.05, *** → p=0.01. Where no stars reported (n.s.), SE left blank.</t>
        </is>
      </c>
      <c r="K63" s="2" t="inlineStr">
        <is>
          <t>p.4: net cost approximately $5,100 per program group member.</t>
        </is>
      </c>
      <c r="L63" s="2" t="inlineStr">
        <is>
          <t>Neither impact is statistically significant. St. Nicks had the smallest sample among the four sites. Race/ethnicity not reported.</t>
        </is>
      </c>
      <c r="M63" t="inlineStr">
        <is>
          <t>Peck et al. 2021 dataset (WorkAdvance-St Nicks Alliance): coded as 1</t>
        </is>
      </c>
      <c r="N63" t="inlineStr">
        <is>
          <t>Peck et al. 2021 dataset (WorkAdvance-St Nicks Alliance): coded as 0</t>
        </is>
      </c>
      <c r="O63" t="inlineStr">
        <is>
          <t>Peck et al. 2021 dataset (WorkAdvance-St Nicks Alliance): coded as 1</t>
        </is>
      </c>
      <c r="P63" t="inlineStr">
        <is>
          <t>Peck et al. 2021 dataset (WorkAdvance-St Nicks Alliance): coded as 1</t>
        </is>
      </c>
      <c r="Q63" t="inlineStr">
        <is>
          <t>Peck et al. 2021 dataset (WorkAdvance-St Nicks Alliance): coded as 1</t>
        </is>
      </c>
      <c r="R63" t="inlineStr">
        <is>
          <t>Peck et al. 2021 dataset (WorkAdvance-St Nicks Alliance): coded as 0</t>
        </is>
      </c>
      <c r="S63" t="inlineStr">
        <is>
          <t>mixed: WorkAdvance was funded through the Social Innovation Fund (federal) matched with private philanthropy (Robin Hood Foundation and other foundations). Genuine mixed funding.</t>
        </is>
      </c>
      <c r="T63" t="inlineStr">
        <is>
          <t>private: All four WorkAdvance provider organizations are nonprofits: Per Scholas, St. Nicks Alliance, Madison Strategies Group, and Towards Employment.</t>
        </is>
      </c>
      <c r="U63" t="inlineStr">
        <is>
          <t>St. Nicks Alliance: 5-12 weeks training. Midpoint ~8.5 weeks ≈ 2 months. Hendra et al. 2016, Table 2.4.</t>
        </is>
      </c>
      <c r="BK63" t="inlineStr">
        <is>
          <t>Hendra et al. 2016, Table 3.2 (continued), 'WorkAdvance provider' row, St. Nicks Alliance columns: WA=54.6%, C=1.7%, regression-adjusted impact=53.0pp***. Small C contamination (1.7%).</t>
        </is>
      </c>
      <c r="BL63" t="inlineStr">
        <is>
          <t>Hendra et al. 2016, Table 3.2, 'Participated in education or training' row, St. Nicks Alliance columns: WA=81.2%, C=60.6%, impact=20.6pp***. Consistent with Katz et al. 2022 (~21pp at SN).</t>
        </is>
      </c>
    </row>
    <row r="64" ht="57.6" customHeight="1">
      <c r="A64" s="2" t="inlineStr">
        <is>
          <t>WorkAdvance</t>
        </is>
      </c>
      <c r="B64" s="2" t="inlineStr">
        <is>
          <t>Madison Strategies Group (Tulsa)</t>
        </is>
      </c>
      <c r="C64" s="2" t="inlineStr">
        <is>
          <t>NDNH</t>
        </is>
      </c>
      <c r="D64" s="2" t="inlineStr">
        <is>
          <t>Primary: sector-focused occupational skills training in transportation/manufacturing is the core service.</t>
        </is>
      </c>
      <c r="E64" s="2" t="inlineStr">
        <is>
          <t>has_classroom=1: formal occupational training. has_ojt=0: no structured OJT mentioned. has_jsa=1: sector-focused placement. has_multiple_components=1: screening + training + placement + retention.</t>
        </is>
      </c>
      <c r="F64" s="2" t="inlineStr">
        <is>
          <t>Sample sizes (353T, 344C): Table 2.3, p.23. Demographics: Table 1.1, p.5.</t>
        </is>
      </c>
      <c r="G64" s="2" t="inlineStr">
        <is>
          <t>LT earnings: Table 2.3, 'Total earnings (2018)', impact=$787, p=0.603, p.23. LT employment: Table 2.3, 'Employed (%, 2018)', impact=-4.4, p=0.168, p.23. ST/MT: Hendra et al. 2016, Table 5.2 (pp. 124-125). Year 1 (Quarters 2-5) = ST; Year 2 (Quarters 6-9) = MT. Employment: 'Ever employed (%)' row. Earnings: 'Earnings ($)' row.</t>
        </is>
      </c>
      <c r="H64" s="2" t="inlineStr">
        <is>
          <t>ITT regression-adjusted impact from NDNH administrative data, controlling for baseline characteristics.</t>
        </is>
      </c>
      <c r="I64" s="2" t="inlineStr">
        <is>
          <t>Calendar year 2018, ~6 years post-enrollment → long-term. ST = Year 1 post-RA (Quarters 2-5, ~1 year) per CKW. MT = Year 2 post-RA (Quarters 6-9, ~2 years) per CKW. LT = calendar year 2018 (~6 years post-RA) from Schaberg &amp; Greenberg 2020.</t>
        </is>
      </c>
      <c r="J64" s="2" t="inlineStr">
        <is>
          <t>Earnings: z = Φ^{-1}(0.6985) = 0.521, SE = 787/0.521 = 1511. Employment: z = Φ^{-1}(0.916) = 1.383, SE = 4.4/1.383 = 3.19. ST/MT SEs: derived from significance stars in Table 5.2 using SE = |impact| / Phi^-1(1 - p/2). Stars: * → p=0.10, ** → p=0.05, *** → p=0.01. Where no stars reported (n.s.), SE left blank.</t>
        </is>
      </c>
      <c r="K64" s="2" t="inlineStr">
        <is>
          <t>p.4: net cost approximately $5,100-$6,300 range; used $6,300 as upper end for Madison.</t>
        </is>
      </c>
      <c r="L64" s="2" t="inlineStr">
        <is>
          <t>Neither impact significant. Tulsa site had weakest results among four WorkAdvance sites. Cost estimate is approximate (range given for three non-Per Scholas sites).</t>
        </is>
      </c>
      <c r="M64" t="inlineStr">
        <is>
          <t>Peck et al. 2021 dataset (WorkAdvance-Madison Strategies Group): coded as 1</t>
        </is>
      </c>
      <c r="N64" t="inlineStr">
        <is>
          <t>Peck et al. 2021 dataset (WorkAdvance-Madison Strategies Group): coded as 0</t>
        </is>
      </c>
      <c r="O64" t="inlineStr">
        <is>
          <t>Peck et al. 2021 dataset (WorkAdvance-Madison Strategies Group): coded as 1</t>
        </is>
      </c>
      <c r="P64" t="inlineStr">
        <is>
          <t>Peck et al. 2021 dataset (WorkAdvance-Madison Strategies Group): coded as 1</t>
        </is>
      </c>
      <c r="Q64" t="inlineStr">
        <is>
          <t>Peck et al. 2021 dataset (WorkAdvance-Madison Strategies Group): coded as 1</t>
        </is>
      </c>
      <c r="R64" t="inlineStr">
        <is>
          <t>Peck et al. 2021 dataset (WorkAdvance-Madison Strategies Group): coded as 0</t>
        </is>
      </c>
      <c r="S64" t="inlineStr">
        <is>
          <t>mixed: WorkAdvance was funded through the Social Innovation Fund (federal) matched with private philanthropy (Robin Hood Foundation and other foundations). Genuine mixed funding.</t>
        </is>
      </c>
      <c r="T64" t="inlineStr">
        <is>
          <t>private: All four WorkAdvance provider organizations are nonprofits: Per Scholas, St. Nicks Alliance, Madison Strategies Group, and Towards Employment.</t>
        </is>
      </c>
      <c r="U64" t="inlineStr">
        <is>
          <t>Madison Strategies (Tulsa): 4-32 weeks. Wide range; midpoint ~18 weeks ≈ 4.5 months. Hendra et al. 2016, Table 2.4. Duration highly variable.</t>
        </is>
      </c>
      <c r="BK64" t="inlineStr">
        <is>
          <t>Hendra et al. 2016, Table 3.2 (continued), 'WorkAdvance provider' row, Madison Strategies columns: WA=49.9%, C=0.1%, regression-adjusted impact=49.9pp***. Negligible C contamination.</t>
        </is>
      </c>
      <c r="BL64" t="inlineStr">
        <is>
          <t>Hendra et al. 2016, Table 3.2, 'Participated in education or training' row, Madison Strategies columns: WA=76.1%, C=49.5%, impact=26.6pp***. Consistent with Katz et al. 2022 (~27pp at MSG).</t>
        </is>
      </c>
    </row>
    <row r="65" ht="57.6" customHeight="1">
      <c r="A65" s="2" t="inlineStr">
        <is>
          <t>WorkAdvance</t>
        </is>
      </c>
      <c r="B65" s="2" t="inlineStr">
        <is>
          <t>Towards Employment (NE Ohio)</t>
        </is>
      </c>
      <c r="C65" s="2" t="inlineStr">
        <is>
          <t>NDNH</t>
        </is>
      </c>
      <c r="D65" s="2" t="inlineStr">
        <is>
          <t>Primary: sector-focused occupational skills training in health care/manufacturing is the core service.</t>
        </is>
      </c>
      <c r="E65" s="2" t="inlineStr">
        <is>
          <t>has_classroom=1: formal occupational training. has_ojt=0: no structured OJT mentioned. has_jsa=1: sector-focused placement. has_multiple_components=1: screening + training + placement + retention.</t>
        </is>
      </c>
      <c r="F65" s="2" t="inlineStr">
        <is>
          <t>Sample sizes (349T, 349C): Table 2.4, p.27. Demographics: Table 1.1, p.5.</t>
        </is>
      </c>
      <c r="G65" s="2" t="inlineStr">
        <is>
          <t>LT earnings: Table 2.4, 'Total earnings (2018)', impact=$1,404, p=0.275, p.27. LT employment: Table 2.4, 'Employed (%, 2018)', impact=0.4, p=0.894, p.27. ST/MT: Hendra et al. 2016, Table 5.2 (pp. 124-125). Year 1 (Quarters 2-5) = ST; Year 2 (Quarters 6-9) = MT. Employment: 'Ever employed (%)' row. Earnings: 'Earnings ($)' row.</t>
        </is>
      </c>
      <c r="H65" s="2" t="inlineStr">
        <is>
          <t>ITT regression-adjusted impact from NDNH administrative data, controlling for baseline characteristics.</t>
        </is>
      </c>
      <c r="I65" s="2" t="inlineStr">
        <is>
          <t>Calendar year 2018, ~6 years post-enrollment → long-term. ST = Year 1 post-RA (Quarters 2-5, ~1 year) per CKW. MT = Year 2 post-RA (Quarters 6-9, ~2 years) per CKW. LT = calendar year 2018 (~6 years post-RA) from Schaberg &amp; Greenberg 2020.</t>
        </is>
      </c>
      <c r="J65" s="2" t="inlineStr">
        <is>
          <t>Earnings: z = Φ^{-1}(0.8625) = 1.089, SE = 1404/1.089 = 1289. Employment: z = Φ^{-1}(0.553) = 0.133, SE = 0.4/0.133 = 3.01. ST/MT SEs: derived from significance stars in Table 5.2 using SE = |impact| / Phi^-1(1 - p/2). Stars: * → p=0.10, ** → p=0.05, *** → p=0.01. Where no stars reported (n.s.), SE left blank.</t>
        </is>
      </c>
      <c r="K65" s="2" t="inlineStr">
        <is>
          <t>p.4: net cost approximately $5,100-$6,300 range; used $5,100 as lower end for Towards Employment.</t>
        </is>
      </c>
      <c r="L65" s="2" t="inlineStr">
        <is>
          <t>Neither impact significant. Only site with majority female (59%). Cost is approximate (range given for non-Per Scholas sites).</t>
        </is>
      </c>
      <c r="M65" t="inlineStr">
        <is>
          <t>Peck et al. 2021 dataset (WorkAdvance-Towards Employment): coded as 1</t>
        </is>
      </c>
      <c r="N65" t="inlineStr">
        <is>
          <t>Peck et al. 2021 dataset (WorkAdvance-Towards Employment): coded as 0</t>
        </is>
      </c>
      <c r="O65" t="inlineStr">
        <is>
          <t>Peck et al. 2021 dataset (WorkAdvance-Towards Employment): coded as 1</t>
        </is>
      </c>
      <c r="P65" t="inlineStr">
        <is>
          <t>Peck et al. 2021 dataset (WorkAdvance-Towards Employment): coded as 1</t>
        </is>
      </c>
      <c r="Q65" t="inlineStr">
        <is>
          <t>Peck et al. 2021 dataset (WorkAdvance-Towards Employment): coded as 1</t>
        </is>
      </c>
      <c r="R65" t="inlineStr">
        <is>
          <t>Peck et al. 2021 dataset (WorkAdvance-Towards Employment): coded as 0</t>
        </is>
      </c>
      <c r="S65" t="inlineStr">
        <is>
          <t>mixed: WorkAdvance was funded through the Social Innovation Fund (federal) matched with private philanthropy (Robin Hood Foundation and other foundations). Genuine mixed funding.</t>
        </is>
      </c>
      <c r="T65" t="inlineStr">
        <is>
          <t>private: All four WorkAdvance provider organizations are nonprofits: Per Scholas, St. Nicks Alliance, Madison Strategies Group, and Towards Employment.</t>
        </is>
      </c>
      <c r="U65" t="inlineStr">
        <is>
          <t>Towards Employment (NE Ohio): 2-17 weeks. Midpoint ~9.5 weeks ≈ 2.4 months. Hendra et al. 2016, Table 2.4. Duration highly variable.</t>
        </is>
      </c>
      <c r="BK65" t="inlineStr">
        <is>
          <t>Hendra et al. 2016, Table 3.2 (continued), 'WorkAdvance provider' row, Towards Employment columns: WA=54.8%, C=1.6%, regression-adjusted impact=53.2pp***. Small C contamination (1.6%).</t>
        </is>
      </c>
      <c r="BL65" t="inlineStr">
        <is>
          <t>Hendra et al. 2016, Table 3.2, 'Participated in education or training' row, Towards Employment columns: WA=80.1%, C=54.5%, impact=25.6pp***. Consistent with Katz et al. 2022.</t>
        </is>
      </c>
    </row>
    <row r="66" ht="115.2" customHeight="1">
      <c r="A66" s="2" t="inlineStr">
        <is>
          <t>Sectoral Employment Impact Study</t>
        </is>
      </c>
      <c r="B66" s="2" t="inlineStr">
        <is>
          <t>WRTP (Milwaukee)</t>
        </is>
      </c>
      <c r="C66" s="2" t="inlineStr">
        <is>
          <t>self-report (survey)</t>
        </is>
      </c>
      <c r="D66" s="2" t="inlineStr">
        <is>
          <t>Primary: WRTP's core service is sector-specific occupational training (healthcare, construction, manufacturing). Training is short-term (avg 1.6 months) but is the central program component.</t>
        </is>
      </c>
      <c r="E66" s="2" t="inlineStr">
        <is>
          <t>has_classroom=1: formal sector-specific training through external providers. has_ojt=0: no structured OJT. has_jsa=1: job placement through employer/union networks. has_multiple_components=1: training + placement + support services + certification prep.</t>
        </is>
      </c>
      <c r="F66" s="2" t="inlineStr">
        <is>
          <t>Sample sizes: Table 5, p.19 (N=341 follow-up; 168C, 173T). Response rate 87%: Table 5. Demographics: Table 5 (race, age, education, gender). Training cohort: Table 2, p.10 (393 recruited, 73% completion, 1.6 months avg training).</t>
        </is>
      </c>
      <c r="G66" s="2" t="inlineStr">
        <is>
          <t>MT earnings (M13-24): Table 6, row 'Total Earnings, Months 13-24', Treatment Impact=$3,735***, Control Group Mean=$13,614, p.21. MT employment (M13-24): Table 6, row 'Ever Employed, Months 13-24', Treatment Impact=2% (not significant), Control Group Mean=88%, p.21.</t>
        </is>
      </c>
      <c r="H66" s="2" t="inlineStr">
        <is>
          <t>ITT regression-adjusted impact from follow-up survey data. Table note b: 'For each model, we produced an estimated value for the outcome of interest. Treatment group mean values represent the average of the estimated value... Control group means represent the program participant average minus the regression coefficient of the treatment variable.'</t>
        </is>
      </c>
      <c r="I66" s="2" t="inlineStr">
        <is>
          <t>Months 13-24 is the second year of the study → medium-term per CKW classification (1-2 years). The study's 24-month total spans both short and medium-term; M13-24 is the cleaner Year 2 measure.</t>
        </is>
      </c>
      <c r="J66" s="2" t="inlineStr">
        <is>
          <t>SEs not reported. Only significance stars provided (* p&lt;0.10, ** p&lt;0.05, *** p&lt;0.01).</t>
        </is>
      </c>
      <c r="K66" s="2" t="inlineStr">
        <is>
          <t>Not reported in this publication.</t>
        </is>
      </c>
      <c r="L66" s="2" t="inlineStr">
        <is>
          <t>SEs not reported — cannot compute t-statistics. Employment impact (2 pp) not significant despite large earnings impact ($3,735***), suggesting gains came from higher wages rather than more employment. Construction sector drove most earnings gains ($9,475** 24M, Table 9); manufacturing showed no effect. 41% of control group received other training.</t>
        </is>
      </c>
      <c r="M66" t="inlineStr">
        <is>
          <t>Peck et al. 2021 dataset (SEIS-WRTP): coded as 1</t>
        </is>
      </c>
      <c r="N66" t="inlineStr">
        <is>
          <t>Peck et al. 2021 dataset (SEIS-WRTP): coded as 0</t>
        </is>
      </c>
      <c r="O66" t="inlineStr">
        <is>
          <t>Peck et al. 2021 dataset (SEIS-WRTP): coded as 1</t>
        </is>
      </c>
      <c r="P66" t="inlineStr">
        <is>
          <t>Peck et al. 2021 dataset (SEIS-WRTP): coded as 1</t>
        </is>
      </c>
      <c r="Q66" t="inlineStr">
        <is>
          <t>Peck et al. 2021 dataset (SEIS-WRTP): coded as 1</t>
        </is>
      </c>
      <c r="R66" t="inlineStr">
        <is>
          <t>Peck et al. 2021 dataset (SEIS-WRTP): coded as 1</t>
        </is>
      </c>
      <c r="S66" t="inlineStr">
        <is>
          <t>mixed: The Sectoral Employment Impact Study was supported by a combination of government grants and foundation funding, coordinated by Public/Private Ventures (P/PV).</t>
        </is>
      </c>
      <c r="T66" t="inlineStr">
        <is>
          <t>private: All three SEIS provider organizations are nonprofits/CBOs: Wisconsin Regional Training Partnership, Jewish Vocational Service (Boston), and Per Scholas.</t>
        </is>
      </c>
      <c r="U66" t="inlineStr">
        <is>
          <t>WRTP (Milwaukee): completers avg 1.6 months. Maguire et al. 2010.</t>
        </is>
      </c>
      <c r="BK66" t="inlineStr">
        <is>
          <t>Maguire et al. 2010, Table 2 'Training Cohorts, by Site': WRTP completion rate = 73% (T group). C group barred from program for 24 months (p.10). 26% of 47 early leavers 'never attended.' Completion rate used as program_uptake since C=0.</t>
        </is>
      </c>
      <c r="BL66" t="inlineStr">
        <is>
          <t>Not reported. Maguire et al. 2010 p.10 states 41% of C group pooled received other training, but no site-level T vs C comparison of any-source training participation. Study design 'did not include the collection of detailed information on program intensity' (p.6).</t>
        </is>
      </c>
    </row>
    <row r="67" ht="86.40000000000001" customHeight="1">
      <c r="A67" s="2" t="inlineStr">
        <is>
          <t>Sectoral Employment Impact Study</t>
        </is>
      </c>
      <c r="B67" s="2" t="inlineStr">
        <is>
          <t>JVS-Boston</t>
        </is>
      </c>
      <c r="C67" s="2" t="inlineStr">
        <is>
          <t>self-report (survey)</t>
        </is>
      </c>
      <c r="D67" s="2" t="inlineStr">
        <is>
          <t>Primary: JVS-Boston's core service is intensive occupational skills training (medical assistant, computerized accounting, medical office) lasting 5.2 months on average.</t>
        </is>
      </c>
      <c r="E67" s="2" t="inlineStr">
        <is>
          <t>has_classroom=1: formal occupational skills training programs (20-22 weeks). has_ojt=0: no structured OJT. has_jsa=1: job placement through employer networks and advisory boards. has_multiple_components=1: training + case management + placement + post-graduation retention support.</t>
        </is>
      </c>
      <c r="F67" s="2" t="inlineStr">
        <is>
          <t>Sample sizes: Table 12, p.30 (N=328 follow-up; 147C, 181T). Response rate 73% (80% T, 66% C): Table 12. Demographics: Table 12 (race, age, education, gender). Training cohort: Table 2, p.10.</t>
        </is>
      </c>
      <c r="G67" s="2" t="inlineStr">
        <is>
          <t>MT earnings (M13-24): Table 13, row 'Total Earnings, Months 13-24', Treatment Impact=$4,237***, Control Group Mean=$12,098, p.33. MT employment (M13-24): Table 13, row 'Ever Employed, Months 13-24', Treatment Impact=10%**, Control Group Mean=72%, p.33.</t>
        </is>
      </c>
      <c r="H67" s="2" t="inlineStr">
        <is>
          <t>ITT regression-adjusted impact from follow-up survey data.</t>
        </is>
      </c>
      <c r="I67" s="2" t="inlineStr">
        <is>
          <t>Months 13-24 is Year 2 → medium-term per CKW classification.</t>
        </is>
      </c>
      <c r="J67" s="2" t="inlineStr">
        <is>
          <t>SEs not reported. Only significance stars provided.</t>
        </is>
      </c>
      <c r="K67" s="2" t="inlineStr">
        <is>
          <t>Not reported in this publication.</t>
        </is>
      </c>
      <c r="L67" s="2" t="inlineStr">
        <is>
          <t>Differential survey response rates (80% T vs. 66% C) — potential attrition bias. Most disadvantaged site (lowest baseline earnings $7,075, lowest employment rate 23%). SEs not available. JVS is unique in having both significant earnings AND employment impacts, suggesting gains came from both more work and higher wages.</t>
        </is>
      </c>
      <c r="M67" t="inlineStr">
        <is>
          <t>Peck et al. 2021 dataset (SEIS-JVS Boston): coded as 1</t>
        </is>
      </c>
      <c r="N67" t="inlineStr">
        <is>
          <t>Peck et al. 2021 dataset (SEIS-JVS Boston): coded as 0</t>
        </is>
      </c>
      <c r="O67" t="inlineStr">
        <is>
          <t>Peck et al. 2021 dataset (SEIS-JVS Boston): coded as 1</t>
        </is>
      </c>
      <c r="P67" t="inlineStr">
        <is>
          <t>Peck et al. 2021 dataset (SEIS-JVS Boston): coded as 0</t>
        </is>
      </c>
      <c r="Q67" t="inlineStr">
        <is>
          <t>Peck et al. 2021 dataset (SEIS-JVS Boston): coded as 1</t>
        </is>
      </c>
      <c r="R67" t="inlineStr">
        <is>
          <t>Peck et al. 2021 dataset (SEIS-JVS Boston): coded as 0</t>
        </is>
      </c>
      <c r="S67" t="inlineStr">
        <is>
          <t>mixed: The Sectoral Employment Impact Study was supported by a combination of government grants and foundation funding, coordinated by Public/Private Ventures (P/PV).</t>
        </is>
      </c>
      <c r="T67" t="inlineStr">
        <is>
          <t>private: All three SEIS provider organizations are nonprofits/CBOs: Wisconsin Regional Training Partnership, Jewish Vocational Service (Boston), and Per Scholas.</t>
        </is>
      </c>
      <c r="U67" t="inlineStr">
        <is>
          <t>JVS-Boston: completers avg 5.2 months. Maguire et al. 2010.</t>
        </is>
      </c>
      <c r="BK67" t="inlineStr">
        <is>
          <t>Maguire et al. 2010, Table 2 'Training Cohorts, by Site': JVS-Boston completion rate = 74% (T group). C group barred from program for 24 months (p.10). 34% of 47 early leavers 'never attended.'</t>
        </is>
      </c>
      <c r="BL67" t="inlineStr">
        <is>
          <t>Not reported. See WRTP note. No site-level T vs C training participation comparison available.</t>
        </is>
      </c>
    </row>
    <row r="68" ht="86.40000000000001" customHeight="1">
      <c r="A68" s="2" t="inlineStr">
        <is>
          <t>Sectoral Employment Impact Study</t>
        </is>
      </c>
      <c r="B68" s="2" t="inlineStr">
        <is>
          <t>Per Scholas (Bronx, IT) [SEIS]</t>
        </is>
      </c>
      <c r="C68" s="2" t="inlineStr">
        <is>
          <t>self-report (survey)</t>
        </is>
      </c>
      <c r="D68" s="2" t="inlineStr">
        <is>
          <t>Primary: Per Scholas's core service is computer technician training (A+ certification prep) lasting 3.6 months.</t>
        </is>
      </c>
      <c r="E68" s="2" t="inlineStr">
        <is>
          <t>has_classroom=1: formal IT certification training. has_ojt=1: internship placements with employers. has_jsa=1: IT sector job placement. has_multiple_components=1: training + internship + certification + placement.</t>
        </is>
      </c>
      <c r="F68" s="2" t="inlineStr">
        <is>
          <t>Sample sizes: Table 16, p.39 (N=345 follow-up; 170C, 175T). Response rate 78%: Table 16. Demographics: Table 16 (race, age, education, gender).</t>
        </is>
      </c>
      <c r="G68" s="2" t="inlineStr">
        <is>
          <t>MT earnings (M13-24): Table 17, row 'Total Earnings, Months 13-24', Treatment Impact=$4,663***, Control Group Mean=$14,680, p.42. MT employment (M13-24): Table 17, row 'Ever Employed, Months 13-24', Treatment Impact=9%*, Control Group Mean=73%, p.42.</t>
        </is>
      </c>
      <c r="H68" s="2" t="inlineStr">
        <is>
          <t>ITT regression-adjusted impact from follow-up survey data.</t>
        </is>
      </c>
      <c r="I68" s="2" t="inlineStr">
        <is>
          <t>Months 13-24 is Year 2 → medium-term per CKW classification.</t>
        </is>
      </c>
      <c r="J68" s="2" t="inlineStr">
        <is>
          <t>SEs not reported. Only significance stars provided.</t>
        </is>
      </c>
      <c r="K68" s="2" t="inlineStr">
        <is>
          <t>Not reported in this publication.</t>
        </is>
      </c>
      <c r="L68" s="2" t="inlineStr">
        <is>
          <t>Same organization as WorkAdvance Per Scholas but different cohort (~8 years earlier). 24-month cumulative earnings impact ($3,827) not significant despite M13-24 being highly significant ($4,663***) — Year 1 training dip offsets Year 2 gains. pct_no_hs_diploma coded as 0 because Per Scholas required GED/HS diploma (Table 16 note b: 'Individuals without a high school diploma or GED were not eligible').</t>
        </is>
      </c>
      <c r="M68" t="inlineStr">
        <is>
          <t>Peck et al. 2021 dataset (SEIS-Per Scholas): coded as 1</t>
        </is>
      </c>
      <c r="N68" t="inlineStr">
        <is>
          <t>Peck et al. 2021 dataset (SEIS-Per Scholas): coded as 1</t>
        </is>
      </c>
      <c r="O68" t="inlineStr">
        <is>
          <t>Peck et al. 2021 dataset (SEIS-Per Scholas): coded as 1</t>
        </is>
      </c>
      <c r="P68" t="inlineStr">
        <is>
          <t>Peck et al. 2021 dataset (SEIS-Per Scholas): coded as 1</t>
        </is>
      </c>
      <c r="Q68" t="inlineStr">
        <is>
          <t>Peck et al. 2021 dataset (SEIS-Per Scholas): coded as 1</t>
        </is>
      </c>
      <c r="R68" t="inlineStr">
        <is>
          <t>Peck et al. 2021 dataset (SEIS-Per Scholas): coded as 0</t>
        </is>
      </c>
      <c r="S68" t="inlineStr">
        <is>
          <t>mixed: The Sectoral Employment Impact Study was supported by a combination of government grants and foundation funding, coordinated by Public/Private Ventures (P/PV).</t>
        </is>
      </c>
      <c r="T68" t="inlineStr">
        <is>
          <t>private: All three SEIS provider organizations are nonprofits/CBOs: Wisconsin Regional Training Partnership, Jewish Vocational Service (Boston), and Per Scholas.</t>
        </is>
      </c>
      <c r="U68" t="inlineStr">
        <is>
          <t>Per Scholas (SEIS): completers avg 3.6 months. Maguire et al. 2010.</t>
        </is>
      </c>
      <c r="BK68" t="inlineStr">
        <is>
          <t>Maguire et al. 2010, Table 2 'Training Cohorts, by Site': Per Scholas completion rate = 78% (T group). C group barred from program for 24 months (p.10). 21% of 38 early leavers 'never attended.'</t>
        </is>
      </c>
      <c r="BL68" t="inlineStr">
        <is>
          <t>Not reported. See WRTP note. No site-level T vs C training participation comparison available.</t>
        </is>
      </c>
    </row>
    <row r="69" ht="72" customHeight="1">
      <c r="A69" s="2" t="inlineStr">
        <is>
          <t>Green Jobs and Health Care</t>
        </is>
      </c>
      <c r="B69" s="2" t="inlineStr">
        <is>
          <t>AIOIC (Minneapolis)</t>
        </is>
      </c>
      <c r="C69" s="2" t="inlineStr">
        <is>
          <t>NDNH</t>
        </is>
      </c>
      <c r="D69" s="2" t="inlineStr">
        <is>
          <t>Primary: health care occupational training (CNA, phlebotomy, medical office) is the core service.</t>
        </is>
      </c>
      <c r="E69" s="2" t="inlineStr">
        <is>
          <t>has_classroom=1: formal health care certification training. has_ojt=0: no structured OJT mentioned. has_jsa=1: job readiness and placement services. has_multiple_components=1: training + job readiness + support services + placement.</t>
        </is>
      </c>
      <c r="F69" s="2" t="inlineStr">
        <is>
          <t>Sample sizes (271T, 271C): Exhibit 3.3, p.31. Demographics: Exhibit 3.3. Analysis sample (268T, 270C): Exhibit 3.9, p.39.</t>
        </is>
      </c>
      <c r="G69" s="2" t="inlineStr">
        <is>
          <t>MT earnings (Q5+Q6): Exhibit 3.9, row 'Average total earnings in Q5 and Q6 combined (confirmatory)', Treatment=$7,602, Control=$7,682, Impact=-$79, p.39. MT employment: Exhibit 3.9, row 'Ever employed in Q5 or Q6', Treatment=79.9%, Control=82.5%, Impact=-2.6 pp, p.39.</t>
        </is>
      </c>
      <c r="H69" s="2" t="inlineStr">
        <is>
          <t>ITT regression-adjusted impact from NDNH administrative data.</t>
        </is>
      </c>
      <c r="I69" s="2" t="inlineStr">
        <is>
          <t>Q5+Q6 = months 13-18 post-random assignment → 1.25-1.5 years → medium-term per CKW classification.</t>
        </is>
      </c>
      <c r="J69" s="2" t="inlineStr">
        <is>
          <t>SEs not reported in exhibits.</t>
        </is>
      </c>
      <c r="K69" s="2" t="inlineStr">
        <is>
          <t>Not reported for individual grantees in this publication.</t>
        </is>
      </c>
      <c r="L69" s="2" t="inlineStr">
        <is>
          <t>No significant impacts at any horizon. Q1 training dip (-$400*) suggests training displaced early employment. AIOIC had the weakest results among the four grantees.</t>
        </is>
      </c>
      <c r="M69" t="inlineStr">
        <is>
          <t>Peck et al. 2021 dataset (Green Jobs-AIOIC): coded as 1</t>
        </is>
      </c>
      <c r="N69" t="inlineStr">
        <is>
          <t>Peck et al. 2021 dataset (Green Jobs-AIOIC): coded as 0</t>
        </is>
      </c>
      <c r="O69" t="inlineStr">
        <is>
          <t>Peck et al. 2021 dataset (Green Jobs-AIOIC): coded as 0</t>
        </is>
      </c>
      <c r="P69" t="inlineStr">
        <is>
          <t>Peck et al. 2021 dataset (Green Jobs-AIOIC): coded as 1</t>
        </is>
      </c>
      <c r="Q69" t="inlineStr">
        <is>
          <t>Peck et al. 2021 dataset (Green Jobs-AIOIC): coded as 1</t>
        </is>
      </c>
      <c r="R69" t="inlineStr">
        <is>
          <t>Peck et al. 2021 dataset (Green Jobs-AIOIC): coded as 0</t>
        </is>
      </c>
      <c r="S69" t="inlineStr">
        <is>
          <t>public: Green Jobs and Health Care Impact Evaluation programs were funded by DOL Pathways Out of Poverty grants.</t>
        </is>
      </c>
      <c r="T69" t="inlineStr">
        <is>
          <t>private: AIOIC (American Indian OIC) in Minneapolis is a nonprofit CBO.</t>
        </is>
      </c>
      <c r="U69" t="inlineStr">
        <is>
          <t>AIOIC (Minneapolis): avg length of stay 2.5 months. Copson et al. 2016.</t>
        </is>
      </c>
      <c r="BK69" t="inlineStr">
        <is>
          <t>Martinson et al. 2016, Exhibit 3.4 (report p.33, PDF p.55): 'Participated in vocational training' T=63.5, C=37.9, Impact=25.6***
program_uptake = vocational training impact from Exhibit 3.4. AIOIC's evaluated program was vocational green jobs training; the 'vocational training' row captures participation in the specific type of training the grantee offered. Controls were not barred from attending AIOIC or other training, so C=37.9% reflects substantial crossover. Impact=T(63.5)-C(37.9)=25.6pp.</t>
        </is>
      </c>
      <c r="BL69" t="inlineStr">
        <is>
          <t>Martinson et al. 2016, Exhibit 3.4 (report p.33, PDF p.55): 'Participated in any education or training' T=92.8, C=66.6, Impact=26.2***
any_training = 'any education or training' from Exhibit 3.4. T=92.8%, C=66.6%, impact=26.2pp***. This includes vocational training, ABE/GED, college courses, and life skills classes from any source.</t>
        </is>
      </c>
    </row>
    <row r="70" ht="43.2" customHeight="1">
      <c r="A70" s="2" t="inlineStr">
        <is>
          <t>Green Jobs and Health Care</t>
        </is>
      </c>
      <c r="B70" s="2" t="inlineStr">
        <is>
          <t>GRCC (Grand Rapids)</t>
        </is>
      </c>
      <c r="C70" s="2" t="inlineStr">
        <is>
          <t>NDNH</t>
        </is>
      </c>
      <c r="D70" s="2" t="inlineStr">
        <is>
          <t>Primary: green jobs/energy-sector occupational training is the core service.</t>
        </is>
      </c>
      <c r="E70" s="2" t="inlineStr">
        <is>
          <t>has_classroom=1: formal green jobs/energy training. has_ojt=0: no structured OJT. has_jsa=1: job placement. has_multiple_components=1: training + support + placement.</t>
        </is>
      </c>
      <c r="F70" s="2" t="inlineStr">
        <is>
          <t>Sample sizes (183T, 91C): from baseline exhibit. Demographics: Exhibit 4.3.</t>
        </is>
      </c>
      <c r="G70" s="2" t="inlineStr">
        <is>
          <t>MT earnings (Q5+Q6): Exhibit 4.9, confirmatory outcome, impact=$576, control=$5,868. MT employment (Q5/Q6): Exhibit 4.9, impact=6.4 pp. Exhibit 4.14 (p.63), survey-based: Employed (%) at 18-month follow-up survey. Control = 64.4%. No NDNH wage record data available for GRCC.</t>
        </is>
      </c>
      <c r="H70" s="2" t="inlineStr">
        <is>
          <t>ITT regression-adjusted impact from NDNH administrative data.</t>
        </is>
      </c>
      <c r="I70" s="2" t="inlineStr">
        <is>
          <t>Q5+Q6 = months 13-18 → medium-term.</t>
        </is>
      </c>
      <c r="J70" s="2" t="inlineStr">
        <is>
          <t>SEs not reported in exhibits.</t>
        </is>
      </c>
      <c r="K70" s="2" t="inlineStr">
        <is>
          <t>Not reported for individual grantees.</t>
        </is>
      </c>
      <c r="L70" s="2" t="inlineStr">
        <is>
          <t>Small sample (N=274) with 2:1 randomization. Neither impact significant. GRCC had lowest control group earnings ($5,868) among the four sites.</t>
        </is>
      </c>
      <c r="M70" t="inlineStr">
        <is>
          <t>Peck et al. 2021 dataset (Green Jobs-GRCC (Pathways to Prosperity in Peck)): coded as 0</t>
        </is>
      </c>
      <c r="N70" t="inlineStr">
        <is>
          <t>Peck et al. 2021 dataset (Green Jobs-GRCC (Pathways to Prosperity in Peck)): coded as 1</t>
        </is>
      </c>
      <c r="O70" t="inlineStr">
        <is>
          <t>Peck et al. 2021 dataset (Green Jobs-GRCC (Pathways to Prosperity in Peck)): coded as 1</t>
        </is>
      </c>
      <c r="P70" t="inlineStr">
        <is>
          <t>Peck et al. 2021 dataset (Green Jobs-GRCC (Pathways to Prosperity in Peck)): coded as 1</t>
        </is>
      </c>
      <c r="Q70" t="inlineStr">
        <is>
          <t>Peck et al. 2021 dataset (Green Jobs-GRCC (Pathways to Prosperity in Peck)): coded as 1</t>
        </is>
      </c>
      <c r="R70" t="inlineStr">
        <is>
          <t>Peck et al. 2021 dataset (Green Jobs-GRCC (Pathways to Prosperity in Peck)): coded as 1</t>
        </is>
      </c>
      <c r="S70" t="inlineStr">
        <is>
          <t>public: Green Jobs and Health Care Impact Evaluation programs were funded by DOL Pathways Out of Poverty grants.</t>
        </is>
      </c>
      <c r="T70" t="inlineStr">
        <is>
          <t>public: Grand Rapids Community College is a public community college.</t>
        </is>
      </c>
      <c r="U70" t="inlineStr">
        <is>
          <t>GRCC (Grand Rapids): avg length of stay 3.3 months. Copson et al. 2016.</t>
        </is>
      </c>
      <c r="BK70" t="inlineStr">
        <is>
          <t>Martinson et al. 2016, Exhibit 4.4 (report p.54, PDF p.76): 'Participated in vocational training' T=49.0, C=15.9, Impact=33.1***
program_uptake = vocational training impact from Exhibit 4.4. GRCC's evaluated program was green jobs vocational training (weatherization, HVAC, green construction). Controls were not barred from attending GRCC. C=15.9% shows limited crossover. Impact=T(49.0)-C(15.9)=33.1pp.</t>
        </is>
      </c>
      <c r="BL70" t="inlineStr">
        <is>
          <t>Martinson et al. 2016, Exhibit 4.4 (report p.54, PDF p.76): 'Participated in any education or training' T=89.8, C=38.9, Impact=50.9***
any_training = 'any education or training' from Exhibit 4.4. T=89.8%, C=38.9%, impact=50.9pp***. Includes vocational training, ABE/GED, college courses for credit, and life skills classes from any source.</t>
        </is>
      </c>
    </row>
    <row r="71" ht="57.6" customHeight="1">
      <c r="A71" s="2" t="inlineStr">
        <is>
          <t>Green Jobs and Health Care</t>
        </is>
      </c>
      <c r="B71" s="2" t="inlineStr">
        <is>
          <t>KCCD (Bakersfield)</t>
        </is>
      </c>
      <c r="C71" s="2" t="inlineStr">
        <is>
          <t>NDNH</t>
        </is>
      </c>
      <c r="D71" s="2" t="inlineStr">
        <is>
          <t>Primary: green jobs occupational training (solar, energy efficiency, HVAC) is the core service.</t>
        </is>
      </c>
      <c r="E71" s="2" t="inlineStr">
        <is>
          <t>has_classroom=1: formal green jobs/energy training and certification prep. has_ojt=0: no structured OJT. has_jsa=1: job placement. has_multiple_components=1: training + certification + support + placement.</t>
        </is>
      </c>
      <c r="F71" s="2" t="inlineStr">
        <is>
          <t>Sample sizes (407T, 409C): from baseline exhibit. Demographics: Exhibit 5.3.</t>
        </is>
      </c>
      <c r="G71" s="2" t="inlineStr">
        <is>
          <t>MT earnings (Q5+Q6): Exhibit 5.9, confirmatory outcome, impact=$1,520##, control=$7,709. MT employment (Q5/Q6): Exhibit 5.9, impact=4.7 pp (not significant). Exhibit 5.15 (p.88), survey-based: Employed (%) at 18-month follow-up survey. Control = 61.7%. No NDNH wage record data available for KCCD.</t>
        </is>
      </c>
      <c r="H71" s="2" t="inlineStr">
        <is>
          <t>ITT regression-adjusted impact from NDNH administrative data.</t>
        </is>
      </c>
      <c r="I71" s="2" t="inlineStr">
        <is>
          <t>Q5+Q6 = months 13-18 → medium-term.</t>
        </is>
      </c>
      <c r="J71" s="2" t="inlineStr">
        <is>
          <t>SEs not reported. ## denotes significance at p&lt;0.05 after multiple comparison adjustment.</t>
        </is>
      </c>
      <c r="K71" s="2" t="inlineStr">
        <is>
          <t>Not reported for individual grantees.</t>
        </is>
      </c>
      <c r="L71" s="2" t="inlineStr">
        <is>
          <t>KCCD is the ONLY grantee with a significant confirmatory earnings impact. ## notation means significant after Benjamini-Hochberg multiple comparison adjustment at p&lt;0.05. Stars column records '**' as equivalent significance level. Mostly male sample (~90%).</t>
        </is>
      </c>
      <c r="M71" t="inlineStr">
        <is>
          <t>Peck et al. 2021 dataset (Green Jobs-KCCD (Clean Energy Center in Peck)): coded as 0</t>
        </is>
      </c>
      <c r="N71" t="inlineStr">
        <is>
          <t>Peck et al. 2021 dataset (Green Jobs-KCCD (Clean Energy Center in Peck)): coded as 0</t>
        </is>
      </c>
      <c r="O71" t="inlineStr">
        <is>
          <t>Peck et al. 2021 dataset (Green Jobs-KCCD (Clean Energy Center in Peck)): coded as 1</t>
        </is>
      </c>
      <c r="P71" t="inlineStr">
        <is>
          <t>Peck et al. 2021 dataset (Green Jobs-KCCD (Clean Energy Center in Peck)): coded as 0</t>
        </is>
      </c>
      <c r="Q71" t="inlineStr">
        <is>
          <t>Peck et al. 2021 dataset (Green Jobs-KCCD (Clean Energy Center in Peck)): coded as 1</t>
        </is>
      </c>
      <c r="R71" t="inlineStr">
        <is>
          <t>Peck et al. 2021 dataset (Green Jobs-KCCD (Clean Energy Center in Peck)): coded as 0</t>
        </is>
      </c>
      <c r="S71" t="inlineStr">
        <is>
          <t>public: Green Jobs and Health Care Impact Evaluation programs were funded by DOL Pathways Out of Poverty grants.</t>
        </is>
      </c>
      <c r="T71" t="inlineStr">
        <is>
          <t>public: Kern Community College District in Bakersfield is a public community college district.</t>
        </is>
      </c>
      <c r="U71" t="inlineStr">
        <is>
          <t>KCCD (Bakersfield): avg length of stay 2.5 months. Copson et al. 2016.</t>
        </is>
      </c>
      <c r="BK71" t="inlineStr">
        <is>
          <t>Martinson et al. 2016, Exhibit 5.4 (report p.76, PDF p.98): 'Participated in vocational training' T=83.6, C=29.5, Impact=54.1***
program_uptake = vocational training impact from Exhibit 5.4. KCCD's Clean Energy Center offered green jobs training (solar, energy efficiency, HVAC). Controls were not barred from KCCD but crossover was moderate (C=29.5%). Impact=T(83.6)-C(29.5)=54.1pp. Footnote 80 (p.77) gives admin data: T vocational=84%, C=30%, consistent with survey data.</t>
        </is>
      </c>
      <c r="BL71" t="inlineStr">
        <is>
          <t>Martinson et al. 2016, Exhibit 5.4 (report p.76, PDF p.98): 'Participated in any education or training' T=95.0, C=43.8, Impact=51.2***
any_training = 'any education or training' from Exhibit 5.4. T=95.0%, C=43.8%, impact=51.2pp***. Footnote 77 (p.75): the 95% figure is from self-report; admin data shows 85% participated. Includes all types of education/training from any source.</t>
        </is>
      </c>
    </row>
    <row r="72" ht="43.2" customHeight="1">
      <c r="A72" s="2" t="inlineStr">
        <is>
          <t>Green Jobs and Health Care</t>
        </is>
      </c>
      <c r="B72" s="2" t="inlineStr">
        <is>
          <t>NCTC (Gainesville, TX)</t>
        </is>
      </c>
      <c r="C72" s="2" t="inlineStr">
        <is>
          <t>NDNH</t>
        </is>
      </c>
      <c r="D72" s="2" t="inlineStr">
        <is>
          <t>Primary: health care occupational training (CNA, pharmacy tech, phlebotomy) is the core service.</t>
        </is>
      </c>
      <c r="E72" s="2" t="inlineStr">
        <is>
          <t>has_classroom=1: formal health care certification training. has_ojt=0: no structured OJT. has_jsa=1: job placement. has_multiple_components=1: training + support + placement.</t>
        </is>
      </c>
      <c r="F72" s="2" t="inlineStr">
        <is>
          <t>Sample sizes (550T, 434C): from baseline exhibit. Demographics: Exhibit 6.3.</t>
        </is>
      </c>
      <c r="G72" s="2" t="inlineStr">
        <is>
          <t>MT earnings (Q5+Q6): Exhibit 6.10, confirmatory outcome, impact=-$345, control=$7,945. MT employment (Q5/Q6): Exhibit 6.10, impact=-2.3 pp. Exhibit 6.10 (p.107), NDNH wage records: Ever employed during Q5 or Q6 (%). Control = 82.3%.</t>
        </is>
      </c>
      <c r="H72" s="2" t="inlineStr">
        <is>
          <t>ITT regression-adjusted impact from NDNH administrative data.</t>
        </is>
      </c>
      <c r="I72" s="2" t="inlineStr">
        <is>
          <t>Q5+Q6 = months 13-18 → medium-term.</t>
        </is>
      </c>
      <c r="J72" s="2" t="inlineStr">
        <is>
          <t>SEs not reported in exhibits.</t>
        </is>
      </c>
      <c r="K72" s="2" t="inlineStr">
        <is>
          <t>Not reported for individual grantees.</t>
        </is>
      </c>
      <c r="L72" s="2" t="inlineStr">
        <is>
          <t>No significant impacts. Largest NCTC sample (N=984) yet still null results. Negative point estimates for both earnings and employment. Rural Texas setting may differ substantially from urban sites.</t>
        </is>
      </c>
      <c r="M72" t="inlineStr">
        <is>
          <t>Peck et al. 2021 dataset (Green Jobs-NCTC (Health Matrix Grant Scholarship in Peck)): coded as 0</t>
        </is>
      </c>
      <c r="N72" t="inlineStr">
        <is>
          <t>Peck et al. 2021 dataset (Green Jobs-NCTC (Health Matrix Grant Scholarship in Peck)): coded as 0</t>
        </is>
      </c>
      <c r="O72" t="inlineStr">
        <is>
          <t>Peck et al. 2021 dataset (Green Jobs-NCTC (Health Matrix Grant Scholarship in Peck)): coded as 1</t>
        </is>
      </c>
      <c r="P72" t="inlineStr">
        <is>
          <t>Peck et al. 2021 dataset (Green Jobs-NCTC (Health Matrix Grant Scholarship in Peck)): coded as 1</t>
        </is>
      </c>
      <c r="Q72" t="inlineStr">
        <is>
          <t>Peck et al. 2021 dataset (Green Jobs-NCTC (Health Matrix Grant Scholarship in Peck)): coded as 0</t>
        </is>
      </c>
      <c r="R72" t="inlineStr">
        <is>
          <t>Peck et al. 2021 dataset (Green Jobs-NCTC (Health Matrix Grant Scholarship in Peck)): coded as 0</t>
        </is>
      </c>
      <c r="S72" t="inlineStr">
        <is>
          <t>public: Green Jobs and Health Care Impact Evaluation programs were funded by DOL Pathways Out of Poverty grants.</t>
        </is>
      </c>
      <c r="T72" t="inlineStr">
        <is>
          <t>public: North Central Texas College in Gainesville is a public community college.</t>
        </is>
      </c>
      <c r="U72" t="inlineStr">
        <is>
          <t>NCTC (Gainesville, TX): avg length of stay 2.4 months. Copson et al. 2016.</t>
        </is>
      </c>
      <c r="BK72" t="inlineStr">
        <is>
          <t>Martinson et al. 2016, Exhibit 6.5 (report p.101, PDF p.123): 'Participated in vocational training' T=73.4, C=44.0, Impact=29.3***
program_uptake = vocational training impact from Exhibit 6.5. NCTC's Health Matrix Grant was a scholarship for healthcare training (CNA, pharmacy tech, phlebotomy). Controls could and did enroll at NCTC without the scholarship — 31% of C attended vocational training at NCTC per survey (p.100), and 40% of C enrolled in healthcare training per admin data (fn.98, p.100). C=44.0% from survey. Impact=T(73.4)-C(44.0)=29.3pp. High control crossover reflects that the treatment was a financial subsidy (scholarship), not exclusive access.</t>
        </is>
      </c>
      <c r="BL72" t="inlineStr">
        <is>
          <t>Martinson et al. 2016, Exhibit 6.5 (report p.101, PDF p.123): 'Participated in any education or training' T=94.2, C=64.4, Impact=29.8***
any_training = 'any education or training' from Exhibit 6.5. T=94.2%, C=64.4%, impact=29.8pp***. Footnote 97 (p.100): 94% is from self-report; admin data shows 81%. Two-thirds of control group participated in some type of education or training.</t>
        </is>
      </c>
    </row>
    <row r="73">
      <c r="A73" t="inlineStr">
        <is>
          <t>AFDC Homemaker-Home Health Aide Demonstrations</t>
        </is>
      </c>
      <c r="B73" t="inlineStr">
        <is>
          <t>Arkansas</t>
        </is>
      </c>
      <c r="C73" t="inlineStr">
        <is>
          <t>self-report (survey) and staff records</t>
        </is>
      </c>
      <c r="D73" t="inlineStr">
        <is>
          <t>Secondary: subsidized employment (up to 12 months) is the primary intervention; classroom training (4-8 weeks) is pre-employment preparation. Paper title emphasizes 'subsidized employment' as the key component.</t>
        </is>
      </c>
      <c r="E73"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3" t="inlineStr">
        <is>
          <t>Demographics (age, race, education): Table 1, pp.47-48 (pooled across all 7 states). Total N=9,520: p.43. Equal T/C groups: p.43. Enrollment period: p.43. Survey response rate 65%: p.45 fn.6. Followup period 15-34 months, avg 22: p.45 fn.6. State-specific: Bell, Burstein, and Orr 1987, Table I.1 (p.3): 7 sites, trainee startup Jan/1983, 447 training entrants. Table I.2 (p.15): trainee followup survey N=297, public benefit records N=1033. n_treatment and n_control estimated as training_entrants/0.91 (entry rate derived from Table III.1 per-assigned vs per-entrant ratio) ≈ 491 per group (50/50 randomization).</t>
        </is>
      </c>
      <c r="G73" t="inlineStr">
        <is>
          <t>MT earnings: Table 2, 'Monthly Earnings', Arkansas, 'Post-demonstration year 2' row, impact=$101***, SE=(35.0), control mean=$211, p.50.</t>
        </is>
      </c>
      <c r="H73" t="inlineStr">
        <is>
          <t>ITT derived from Bloom-adjusted TOT. Original estimates from Bell &amp; Orr 1994 Table 2 / Bell et al. 1987 Table III.3 are per training entrant (TOT via Bloom 1984 adjustment). Converted to ITT by multiplying by state-specific entry rate (0.91), derived from Bell et al. 1987 Table III.1 per-assigned/per-entrant ratio. ITT = TOT × entry_rate; SE(ITT) = SE(TOT) × entry_rate. Significance levels unchanged (t-stats preserved under Bloom).</t>
        </is>
      </c>
      <c r="I73"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3" t="inlineStr">
        <is>
          <t>SE originally reported in Bell &amp; Orr 1994 Table 2 (in parentheses below coefficient) as TOT (per training entrant). Converted to ITT SE by multiplying by entry rate (0.91): SE(ITT) = SE(TOT) × entry_rate. Per Bloom (1984), t-statistics are identical for ITT and TOT.</t>
        </is>
      </c>
      <c r="K73" t="inlineStr">
        <is>
          <t>Table 3, Row 3 (p.56): demonstration training and employment costs = $7867 per participant (Arkansas), in 1984 dollars. Gross program cost from social standpoint.</t>
        </is>
      </c>
      <c r="L73"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M73" t="inlineStr">
        <is>
          <t>AFDC Homemaker-Home Health Aide: State-administered (admin=public). Training at vocational-technical schools using established curricula. Subsidized employment at home health agencies. No CBO lead, no employer engagement in curriculum design, no staffing agency.</t>
        </is>
      </c>
      <c r="N73" t="inlineStr">
        <is>
          <t>AFDC Homemaker-Home Health Aide: State-administered (admin=public). Training at vocational-technical schools using established curricula. Subsidized employment at home health agencies. No CBO lead, no employer engagement in curriculum design, no staffing agency.</t>
        </is>
      </c>
      <c r="O73" t="inlineStr">
        <is>
          <t>AFDC Homemaker-Home Health Aide: State-administered (admin=public). Training at vocational-technical schools using established curricula. Subsidized employment at home health agencies. No CBO lead, no employer engagement in curriculum design, no staffing agency.</t>
        </is>
      </c>
      <c r="P73" t="inlineStr">
        <is>
          <t>AFDC Homemaker-Home Health Aide: State-administered (admin=public). Training at vocational-technical schools using established curricula. Subsidized employment at home health agencies. No CBO lead, no employer engagement in curriculum design, no staffing agency.</t>
        </is>
      </c>
      <c r="Q73" t="inlineStr">
        <is>
          <t>AFDC Homemaker-Home Health Aide: State-administered (admin=public). Training at vocational-technical schools using established curricula. Subsidized employment at home health agencies. No CBO lead, no employer engagement in curriculum design, no staffing agency.</t>
        </is>
      </c>
      <c r="R73" t="inlineStr">
        <is>
          <t>AFDC Homemaker-Home Health Aide: State-administered (admin=public). Training at vocational-technical schools using established curricula. Subsidized employment at home health agencies. No CBO lead, no employer engagement in curriculum design, no staffing agency.</t>
        </is>
      </c>
      <c r="S73" t="inlineStr">
        <is>
          <t>public: AFDC Homemaker-Home Health Aide Demonstrations were federally funded by DHHS as a demonstration under the Social Security Act.</t>
        </is>
      </c>
      <c r="T73" t="inlineStr">
        <is>
          <t>public: State welfare agencies administered the programs in each of the 7 states, using existing welfare system infrastructure.</t>
        </is>
      </c>
      <c r="U73" t="inlineStr">
        <is>
          <t>AFDC HH-HA Arkansas: Bell, Burstein, and Orr 1987, pp.10-11. Average classroom training across all states was 121 hours over 4-5 weeks. Practicum averaged 26 hours across states (this state: 12-13 hours). Subsidized employment lasted 'up to a year'; p.55 says averaged 'most of a year.' Total treatment (training + subsidized employment) approximately 10-14 months, but no state-specific average duration reported. Left missing per rule: prefer missing over approximate.</t>
        </is>
      </c>
      <c r="BK73"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(91%) derived from Bell et al. 1987 Table III.1 (p.35): ratio of per-assigned to per-entrant total monthly earnings impacts. program_uptake_impact = T rate (91) - C rate (0) = 91pp.</t>
        </is>
      </c>
      <c r="BL73"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4">
      <c r="A74" t="inlineStr">
        <is>
          <t>AFDC Homemaker-Home Health Aide Demonstrations</t>
        </is>
      </c>
      <c r="B74" t="inlineStr">
        <is>
          <t>Kentucky</t>
        </is>
      </c>
      <c r="C74" t="inlineStr">
        <is>
          <t>self-report (survey) and staff records</t>
        </is>
      </c>
      <c r="D74" t="inlineStr">
        <is>
          <t>Secondary: subsidized employment (up to 12 months) is the primary intervention; classroom training (4-8 weeks) is pre-employment preparation. Paper title emphasizes 'subsidized employment' as the key component.</t>
        </is>
      </c>
      <c r="E74"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4" t="inlineStr">
        <is>
          <t>Demographics (age, race, education): Table 1, pp.47-48 (pooled across all 7 states). Total N=9,520: p.43. Equal T/C groups: p.43. Enrollment period: p.43. Survey response rate 65%: p.45 fn.6. Followup period 15-34 months, avg 22: p.45 fn.6. State-specific: Bell, Burstein, and Orr 1987, Table I.1 (p.3): 10 sites, trainee startup Feb/1983, 431 training entrants. Table I.2 (p.15): trainee followup survey N=317, public benefit records N=893. n_treatment and n_control estimated as training_entrants/0.96 (entry rate derived from Table III.1 per-assigned vs per-entrant ratio) ≈ 449 per group (50/50 randomization).</t>
        </is>
      </c>
      <c r="G74" t="inlineStr">
        <is>
          <t>MT earnings: Table 2, 'Monthly Earnings', Kentucky, 'Post-demonstration year 2' row, impact=$161***, SE=(43.1), control mean=$337, p.50.</t>
        </is>
      </c>
      <c r="H74" t="inlineStr">
        <is>
          <t>ITT derived from Bloom-adjusted TOT. Original estimates from Bell &amp; Orr 1994 Table 2 / Bell et al. 1987 Table III.3 are per training entrant (TOT via Bloom 1984 adjustment). Converted to ITT by multiplying by state-specific entry rate (0.96), derived from Bell et al. 1987 Table III.1 per-assigned/per-entrant ratio. ITT = TOT × entry_rate; SE(ITT) = SE(TOT) × entry_rate. Significance levels unchanged (t-stats preserved under Bloom).</t>
        </is>
      </c>
      <c r="I74"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4" t="inlineStr">
        <is>
          <t>SE originally reported in Bell &amp; Orr 1994 Table 2 (in parentheses below coefficient) as TOT (per training entrant). Converted to ITT SE by multiplying by entry rate (0.96): SE(ITT) = SE(TOT) × entry_rate. Per Bloom (1984), t-statistics are identical for ITT and TOT.</t>
        </is>
      </c>
      <c r="K74" t="inlineStr">
        <is>
          <t>Table 3, Row 3 (p.56): demonstration training and employment costs = $8688 per participant (Kentucky), in 1984 dollars. Gross program cost from social standpoint.</t>
        </is>
      </c>
      <c r="L74"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M74" t="inlineStr">
        <is>
          <t>AFDC Homemaker-Home Health Aide: State-administered (admin=public). Training at vocational-technical schools using established curricula. Subsidized employment at home health agencies. No CBO lead, no employer engagement in curriculum design, no staffing agency.</t>
        </is>
      </c>
      <c r="N74" t="inlineStr">
        <is>
          <t>AFDC Homemaker-Home Health Aide: State-administered (admin=public). Training at vocational-technical schools using established curricula. Subsidized employment at home health agencies. No CBO lead, no employer engagement in curriculum design, no staffing agency.</t>
        </is>
      </c>
      <c r="O74" t="inlineStr">
        <is>
          <t>AFDC Homemaker-Home Health Aide: State-administered (admin=public). Training at vocational-technical schools using established curricula. Subsidized employment at home health agencies. No CBO lead, no employer engagement in curriculum design, no staffing agency.</t>
        </is>
      </c>
      <c r="P74" t="inlineStr">
        <is>
          <t>AFDC Homemaker-Home Health Aide: State-administered (admin=public). Training at vocational-technical schools using established curricula. Subsidized employment at home health agencies. No CBO lead, no employer engagement in curriculum design, no staffing agency.</t>
        </is>
      </c>
      <c r="Q74" t="inlineStr">
        <is>
          <t>AFDC Homemaker-Home Health Aide: State-administered (admin=public). Training at vocational-technical schools using established curricula. Subsidized employment at home health agencies. No CBO lead, no employer engagement in curriculum design, no staffing agency.</t>
        </is>
      </c>
      <c r="R74" t="inlineStr">
        <is>
          <t>AFDC Homemaker-Home Health Aide: State-administered (admin=public). Training at vocational-technical schools using established curricula. Subsidized employment at home health agencies. No CBO lead, no employer engagement in curriculum design, no staffing agency.</t>
        </is>
      </c>
      <c r="S74" t="inlineStr">
        <is>
          <t>public: AFDC Homemaker-Home Health Aide Demonstrations were federally funded by DHHS as a demonstration under the Social Security Act.</t>
        </is>
      </c>
      <c r="T74" t="inlineStr">
        <is>
          <t>public: State welfare agencies administered the programs in each of the 7 states, using existing welfare system infrastructure.</t>
        </is>
      </c>
      <c r="U74" t="inlineStr">
        <is>
          <t>AFDC HH-HA Kentucky: Bell, Burstein, and Orr 1987, pp.10-11. Average classroom training across all states was 121 hours over 4-5 weeks. This state: 191 hours classroom over 7-week span.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BK74"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(96%) derived from Bell et al. 1987 Table III.1 (p.35): ratio of per-assigned to per-entrant total monthly earnings impacts. program_uptake_impact = T rate (96) - C rate (0) = 96pp.</t>
        </is>
      </c>
      <c r="BL74"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5">
      <c r="A75" t="inlineStr">
        <is>
          <t>AFDC Homemaker-Home Health Aide Demonstrations</t>
        </is>
      </c>
      <c r="B75" t="inlineStr">
        <is>
          <t>New Jersey</t>
        </is>
      </c>
      <c r="C75" t="inlineStr">
        <is>
          <t>self-report (survey) and staff records</t>
        </is>
      </c>
      <c r="D75" t="inlineStr">
        <is>
          <t>Secondary: subsidized employment (up to 12 months) is the primary intervention; classroom training (4-8 weeks) is pre-employment preparation. Paper title emphasizes 'subsidized employment' as the key component.</t>
        </is>
      </c>
      <c r="E75"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5" t="inlineStr">
        <is>
          <t>Demographics (age, race, education): Table 1, pp.47-48 (pooled across all 7 states). Total N=9,520: p.43. Equal T/C groups: p.43. Enrollment period: p.43. Survey response rate 65%: p.45 fn.6. Followup period 15-34 months, avg 22: p.45 fn.6. State-specific: Bell, Burstein, and Orr 1987, Table I.1 (p.3): 5 sites, trainee startup Feb/1983, 887 training entrants. Table I.2 (p.15): trainee followup survey N=774, public benefit records N=2036. n_treatment and n_control estimated as training_entrants/0.89 (entry rate derived from Table III.1 per-assigned vs per-entrant ratio) ≈ 997 per group (50/50 randomization).</t>
        </is>
      </c>
      <c r="G75" t="inlineStr">
        <is>
          <t>MT earnings: Table 2, 'Monthly Earnings', New Jersey, 'Post-demonstration year 2' row, impact=~$134***, SE≈(33.3), control mean=$269, p.50. Dollar impact read from rotated table; cross-check: text confirms significant gains in both post-demo years for NJ.</t>
        </is>
      </c>
      <c r="H75" t="inlineStr">
        <is>
          <t>ITT derived from Bloom-adjusted TOT. Original estimates from Bell &amp; Orr 1994 Table 2 / Bell et al. 1987 Table III.3 are per training entrant (TOT via Bloom 1984 adjustment). Converted to ITT by multiplying by state-specific entry rate (0.89), derived from Bell et al. 1987 Table III.1 per-assigned/per-entrant ratio. ITT = TOT × entry_rate; SE(ITT) = SE(TOT) × entry_rate. Significance levels unchanged (t-stats preserved under Bloom).</t>
        </is>
      </c>
      <c r="I75"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5" t="inlineStr">
        <is>
          <t>SE originally reported in Bell &amp; Orr 1994 Table 2 (in parentheses below coefficient) as TOT (per training entrant). Converted to ITT SE by multiplying by entry rate (0.89): SE(ITT) = SE(TOT) × entry_rate. Per Bloom (1984), t-statistics are identical for ITT and TOT.</t>
        </is>
      </c>
      <c r="K75" t="inlineStr">
        <is>
          <t>Table 3, Row 3 (p.56): demonstration training and employment costs = $7343 per participant (New Jersey), in 1984 dollars. Gross program cost from social standpoint.</t>
        </is>
      </c>
      <c r="L75"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 FLAG: NJ MT earnings (134) differs from Bell et al. 1987 Tables III.2 and III.3 (both show 126). May be a misread from rotated Bell &amp; Orr 1994 Table 2, or a genuine revision in the 1994 paper. Needs human verification against Bell &amp; Orr 1994 Table 2.</t>
        </is>
      </c>
      <c r="M75" t="inlineStr">
        <is>
          <t>AFDC Homemaker-Home Health Aide: State-administered (admin=public). Training at vocational-technical schools using established curricula. Subsidized employment at home health agencies. No CBO lead, no employer engagement in curriculum design, no staffing agency.</t>
        </is>
      </c>
      <c r="N75" t="inlineStr">
        <is>
          <t>AFDC Homemaker-Home Health Aide: State-administered (admin=public). Training at vocational-technical schools using established curricula. Subsidized employment at home health agencies. No CBO lead, no employer engagement in curriculum design, no staffing agency.</t>
        </is>
      </c>
      <c r="O75" t="inlineStr">
        <is>
          <t>AFDC Homemaker-Home Health Aide: State-administered (admin=public). Training at vocational-technical schools using established curricula. Subsidized employment at home health agencies. No CBO lead, no employer engagement in curriculum design, no staffing agency.</t>
        </is>
      </c>
      <c r="P75" t="inlineStr">
        <is>
          <t>AFDC Homemaker-Home Health Aide: State-administered (admin=public). Training at vocational-technical schools using established curricula. Subsidized employment at home health agencies. No CBO lead, no employer engagement in curriculum design, no staffing agency.</t>
        </is>
      </c>
      <c r="Q75" t="inlineStr">
        <is>
          <t>AFDC Homemaker-Home Health Aide: State-administered (admin=public). Training at vocational-technical schools using established curricula. Subsidized employment at home health agencies. No CBO lead, no employer engagement in curriculum design, no staffing agency.</t>
        </is>
      </c>
      <c r="R75" t="inlineStr">
        <is>
          <t>AFDC Homemaker-Home Health Aide: State-administered (admin=public). Training at vocational-technical schools using established curricula. Subsidized employment at home health agencies. No CBO lead, no employer engagement in curriculum design, no staffing agency.</t>
        </is>
      </c>
      <c r="S75" t="inlineStr">
        <is>
          <t>public: AFDC Homemaker-Home Health Aide Demonstrations were federally funded by DHHS as a demonstration under the Social Security Act.</t>
        </is>
      </c>
      <c r="T75" t="inlineStr">
        <is>
          <t>public: State welfare agencies administered the programs in each of the 7 states, using existing welfare system infrastructure.</t>
        </is>
      </c>
      <c r="U75" t="inlineStr">
        <is>
          <t>AFDC HH-HA New Jersey: Bell, Burstein, and Orr 1987, pp.10-11. Average classroom training across all states was 121 hours over 4-5 weeks. Practicum averaged 26 hours across states (this state: 12-13 hours). Subsidized employment lasted 'up to a year'; p.55 says averaged 'most of a year.' Total treatment (training + subsidized employment) approximately 10-14 months, but no state-specific average duration reported. Left missing per rule: prefer missing over approximate.</t>
        </is>
      </c>
      <c r="BK75"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(89%) derived from Bell et al. 1987 Table III.1 (p.35): ratio of per-assigned to per-entrant total monthly earnings impacts. program_uptake_impact = T rate (89) - C rate (0) = 89pp.</t>
        </is>
      </c>
      <c r="BL75"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6">
      <c r="A76" t="inlineStr">
        <is>
          <t>AFDC Homemaker-Home Health Aide Demonstrations</t>
        </is>
      </c>
      <c r="B76" t="inlineStr">
        <is>
          <t>New York</t>
        </is>
      </c>
      <c r="C76" t="inlineStr">
        <is>
          <t>self-report (survey) and staff records</t>
        </is>
      </c>
      <c r="D76" t="inlineStr">
        <is>
          <t>Secondary: subsidized employment (up to 12 months) is the primary intervention; classroom training (4-8 weeks) is pre-employment preparation. Paper title emphasizes 'subsidized employment' as the key component.</t>
        </is>
      </c>
      <c r="E76"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6" t="inlineStr">
        <is>
          <t>Demographics (age, race, education): Table 1, pp.47-48 (pooled across all 7 states). Total N=9,520: p.43. Equal T/C groups: p.43. Enrollment period: p.43. Survey response rate 65%: p.45 fn.6. Followup period 15-34 months, avg 22: p.45 fn.6. State-specific: Bell, Burstein, and Orr 1987, Table I.1 (p.3): 5 sites, trainee startup Aug/1983, 355 training entrants. Table I.2 (p.15): trainee followup survey N=181, public benefit records N=564. n_treatment and n_control estimated as training_entrants/0.92 (entry rate derived from Table III.1 per-assigned vs per-entrant ratio) ≈ 386 per group (50/50 randomization).</t>
        </is>
      </c>
      <c r="G76" t="inlineStr">
        <is>
          <t>MT earnings: Table 2, 'Monthly Earnings', New York, 'Post-demonstration year 2' row, impact=$12, SE=(80.7), control mean=$256, p.51. Not statistically significant.</t>
        </is>
      </c>
      <c r="H76" t="inlineStr">
        <is>
          <t>ITT derived from Bloom-adjusted TOT. Original estimates from Bell &amp; Orr 1994 Table 2 / Bell et al. 1987 Table III.3 are per training entrant (TOT via Bloom 1984 adjustment). Converted to ITT by multiplying by state-specific entry rate (0.92), derived from Bell et al. 1987 Table III.1 per-assigned/per-entrant ratio. ITT = TOT × entry_rate; SE(ITT) = SE(TOT) × entry_rate. Significance levels unchanged (t-stats preserved under Bloom).</t>
        </is>
      </c>
      <c r="I76"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6" t="inlineStr">
        <is>
          <t>SE originally reported in Bell &amp; Orr 1994 Table 2 (in parentheses below coefficient) as TOT (per training entrant). Converted to ITT SE by multiplying by entry rate (0.92): SE(ITT) = SE(TOT) × entry_rate. Per Bloom (1984), t-statistics are identical for ITT and TOT.</t>
        </is>
      </c>
      <c r="K76" t="inlineStr">
        <is>
          <t>Table 3, Row 3 (p.56): demonstration training and employment costs = $5230 per participant (New York), in 1984 dollars. Gross program cost from social standpoint.</t>
        </is>
      </c>
      <c r="L76"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M76" t="inlineStr">
        <is>
          <t>AFDC Homemaker-Home Health Aide: State-administered (admin=public). Training at vocational-technical schools using established curricula. Subsidized employment at home health agencies. No CBO lead, no employer engagement in curriculum design, no staffing agency.</t>
        </is>
      </c>
      <c r="N76" t="inlineStr">
        <is>
          <t>AFDC Homemaker-Home Health Aide: State-administered (admin=public). Training at vocational-technical schools using established curricula. Subsidized employment at home health agencies. No CBO lead, no employer engagement in curriculum design, no staffing agency.</t>
        </is>
      </c>
      <c r="O76" t="inlineStr">
        <is>
          <t>AFDC Homemaker-Home Health Aide: State-administered (admin=public). Training at vocational-technical schools using established curricula. Subsidized employment at home health agencies. No CBO lead, no employer engagement in curriculum design, no staffing agency.</t>
        </is>
      </c>
      <c r="P76" t="inlineStr">
        <is>
          <t>AFDC Homemaker-Home Health Aide: State-administered (admin=public). Training at vocational-technical schools using established curricula. Subsidized employment at home health agencies. No CBO lead, no employer engagement in curriculum design, no staffing agency.</t>
        </is>
      </c>
      <c r="Q76" t="inlineStr">
        <is>
          <t>AFDC Homemaker-Home Health Aide: State-administered (admin=public). Training at vocational-technical schools using established curricula. Subsidized employment at home health agencies. No CBO lead, no employer engagement in curriculum design, no staffing agency.</t>
        </is>
      </c>
      <c r="R76" t="inlineStr">
        <is>
          <t>AFDC Homemaker-Home Health Aide: State-administered (admin=public). Training at vocational-technical schools using established curricula. Subsidized employment at home health agencies. No CBO lead, no employer engagement in curriculum design, no staffing agency.</t>
        </is>
      </c>
      <c r="S76" t="inlineStr">
        <is>
          <t>public: AFDC Homemaker-Home Health Aide Demonstrations were federally funded by DHHS as a demonstration under the Social Security Act.</t>
        </is>
      </c>
      <c r="T76" t="inlineStr">
        <is>
          <t>public: State welfare agencies administered the programs in each of the 7 states, using existing welfare system infrastructure.</t>
        </is>
      </c>
      <c r="U76" t="inlineStr">
        <is>
          <t>AFDC HH-HA New York: Bell, Burstein, and Orr 1987, pp.10-11. Average classroom training across all states was 121 hours over 4-5 weeks. This state: 60 hours classroom.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BK76"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(92%) derived from Bell et al. 1987 Table III.1 (p.35): ratio of per-assigned to per-entrant total monthly earnings impacts. program_uptake_impact = T rate (92) - C rate (0) = 92pp.</t>
        </is>
      </c>
      <c r="BL76"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7">
      <c r="A77" t="inlineStr">
        <is>
          <t>AFDC Homemaker-Home Health Aide Demonstrations</t>
        </is>
      </c>
      <c r="B77" t="inlineStr">
        <is>
          <t>Ohio</t>
        </is>
      </c>
      <c r="C77" t="inlineStr">
        <is>
          <t>self-report (survey) and staff records</t>
        </is>
      </c>
      <c r="D77" t="inlineStr">
        <is>
          <t>Secondary: subsidized employment (up to 12 months) is the primary intervention; classroom training (4-8 weeks) is pre-employment preparation. Paper title emphasizes 'subsidized employment' as the key component.</t>
        </is>
      </c>
      <c r="E77"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7" t="inlineStr">
        <is>
          <t>Demographics (age, race, education): Table 1, pp.47-48 (pooled across all 7 states). Total N=9,520: p.43. Equal T/C groups: p.43. Enrollment period: p.43. Survey response rate 65%: p.45 fn.6. Followup period 15-34 months, avg 22: p.45 fn.6. State-specific: Bell, Burstein, and Orr 1987, Table I.1 (p.3): 19 sites, trainee startup Mar/1983, 694 training entrants. Table I.2 (p.15): trainee followup survey N=711, public benefit records N=1541. n_treatment and n_control estimated as training_entrants/0.88 (entry rate derived from Table III.1 per-assigned vs per-entrant ratio) ≈ 789 per group (50/50 randomization).</t>
        </is>
      </c>
      <c r="G77" t="inlineStr">
        <is>
          <t>MT earnings: Table 2, 'Monthly Earnings', Ohio, 'Post-demonstration year 2' row, impact=$105***, SE≈(35.2), control mean=$278, p.51. Cross-check: 105/278 = 37.8% ≈ reported 38%.</t>
        </is>
      </c>
      <c r="H77" t="inlineStr">
        <is>
          <t>ITT derived from Bloom-adjusted TOT. Original estimates from Bell &amp; Orr 1994 Table 2 / Bell et al. 1987 Table III.3 are per training entrant (TOT via Bloom 1984 adjustment). Converted to ITT by multiplying by state-specific entry rate (0.88), derived from Bell et al. 1987 Table III.1 per-assigned/per-entrant ratio. ITT = TOT × entry_rate; SE(ITT) = SE(TOT) × entry_rate. Significance levels unchanged (t-stats preserved under Bloom).</t>
        </is>
      </c>
      <c r="I77"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7" t="inlineStr">
        <is>
          <t>SE originally reported in Bell &amp; Orr 1994 Table 2 (in parentheses below coefficient) as TOT (per training entrant). Converted to ITT SE by multiplying by entry rate (0.88): SE(ITT) = SE(TOT) × entry_rate. Per Bloom (1984), t-statistics are identical for ITT and TOT.</t>
        </is>
      </c>
      <c r="K77" t="inlineStr">
        <is>
          <t>Table 3, Row 3 (p.56): demonstration training and employment costs = $4299 per participant (Ohio), in 1984 dollars. Gross program cost from social standpoint.</t>
        </is>
      </c>
      <c r="L77"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M77" t="inlineStr">
        <is>
          <t>AFDC Homemaker-Home Health Aide: State-administered (admin=public). Training at vocational-technical schools using established curricula. Subsidized employment at home health agencies. No CBO lead, no employer engagement in curriculum design, no staffing agency.</t>
        </is>
      </c>
      <c r="N77" t="inlineStr">
        <is>
          <t>AFDC Homemaker-Home Health Aide: State-administered (admin=public). Training at vocational-technical schools using established curricula. Subsidized employment at home health agencies. No CBO lead, no employer engagement in curriculum design, no staffing agency.</t>
        </is>
      </c>
      <c r="O77" t="inlineStr">
        <is>
          <t>AFDC Homemaker-Home Health Aide: State-administered (admin=public). Training at vocational-technical schools using established curricula. Subsidized employment at home health agencies. No CBO lead, no employer engagement in curriculum design, no staffing agency.</t>
        </is>
      </c>
      <c r="P77" t="inlineStr">
        <is>
          <t>AFDC Homemaker-Home Health Aide: State-administered (admin=public). Training at vocational-technical schools using established curricula. Subsidized employment at home health agencies. No CBO lead, no employer engagement in curriculum design, no staffing agency.</t>
        </is>
      </c>
      <c r="Q77" t="inlineStr">
        <is>
          <t>AFDC Homemaker-Home Health Aide: State-administered (admin=public). Training at vocational-technical schools using established curricula. Subsidized employment at home health agencies. No CBO lead, no employer engagement in curriculum design, no staffing agency.</t>
        </is>
      </c>
      <c r="R77" t="inlineStr">
        <is>
          <t>AFDC Homemaker-Home Health Aide: State-administered (admin=public). Training at vocational-technical schools using established curricula. Subsidized employment at home health agencies. No CBO lead, no employer engagement in curriculum design, no staffing agency.</t>
        </is>
      </c>
      <c r="S77" t="inlineStr">
        <is>
          <t>public: AFDC Homemaker-Home Health Aide Demonstrations were federally funded by DHHS as a demonstration under the Social Security Act.</t>
        </is>
      </c>
      <c r="T77" t="inlineStr">
        <is>
          <t>public: State welfare agencies administered the programs in each of the 7 states, using existing welfare system infrastructure.</t>
        </is>
      </c>
      <c r="U77" t="inlineStr">
        <is>
          <t>AFDC HH-HA Ohio: Bell, Burstein, and Orr 1987, pp.10-11. Average classroom training across all states was 121 hours over 4-5 weeks.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BK77"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(88%) derived from Bell et al. 1987 Table III.1 (p.35): ratio of per-assigned to per-entrant total monthly earnings impacts. program_uptake_impact = T rate (88) - C rate (0) = 88pp.</t>
        </is>
      </c>
      <c r="BL77"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8">
      <c r="A78" t="inlineStr">
        <is>
          <t>AFDC Homemaker-Home Health Aide Demonstrations</t>
        </is>
      </c>
      <c r="B78" t="inlineStr">
        <is>
          <t>South Carolina</t>
        </is>
      </c>
      <c r="C78" t="inlineStr">
        <is>
          <t>self-report (survey) and staff records</t>
        </is>
      </c>
      <c r="D78" t="inlineStr">
        <is>
          <t>Secondary: subsidized employment (up to 12 months) is the primary intervention; classroom training (4-8 weeks) is pre-employment preparation. Paper title emphasizes 'subsidized employment' as the key component.</t>
        </is>
      </c>
      <c r="E78"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8" t="inlineStr">
        <is>
          <t>Demographics (age, race, education): Table 1, pp.47-48 (pooled across all 7 states). Total N=9,520: p.43. Equal T/C groups: p.43. Enrollment period: p.43. Survey response rate 65%: p.45 fn.6. Followup period 15-34 months, avg 22: p.45 fn.6. State-specific: Bell, Burstein, and Orr 1987, Table I.1 (p.3): 20 sites, trainee startup Mar/1983, 455 training entrants. Table I.2 (p.15): trainee followup survey N=474, public benefit records N=1020. n_treatment and n_control estimated as training_entrants/0.93 (entry rate derived from Table III.1 per-assigned vs per-entrant ratio) ≈ 489 per group (50/50 randomization).</t>
        </is>
      </c>
      <c r="G78" t="inlineStr">
        <is>
          <t>MT earnings: Table 2, 'Monthly Earnings', South Carolina, 'Post-demonstration year 2' row, impact=$22, SE≈(24.0), control mean=$182, p.51. Original reading of $12 from landscape Table 2 corrected to $22 per Bell et al. 1987 Tables III.2 (p.37) and III.3 (p.39).</t>
        </is>
      </c>
      <c r="H78" t="inlineStr">
        <is>
          <t>ITT derived from Bloom-adjusted TOT. Original estimates from Bell &amp; Orr 1994 Table 2 / Bell et al. 1987 Table III.3 are per training entrant (TOT via Bloom 1984 adjustment). Converted to ITT by multiplying by state-specific entry rate (0.93), derived from Bell et al. 1987 Table III.1 per-assigned/per-entrant ratio. ITT = TOT × entry_rate; SE(ITT) = SE(TOT) × entry_rate. Significance levels unchanged (t-stats preserved under Bloom).</t>
        </is>
      </c>
      <c r="I78"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8" t="inlineStr">
        <is>
          <t>SE originally reported in Bell &amp; Orr 1994 Table 2 (in parentheses below coefficient) as TOT (per training entrant). Converted to ITT SE by multiplying by entry rate (0.93): SE(ITT) = SE(TOT) × entry_rate. Per Bloom (1984), t-statistics are identical for ITT and TOT.</t>
        </is>
      </c>
      <c r="K78" t="inlineStr">
        <is>
          <t>Table 3, Row 3 (p.56): demonstration training and employment costs = $4902 per participant (South Carolina), in 1984 dollars. Gross program cost from social standpoint.</t>
        </is>
      </c>
      <c r="L78"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 CORRECTION: SC MT earnings changed from 12 to 22 after cross-check with Bell et al. 1987 Tables III.2 and III.3.</t>
        </is>
      </c>
      <c r="M78" t="inlineStr">
        <is>
          <t>AFDC Homemaker-Home Health Aide: State-administered (admin=public). Training at vocational-technical schools using established curricula. Subsidized employment at home health agencies. No CBO lead, no employer engagement in curriculum design, no staffing agency.</t>
        </is>
      </c>
      <c r="N78" t="inlineStr">
        <is>
          <t>AFDC Homemaker-Home Health Aide: State-administered (admin=public). Training at vocational-technical schools using established curricula. Subsidized employment at home health agencies. No CBO lead, no employer engagement in curriculum design, no staffing agency.</t>
        </is>
      </c>
      <c r="O78" t="inlineStr">
        <is>
          <t>AFDC Homemaker-Home Health Aide: State-administered (admin=public). Training at vocational-technical schools using established curricula. Subsidized employment at home health agencies. No CBO lead, no employer engagement in curriculum design, no staffing agency.</t>
        </is>
      </c>
      <c r="P78" t="inlineStr">
        <is>
          <t>AFDC Homemaker-Home Health Aide: State-administered (admin=public). Training at vocational-technical schools using established curricula. Subsidized employment at home health agencies. No CBO lead, no employer engagement in curriculum design, no staffing agency.</t>
        </is>
      </c>
      <c r="Q78" t="inlineStr">
        <is>
          <t>AFDC Homemaker-Home Health Aide: State-administered (admin=public). Training at vocational-technical schools using established curricula. Subsidized employment at home health agencies. No CBO lead, no employer engagement in curriculum design, no staffing agency.</t>
        </is>
      </c>
      <c r="R78" t="inlineStr">
        <is>
          <t>AFDC Homemaker-Home Health Aide: State-administered (admin=public). Training at vocational-technical schools using established curricula. Subsidized employment at home health agencies. No CBO lead, no employer engagement in curriculum design, no staffing agency.</t>
        </is>
      </c>
      <c r="S78" t="inlineStr">
        <is>
          <t>public: AFDC Homemaker-Home Health Aide Demonstrations were federally funded by DHHS as a demonstration under the Social Security Act.</t>
        </is>
      </c>
      <c r="T78" t="inlineStr">
        <is>
          <t>public: State welfare agencies administered the programs in each of the 7 states, using existing welfare system infrastructure.</t>
        </is>
      </c>
      <c r="U78" t="inlineStr">
        <is>
          <t>AFDC HH-HA South Carolina: Bell, Burstein, and Orr 1987, pp.10-11. Average classroom training across all states was 121 hours over 4-5 weeks. This state: 87.5 hours classroom.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BK78"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(93%) derived from Bell et al. 1987 Table III.1 (p.35): ratio of per-assigned to per-entrant total monthly earnings impacts. program_uptake_impact = T rate (93) - C rate (0) = 93pp.</t>
        </is>
      </c>
      <c r="BL78"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9">
      <c r="A79" t="inlineStr">
        <is>
          <t>AFDC Homemaker-Home Health Aide Demonstrations</t>
        </is>
      </c>
      <c r="B79" t="inlineStr">
        <is>
          <t>Texas</t>
        </is>
      </c>
      <c r="C79" t="inlineStr">
        <is>
          <t>self-report (survey) and staff records</t>
        </is>
      </c>
      <c r="D79" t="inlineStr">
        <is>
          <t>Secondary: subsidized employment (up to 12 months) is the primary intervention; classroom training (4-8 weeks) is pre-employment preparation. Paper title emphasizes 'subsidized employment' as the key component.</t>
        </is>
      </c>
      <c r="E79"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9" t="inlineStr">
        <is>
          <t>Demographics (age, race, education): Table 1, pp.47-48 (pooled across all 7 states). Total N=9,520: p.43. Equal T/C groups: p.43. Enrollment period: p.43. Survey response rate 65%: p.45 fn.6. Followup period 15-34 months, avg 22: p.45 fn.6. State-specific: Bell, Burstein, and Orr 1987, Table I.1 (p.3): 4 sites, trainee startup Feb/1983, 751 training entrants. Table I.2 (p.15): trainee followup survey N=707, public benefit records N=2030. n_treatment and n_control estimated as training_entrants/0.75 (entry rate derived from Table III.1 per-assigned vs per-entrant ratio) ≈ 1001 per group (50/50 randomization).</t>
        </is>
      </c>
      <c r="G79" t="inlineStr">
        <is>
          <t>MT earnings: Table 2, 'Monthly Earnings', Texas, 'Post-demonstration year 2' row, impact=$215***, control mean=$208, p.51. Cross-check: text (p.52) confirms '$215 per month' and '103 percent of the control mean' for max gain. 215/208 = 103.4% ✓. SE estimated ~35 from table; exact reading uncertain.</t>
        </is>
      </c>
      <c r="H79" t="inlineStr">
        <is>
          <t>ITT derived from Bloom-adjusted TOT. Original estimates from Bell &amp; Orr 1994 Table 2 / Bell et al. 1987 Table III.3 are per training entrant (TOT via Bloom 1984 adjustment). Converted to ITT by multiplying by state-specific entry rate (0.75), derived from Bell et al. 1987 Table III.1 per-assigned/per-entrant ratio. ITT = TOT × entry_rate; SE(ITT) = SE(TOT) × entry_rate. Significance levels unchanged (t-stats preserved under Bloom).</t>
        </is>
      </c>
      <c r="I79"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9" t="inlineStr">
        <is>
          <t>SE originally reported in Bell &amp; Orr 1994 Table 2 (in parentheses below coefficient) as TOT (per training entrant). Converted to ITT SE by multiplying by entry rate (0.75): SE(ITT) = SE(TOT) × entry_rate. Per Bloom (1984), t-statistics are identical for ITT and TOT.</t>
        </is>
      </c>
      <c r="K79" t="inlineStr">
        <is>
          <t>Table 3, Row 3 (p.56): demonstration training and employment costs = $8592 per participant (Texas), in 1984 dollars. Gross program cost from social standpoint.</t>
        </is>
      </c>
      <c r="L79"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M79" t="inlineStr">
        <is>
          <t>AFDC Homemaker-Home Health Aide: State-administered (admin=public). Training at vocational-technical schools using established curricula. Subsidized employment at home health agencies. No CBO lead, no employer engagement in curriculum design, no staffing agency.</t>
        </is>
      </c>
      <c r="N79" t="inlineStr">
        <is>
          <t>AFDC Homemaker-Home Health Aide: State-administered (admin=public). Training at vocational-technical schools using established curricula. Subsidized employment at home health agencies. No CBO lead, no employer engagement in curriculum design, no staffing agency.</t>
        </is>
      </c>
      <c r="O79" t="inlineStr">
        <is>
          <t>AFDC Homemaker-Home Health Aide: State-administered (admin=public). Training at vocational-technical schools using established curricula. Subsidized employment at home health agencies. No CBO lead, no employer engagement in curriculum design, no staffing agency.</t>
        </is>
      </c>
      <c r="P79" t="inlineStr">
        <is>
          <t>AFDC Homemaker-Home Health Aide: State-administered (admin=public). Training at vocational-technical schools using established curricula. Subsidized employment at home health agencies. No CBO lead, no employer engagement in curriculum design, no staffing agency.</t>
        </is>
      </c>
      <c r="Q79" t="inlineStr">
        <is>
          <t>AFDC Homemaker-Home Health Aide: State-administered (admin=public). Training at vocational-technical schools using established curricula. Subsidized employment at home health agencies. No CBO lead, no employer engagement in curriculum design, no staffing agency.</t>
        </is>
      </c>
      <c r="R79" t="inlineStr">
        <is>
          <t>AFDC Homemaker-Home Health Aide: State-administered (admin=public). Training at vocational-technical schools using established curricula. Subsidized employment at home health agencies. No CBO lead, no employer engagement in curriculum design, no staffing agency.</t>
        </is>
      </c>
      <c r="S79" t="inlineStr">
        <is>
          <t>public: AFDC Homemaker-Home Health Aide Demonstrations were federally funded by DHHS as a demonstration under the Social Security Act.</t>
        </is>
      </c>
      <c r="T79" t="inlineStr">
        <is>
          <t>public: State welfare agencies administered the programs in each of the 7 states, using existing welfare system infrastructure.</t>
        </is>
      </c>
      <c r="U79" t="inlineStr">
        <is>
          <t>AFDC HH-HA Texas: Bell, Burstein, and Orr 1987, pp.10-11. Average classroom training across all states was 121 hours over 4-5 weeks. Practicum averaged 26 hours across states (this state: 48 hours). Subsidized employment lasted 'up to a year'; p.55 says averaged 'most of a year.' Total treatment (training + subsidized employment) approximately 10-14 months, but no state-specific average duration reported. Left missing per rule: prefer missing over approximate.</t>
        </is>
      </c>
      <c r="BK79"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(75%) derived from Bell et al. 1987 Table III.1 (p.35): ratio of per-assigned to per-entrant total monthly earnings impacts. program_uptake_impact = T rate (75) - C rate (0) = 75pp.</t>
        </is>
      </c>
      <c r="BL79"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80">
      <c r="A80" t="inlineStr">
        <is>
          <t>Minority Female Single Parent Demonstration</t>
        </is>
      </c>
      <c r="B80" t="inlineStr">
        <is>
          <t>AUL (Atlanta Urban League)</t>
        </is>
      </c>
      <c r="C80" t="inlineStr">
        <is>
          <t>self-report (survey)</t>
        </is>
      </c>
      <c r="D80" t="inlineStr">
        <is>
          <t>Primary: training and education are the core services. Each CBO designed its program around classroom training (job-skill or remedial education). No subsidized employment component.</t>
        </is>
      </c>
      <c r="E80"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0" t="inlineStr">
        <is>
          <t>Demographics (age, race, education): Table III.1, p.14, AUL (Atlanta Urban League) column. Randomization period: p.1 ('November 1984 to December 1987'). Total N=3,965: Executive Summary, p.xiii. 30-month survey sample sizes: Table V.1, p.42. Target group: Executive Summary, p.xiii ('minority single mothers').</t>
        </is>
      </c>
      <c r="G80" t="inlineStr">
        <is>
          <t>MT employment: Table IV.1, 'AUL' panel, 'Average Monthly Employment Rate' row, 'Quarters 7 Through 10' column, impact=+1.2pp, SE=(3.2), p.22. Not significant. MT earnings: Table IV.1, 'AUL' panel, 'Average Monthly Earnings' row, 'Quarters 7 Through 10' column, impact=+$6, SE=(37), control mean=$425, p.22. Not significant.</t>
        </is>
      </c>
      <c r="H80" t="inlineStr">
        <is>
          <t>ITT regression-adjusted impact from OLS with personal characteristics controls (Burghardt et al. 1992, Chapter IV methodology). Includes treatment group members who never participated (ITT).</t>
        </is>
      </c>
      <c r="I80" t="inlineStr">
        <is>
          <t>Quarters 7-10 of the 30-month follow-up = months 19-30, midpoint ~month 24.5 ≈ 2 years after application. This fits medium-term per CKW classification (1-2 years).</t>
        </is>
      </c>
      <c r="J80" t="inlineStr">
        <is>
          <t>SE reported directly in Table IV.1 (in parentheses below coefficient).</t>
        </is>
      </c>
      <c r="K80" t="inlineStr">
        <is>
          <t>Table VI.1 (pp.48-49): MFSP program costs from social perspective = $3791 per participant (AUL (Atlanta Urban League)), in 1986 dollars. Cross-check: text on p.47 rounds to $3800.</t>
        </is>
      </c>
      <c r="L80"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M80" t="inlineStr">
        <is>
          <t>Atlanta Urban League is a CBO (admin=private).</t>
        </is>
      </c>
      <c r="N80" t="inlineStr">
        <is>
          <t>No staffing agency partnerships described (Burghardt et al. 1992).</t>
        </is>
      </c>
      <c r="O80" t="inlineStr">
        <is>
          <t>AUL used cooperative agreements with training organizations; no employer curricula engagement (Burghardt et al. 1992).</t>
        </is>
      </c>
      <c r="P80" t="inlineStr">
        <is>
          <t>Counselors worked with job-ready trainees to identify openings and arrange interviews (Burghardt et al. 1992). These were counselors with multiple duties, not dedicated job developers per Peck definition.</t>
        </is>
      </c>
      <c r="Q80" t="inlineStr">
        <is>
          <t>No employer role in curriculum design (Burghardt et al. 1992).</t>
        </is>
      </c>
      <c r="R80" t="inlineStr">
        <is>
          <t>No employer hiring commitments described (Burghardt et al. 1992).</t>
        </is>
      </c>
      <c r="S80" t="inlineStr">
        <is>
          <t>private: The Minority Female Single Parent Demonstration was funded by the Rockefeller Foundation, with additional support from other private foundations. No significant government operational funding.</t>
        </is>
      </c>
      <c r="T80" t="inlineStr">
        <is>
          <t>private: All four MFSP operators were community-based organizations: Atlanta Urban League, Center for Employment Training, Opportunities Industrialization Center, and Wider Opportunities for Women.</t>
        </is>
      </c>
      <c r="U80" t="inlineStr">
        <is>
          <t>AUL (Atlanta): remedial education ~3 months. Burghardt et al. 1992.</t>
        </is>
      </c>
      <c r="BK80"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BL80" t="inlineStr">
        <is>
          <t>Burghardt et al. 1992, Table VII.1, p.60
Burghardt et al. 1992, Table VII.1 (p.60): 'Percent in Job Skill Training and/or Basic Education' over 30-month follow-up. AUL: C=48.2%, T=81.6%, Impact=33.4*** (SE in table). This captures training from all sources.</t>
        </is>
      </c>
    </row>
    <row r="81">
      <c r="A81" t="inlineStr">
        <is>
          <t>Minority Female Single Parent Demonstration</t>
        </is>
      </c>
      <c r="B81" t="inlineStr">
        <is>
          <t>CET (Center for Employment Training)</t>
        </is>
      </c>
      <c r="C81" t="inlineStr">
        <is>
          <t>self-report (survey)</t>
        </is>
      </c>
      <c r="D81" t="inlineStr">
        <is>
          <t>Primary: training and education are the core services. Each CBO designed its program around classroom training (job-skill or remedial education). No subsidized employment component.</t>
        </is>
      </c>
      <c r="E81"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1" t="inlineStr">
        <is>
          <t>Demographics (age, race, education): Table III.1, p.14, CET (Center for Employment Training) column. Randomization period: p.1 ('November 1984 to December 1987'). Total N=3,965: Executive Summary, p.xiii. 30-month survey sample sizes: Table V.1, p.42. Target group: Executive Summary, p.xiii ('minority single mothers').</t>
        </is>
      </c>
      <c r="G81" t="inlineStr">
        <is>
          <t>MT employment: Table IV.1, 'CET' panel, 'Average Monthly Employment Rate' row, 'Quarters 7 Through 10' column, impact=+4.1pp, SE=(2.9), p.22. Not significant at conventional levels. MT earnings: Table IV.1, 'CET' panel, 'Average Monthly Earnings' row, 'Quarters 7 Through 10' column, impact=+$101**, SE=(38), control mean=$405, p.22.</t>
        </is>
      </c>
      <c r="H81" t="inlineStr">
        <is>
          <t>ITT regression-adjusted impact from OLS with personal characteristics controls (Burghardt et al. 1992, Chapter IV methodology). Includes treatment group members who never participated (ITT).</t>
        </is>
      </c>
      <c r="I81" t="inlineStr">
        <is>
          <t>Quarters 7-10 of the 30-month follow-up = months 19-30, midpoint ~month 24.5 ≈ 2 years after application. This fits medium-term per CKW classification (1-2 years).</t>
        </is>
      </c>
      <c r="J81" t="inlineStr">
        <is>
          <t>SE reported directly in Table IV.1 (in parentheses below coefficient).</t>
        </is>
      </c>
      <c r="K81" t="inlineStr">
        <is>
          <t>Table VI.1 (pp.48-49): MFSP program costs from social perspective = $3888 per participant (CET (Center for Employment Training)), in 1986 dollars. Cross-check: text on p.47 rounds to $3900.</t>
        </is>
      </c>
      <c r="L81"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M81" t="inlineStr">
        <is>
          <t>CET is a CBO (admin=private).</t>
        </is>
      </c>
      <c r="N81" t="inlineStr">
        <is>
          <t>No evidence.</t>
        </is>
      </c>
      <c r="O81" t="inlineStr">
        <is>
          <t>CET model involves employer engagement: training in occupations in demand, employer involvement documented (Burghardt et al. 1992).</t>
        </is>
      </c>
      <c r="P81" t="inlineStr">
        <is>
          <t>Job-placement assistance provided.</t>
        </is>
      </c>
      <c r="Q81" t="inlineStr">
        <is>
          <t>CET model known for employer involvement in curriculum design — training occupations determined by local labor market demand.</t>
        </is>
      </c>
      <c r="R81" t="inlineStr">
        <is>
          <t>No formal employer commitment to hire.</t>
        </is>
      </c>
      <c r="S81" t="inlineStr">
        <is>
          <t>private: The Minority Female Single Parent Demonstration was funded by the Rockefeller Foundation, with additional support from other private foundations. No significant government operational funding.</t>
        </is>
      </c>
      <c r="T81" t="inlineStr">
        <is>
          <t>private: All four MFSP operators were community-based organizations: Atlanta Urban League, Center for Employment Training, Opportunities Industrialization Center, and Wider Opportunities for Women.</t>
        </is>
      </c>
      <c r="U81" t="inlineStr">
        <is>
          <t>CET (MFSP): open-entry self-paced program; avg duration variable. Burghardt et al. 1992.</t>
        </is>
      </c>
      <c r="BK81"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BL81" t="inlineStr">
        <is>
          <t>Burghardt et al. 1992, Table VII.1, p.60
Burghardt et al. 1992, Table VII.1 (p.60): 'Percent in Job Skill Training and/or Basic Education' over 30-month follow-up. CET: C=55.7%, T=86.3%, Impact=30.6*** (SE in table). This captures training from all sources.</t>
        </is>
      </c>
    </row>
    <row r="82">
      <c r="A82" t="inlineStr">
        <is>
          <t>Minority Female Single Parent Demonstration</t>
        </is>
      </c>
      <c r="B82" t="inlineStr">
        <is>
          <t>OIC (Opportunities Industrialization Center)</t>
        </is>
      </c>
      <c r="C82" t="inlineStr">
        <is>
          <t>self-report (survey)</t>
        </is>
      </c>
      <c r="D82" t="inlineStr">
        <is>
          <t>Primary: training and education are the core services. Each CBO designed its program around classroom training (job-skill or remedial education). No subsidized employment component.</t>
        </is>
      </c>
      <c r="E82"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2" t="inlineStr">
        <is>
          <t>Demographics (age, race, education): Table III.1, p.14, OIC (Opportunities Industrialization Center) column. Randomization period: p.1 ('November 1984 to December 1987'). Total N=3,965: Executive Summary, p.xiii. 30-month survey sample sizes: Table V.1, p.42. Target group: Executive Summary, p.xiii ('minority single mothers').</t>
        </is>
      </c>
      <c r="G82" t="inlineStr">
        <is>
          <t>MT employment: Table IV.1, 'OIC' panel, 'Average Monthly Employment Rate' row, 'Quarters 7 Through 10' column, impact=-1.1pp, SE=(3.7), p.22. Not significant. MT earnings: Table IV.1, 'OIC' panel, 'Average Monthly Earnings' row, 'Quarters 7 Through 10' column, impact=+$20, SE=(40), control mean=$323, p.22. Not significant.</t>
        </is>
      </c>
      <c r="H82" t="inlineStr">
        <is>
          <t>ITT regression-adjusted impact from OLS with personal characteristics controls (Burghardt et al. 1992, Chapter IV methodology). Includes treatment group members who never participated (ITT).</t>
        </is>
      </c>
      <c r="I82" t="inlineStr">
        <is>
          <t>Quarters 7-10 of the 30-month follow-up = months 19-30, midpoint ~month 24.5 ≈ 2 years after application. This fits medium-term per CKW classification (1-2 years).</t>
        </is>
      </c>
      <c r="J82" t="inlineStr">
        <is>
          <t>SE reported directly in Table IV.1 (in parentheses below coefficient).</t>
        </is>
      </c>
      <c r="K82" t="inlineStr">
        <is>
          <t>Table VI.1 (pp.48-49): MFSP program costs from social perspective = $5692 per participant (OIC (Opportunities Industrialization Center)), in 1986 dollars. Cross-check: text on p.47 rounds to $5700.</t>
        </is>
      </c>
      <c r="L82"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M82" t="inlineStr">
        <is>
          <t>OIC (Opportunities Industrialization Center) is a CBO (admin=private).</t>
        </is>
      </c>
      <c r="N82" t="inlineStr">
        <is>
          <t>No staffing agency partnerships described (Burghardt et al. 1992).</t>
        </is>
      </c>
      <c r="O82" t="inlineStr">
        <is>
          <t>OIC used in-house and cooperative arrangements; no employer curricula engagement (Burghardt et al. 1992).</t>
        </is>
      </c>
      <c r="P82" t="inlineStr">
        <is>
          <t>Counselors worked with job-ready trainees to identify openings and arrange interviews (Burghardt et al. 1992). These were counselors with multiple duties, not dedicated job developers per Peck definition.</t>
        </is>
      </c>
      <c r="Q82" t="inlineStr">
        <is>
          <t>No employer role in curriculum design (Burghardt et al. 1992).</t>
        </is>
      </c>
      <c r="R82" t="inlineStr">
        <is>
          <t>No employer hiring commitments described (Burghardt et al. 1992).</t>
        </is>
      </c>
      <c r="S82" t="inlineStr">
        <is>
          <t>private: The Minority Female Single Parent Demonstration was funded by the Rockefeller Foundation, with additional support from other private foundations. No significant government operational funding.</t>
        </is>
      </c>
      <c r="T82" t="inlineStr">
        <is>
          <t>private: All four MFSP operators were community-based organizations: Atlanta Urban League, Center for Employment Training, Opportunities Industrialization Center, and Wider Opportunities for Women.</t>
        </is>
      </c>
      <c r="U82" t="inlineStr">
        <is>
          <t>OIC: BEST program ~10 weeks plus skill training ~8+ weeks. Avg ~2 months per component. Burghardt et al. 1992. Duration approximate.</t>
        </is>
      </c>
      <c r="BK82"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BL82" t="inlineStr">
        <is>
          <t>Burghardt et al. 1992, Table VII.1, p.60
Burghardt et al. 1992, Table VII.1 (p.60): 'Percent in Job Skill Training and/or Basic Education' over 30-month follow-up. OIC: C=50.3%, T=85.0%, Impact=34.7*** (SE in table). This captures training from all sources.</t>
        </is>
      </c>
    </row>
    <row r="83">
      <c r="A83" t="inlineStr">
        <is>
          <t>Minority Female Single Parent Demonstration</t>
        </is>
      </c>
      <c r="B83" t="inlineStr">
        <is>
          <t>WOW (Wider Opportunities for Women)</t>
        </is>
      </c>
      <c r="C83" t="inlineStr">
        <is>
          <t>self-report (survey)</t>
        </is>
      </c>
      <c r="D83" t="inlineStr">
        <is>
          <t>Primary: training and education are the core services. Each CBO designed its program around classroom training (job-skill or remedial education). No subsidized employment component.</t>
        </is>
      </c>
      <c r="E83"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3" t="inlineStr">
        <is>
          <t>Demographics (age, race, education): Table III.1, p.14, WOW (Wider Opportunities for Women) column. Randomization period: p.1 ('November 1984 to December 1987'). Total N=3,965: Executive Summary, p.xiii. 30-month survey sample sizes: Table V.1, p.42. Target group: Executive Summary, p.xiii ('minority single mothers').</t>
        </is>
      </c>
      <c r="G83" t="inlineStr">
        <is>
          <t>MT employment: Table IV.1, 'WOW' panel, 'Average Monthly Employment Rate' row, 'Quarters 7 Through 10' column, impact=+5.1**pp, SE=(2.4), p.22. MT earnings: Table IV.1, 'WOW' panel, 'Average Monthly Earnings' row, 'Quarters 7 Through 10' column, impact=+$43, SE=(28), control mean=$477, p.22. Not significant.</t>
        </is>
      </c>
      <c r="H83" t="inlineStr">
        <is>
          <t>ITT regression-adjusted impact from OLS with personal characteristics controls (Burghardt et al. 1992, Chapter IV methodology). Includes treatment group members who never participated (ITT).</t>
        </is>
      </c>
      <c r="I83" t="inlineStr">
        <is>
          <t>Quarters 7-10 of the 30-month follow-up = months 19-30, midpoint ~month 24.5 ≈ 2 years after application. This fits medium-term per CKW classification (1-2 years).</t>
        </is>
      </c>
      <c r="J83" t="inlineStr">
        <is>
          <t>SE reported directly in Table IV.1 (in parentheses below coefficient).</t>
        </is>
      </c>
      <c r="K83" t="inlineStr">
        <is>
          <t>Table VI.1 (pp.48-49): MFSP program costs from social perspective = $2448 per participant (WOW (Wider Opportunities for Women)), in 1986 dollars. Cross-check: text on p.47 rounds to $2400.</t>
        </is>
      </c>
      <c r="L83"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M83" t="inlineStr">
        <is>
          <t>Wider Opportunities for Women is a CBO (admin=private).</t>
        </is>
      </c>
      <c r="N83" t="inlineStr">
        <is>
          <t>No staffing agency partnerships described (Burghardt et al. 1992).</t>
        </is>
      </c>
      <c r="O83" t="inlineStr">
        <is>
          <t>WOW used general employability model; no employer curricula engagement (Burghardt et al. 1992).</t>
        </is>
      </c>
      <c r="P83" t="inlineStr">
        <is>
          <t>Job openings posted; individual help at the request of the trainee (Burghardt et al. 1992). No dedicated job development staff. Weakest job placement approach among MFSP sites.</t>
        </is>
      </c>
      <c r="Q83" t="inlineStr">
        <is>
          <t>No employer role in curriculum design (Burghardt et al. 1992).</t>
        </is>
      </c>
      <c r="R83" t="inlineStr">
        <is>
          <t>No employer hiring commitments described (Burghardt et al. 1992).</t>
        </is>
      </c>
      <c r="S83" t="inlineStr">
        <is>
          <t>private: The Minority Female Single Parent Demonstration was funded by the Rockefeller Foundation, with additional support from other private foundations. No significant government operational funding.</t>
        </is>
      </c>
      <c r="T83" t="inlineStr">
        <is>
          <t>private: All four MFSP operators were community-based organizations: Atlanta Urban League, Center for Employment Training, Opportunities Industrialization Center, and Wider Opportunities for Women.</t>
        </is>
      </c>
      <c r="U83" t="inlineStr">
        <is>
          <t>WOW: duration not clearly specified in Burghardt et al. 1992.</t>
        </is>
      </c>
      <c r="BK83"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BL83" t="inlineStr">
        <is>
          <t>Burghardt et al. 1992, Table VII.1, p.60
Burghardt et al. 1992, Table VII.1 (p.60): 'Percent in Job Skill Training and/or Basic Education' over 30-month follow-up. WOW: C=48.6%, T=82.1%, Impact=33.5*** (SE in table). This captures training from all sources.</t>
        </is>
      </c>
    </row>
    <row r="84">
      <c r="A84" t="inlineStr">
        <is>
          <t>CET Replication</t>
        </is>
      </c>
      <c r="B84" t="inlineStr">
        <is>
          <t>High-fidelity sites</t>
        </is>
      </c>
      <c r="C84" t="inlineStr">
        <is>
          <t>self-report (survey)</t>
        </is>
      </c>
      <c r="D84" t="inlineStr">
        <is>
          <t>Primary: vocational skills training in a worklike setting is the core service. The CET model emphasizes occupational skills training as its central component, with remedial education integrated into the vocational curriculum rather than provided separately.</t>
        </is>
      </c>
      <c r="E84" t="inlineStr">
        <is>
          <t>has_classroom=1: formal occupational skills training in classroom/workshop setting. has_ojt=0: training occurs in a worklike environment but is not on-the-job training at an employer. has_jsa=1: CET provides active job placement assistance through a dedicated job developer. has_multiple_components=1: training + integrated remedial education + job placement + support services.</t>
        </is>
      </c>
      <c r="F84" t="inlineStr">
        <is>
          <t>Demographics: Table 1.2, p.14 (full sample at 30 months, time-invariant characteristics). Site fidelity classification: Table 1.1, p.11. Total N=1,136 (595T + 541C): from earlier 30-month report and Table 3.2. Randomization period: p.7 ('began in 1995 and continued through 1999'). High-fidelity sites (4 CA sites, N=393): Chapter 4, p.96. Survey response rate for 54-month survey: Appendix B.</t>
        </is>
      </c>
      <c r="G84" t="inlineStr">
        <is>
          <t>LT earnings (Year 5): Table 3.5, 'High-fidelity sites' panel, 'Annual Earnings' section, 'Year 5' row, p.69. Impact=$1331.5, p-value=0.405. Control group mean=$14671. Also Year 4: impact=$151.2, p=0.92, ctrl=$15488.</t>
        </is>
      </c>
      <c r="H84" t="inlineStr">
        <is>
          <t>ITT regression-adjusted impact from OLS, controlling for pre-random assignment characteristics of sample members. Includes those assigned to CET who did not participate (ITT). Table notes (e.g., Table 3.5, p.69): 'Estimates were regression-adjusted using ordinary least squares.'</t>
        </is>
      </c>
      <c r="I84" t="inlineStr">
        <is>
          <t>Year 5 = months 49-54 after random assignment ≈ 4.5 years. This is clearly long-term per CKW classification (3+ years). Year 2 would be medium-term but by-fidelity Year 2 data not extracted from available pages. Year 5 chosen as the long-term estimate closest to the center of the long-term bin.</t>
        </is>
      </c>
      <c r="J84" t="inlineStr">
        <is>
          <t>SE derived from two-sided p-value: z = Φ^{-1}(1 - p/2), SE = |impact|/z.</t>
        </is>
      </c>
      <c r="K84" t="inlineStr">
        <is>
          <t>Not available. Footnote 5 on p.99: 'A formal benefit-cost analysis was not part of this evaluation.'</t>
        </is>
      </c>
      <c r="L84" t="inlineStr">
        <is>
          <t>No medium-term or short-term estimates extracted because by-fidelity data for Years 1-2 were not available from the pages read (Table 3.5 shows only Years 4-5 by fidelity). Full-sample Table 3.2 has Year 1-5 data but Experiments v10 specifies high/low-fidelity subgroups. n_treatment and n_control are estimated from overall T/C ratio, not reported separately by fidelity. SE derived from p-value; for Year 5 high-fidelity (impact=$1,332, p=0.405), SE≈1599.3 — very imprecise due to small sample (N≈332). Demographics are for full sample; high-fidelity sites differ substantially (93% Hispanic). pct_no_hs_diploma not available at baseline. No cost data available. The CET Replication found no significant earnings or employment effects for any subgroup.</t>
        </is>
      </c>
      <c r="M84" t="inlineStr">
        <is>
          <t>CET replication sites operated by CBOs (admin=private).</t>
        </is>
      </c>
      <c r="N84" t="inlineStr">
        <is>
          <t>No staffing agency partnerships described (Miller et al. 2005).</t>
        </is>
      </c>
      <c r="O84" t="inlineStr">
        <is>
          <t>Desc explicitly states 'employer involvement in curriculum design and job placement' (Miller et al. 2005).</t>
        </is>
      </c>
      <c r="P84" t="inlineStr">
        <is>
          <t>Job placement described as a core CET model component.</t>
        </is>
      </c>
      <c r="Q84" t="inlineStr">
        <is>
          <t>Desc explicitly states 'employer involvement in curriculum design' (Miller et al. 2005).</t>
        </is>
      </c>
      <c r="R84" t="inlineStr">
        <is>
          <t>No formal employer commitment to hire documented.</t>
        </is>
      </c>
      <c r="S84" t="inlineStr">
        <is>
          <t>public: The CET Replication study was funded by DOL. Program operations at the replication sites were funded through DOL grants.</t>
        </is>
      </c>
      <c r="T84" t="inlineStr">
        <is>
          <t>private: CET and the replication site operators were nonprofit organizations.</t>
        </is>
      </c>
      <c r="U84" t="inlineStr">
        <is>
          <t>High-fidelity CET sites: avg 6.5 months, 670 hours. Miller et al. 2003, Table 2.4.</t>
        </is>
      </c>
      <c r="BK84" t="inlineStr">
        <is>
          <t>Miller et al. 2005, Table 2.4, pp.34-35
Miller et al. 2005, Table 2.4 (p.34-35): High-fidelity sites, 'Participation in training activities' Years 1-5: Program=41.1%, Control=28.2%, Diff=12.9**. C was barred from CET for 24 months (p.12) but could access other training. The 'training activities' row captures all vocational training (CET + non-CET). Impact reflects the net effect of CET access. Control's training rate (28.2%) reflects high motivation to seek training independently.</t>
        </is>
      </c>
      <c r="BL84" t="inlineStr">
        <is>
          <t>Miller et al. 2005, Table 2.2, p.27 (full sample only)
Miller et al. 2005: Combined 'training, education, and other activities' participation rate not reported separately by site fidelity in Table 2.4. Full-sample Table 2.2 (p.27) shows: Years 1-5, 'Participation in training, education, and other activities': P=70.7%, C=69.9%, Diff=0.8 (ns). By-fidelity breakdown for this combined measure not available.</t>
        </is>
      </c>
    </row>
    <row r="85">
      <c r="A85" t="inlineStr">
        <is>
          <t>CET Replication</t>
        </is>
      </c>
      <c r="B85" t="inlineStr">
        <is>
          <t>Medium/low-fidelity sites</t>
        </is>
      </c>
      <c r="C85" t="inlineStr">
        <is>
          <t>self-report (survey)</t>
        </is>
      </c>
      <c r="D85" t="inlineStr">
        <is>
          <t>Primary: vocational skills training in a worklike setting is the core service. The CET model emphasizes occupational skills training as its central component, with remedial education integrated into the vocational curriculum rather than provided separately.</t>
        </is>
      </c>
      <c r="E85" t="inlineStr">
        <is>
          <t>has_classroom=1: formal occupational skills training in classroom/workshop setting. has_ojt=0: training occurs in a worklike environment but is not on-the-job training at an employer. has_jsa=1: CET provides active job placement assistance through a dedicated job developer. has_multiple_components=1: training + integrated remedial education + job placement + support services.</t>
        </is>
      </c>
      <c r="F85" t="inlineStr">
        <is>
          <t>Demographics: Table 1.2, p.14 (full sample at 30 months, time-invariant characteristics). Site fidelity classification: Table 1.1, p.11. Total N=1,136 (595T + 541C): from earlier 30-month report and Table 3.2. Randomization period: p.7 ('began in 1995 and continued through 1999'). High-fidelity sites (4 CA sites, N=393): Chapter 4, p.96. Survey response rate for 54-month survey: Appendix B.</t>
        </is>
      </c>
      <c r="G85" t="inlineStr">
        <is>
          <t>LT earnings (Year 5): Table 3.5, 'Medium/low-fidelity sites' panel, 'Annual Earnings' section, 'Year 5' row, p.69. Impact=$-719.0, p-value=0.471. Control group mean=$12078. Also Year 4: impact=$-683.9, p=0.63, ctrl=$11919.</t>
        </is>
      </c>
      <c r="H85" t="inlineStr">
        <is>
          <t>ITT regression-adjusted impact from OLS, controlling for pre-random assignment characteristics of sample members. Includes those assigned to CET who did not participate (ITT). Table notes (e.g., Table 3.5, p.69): 'Estimates were regression-adjusted using ordinary least squares.'</t>
        </is>
      </c>
      <c r="I85" t="inlineStr">
        <is>
          <t>Year 5 = months 49-54 after random assignment ≈ 4.5 years. This is clearly long-term per CKW classification (3+ years). Year 2 would be medium-term but by-fidelity Year 2 data not extracted from available pages. Year 5 chosen as the long-term estimate closest to the center of the long-term bin.</t>
        </is>
      </c>
      <c r="J85" t="inlineStr">
        <is>
          <t>SE derived from two-sided p-value: z = Φ^{-1}(1 - p/2), SE = |impact|/z.</t>
        </is>
      </c>
      <c r="K85" t="inlineStr">
        <is>
          <t>Not available. Footnote 5 on p.99: 'A formal benefit-cost analysis was not part of this evaluation.'</t>
        </is>
      </c>
      <c r="L85" t="inlineStr">
        <is>
          <t>No medium-term or short-term estimates extracted because by-fidelity data for Years 1-2 were not available from the pages read (Table 3.5 shows only Years 4-5 by fidelity). Full-sample Table 3.2 has Year 1-5 data but Experiments v10 specifies high/low-fidelity subgroups. n_treatment and n_control are estimated from overall T/C ratio, not reported separately by fidelity. SE derived from p-value; for Year 5 high-fidelity (impact=$1,332, p=0.405), SE≈1599.3 — very imprecise due to small sample (N≈332). Demographics are for full sample; high-fidelity sites differ substantially (93% Hispanic). pct_no_hs_diploma not available at baseline. No cost data available. The CET Replication found no significant earnings or employment effects for any subgroup.</t>
        </is>
      </c>
      <c r="M85" t="inlineStr">
        <is>
          <t>CET replication sites operated by CBOs (admin=private).</t>
        </is>
      </c>
      <c r="N85" t="inlineStr">
        <is>
          <t>No staffing agency partnerships described (Miller et al. 2005).</t>
        </is>
      </c>
      <c r="O85" t="inlineStr">
        <is>
          <t>Desc explicitly states 'employer involvement in curriculum design and job placement' (Miller et al. 2005).</t>
        </is>
      </c>
      <c r="P85" t="inlineStr">
        <is>
          <t>Job placement described as a core CET model component.</t>
        </is>
      </c>
      <c r="Q85" t="inlineStr">
        <is>
          <t>Desc explicitly states 'employer involvement in curriculum design' (Miller et al. 2005).</t>
        </is>
      </c>
      <c r="R85" t="inlineStr">
        <is>
          <t>No formal employer commitment to hire documented.</t>
        </is>
      </c>
      <c r="S85" t="inlineStr">
        <is>
          <t>public: The CET Replication study was funded by DOL. Program operations at the replication sites were funded through DOL grants.</t>
        </is>
      </c>
      <c r="T85" t="inlineStr">
        <is>
          <t>private: CET and the replication site operators were nonprofit organizations.</t>
        </is>
      </c>
      <c r="U85" t="inlineStr">
        <is>
          <t>Medium/low-fidelity CET sites: avg 6.0 months, 595 hours. Miller et al. 2003, Table 2.4.</t>
        </is>
      </c>
      <c r="BK85" t="inlineStr">
        <is>
          <t>Miller et al. 2005, Table 2.4, pp.34-35
Miller et al. 2005, Table 2.4 (p.34-35): Med/low-fidelity sites, 'Participation in training activities' Years 1-5: Program=37.0%, Control=34.0%, Diff=3.0. C was barred from CET for 24 months (p.12) but could access other training. The 'training activities' row captures all vocational training (CET + non-CET). Impact reflects the net effect of CET access. Control's training rate (34.0%) reflects high motivation to seek training independently.</t>
        </is>
      </c>
      <c r="BL85" t="inlineStr">
        <is>
          <t>Miller et al. 2005, Table 2.2, p.27 (full sample only)
Miller et al. 2005: Combined 'training, education, and other activities' participation rate not reported separately by site fidelity in Table 2.4. Full-sample Table 2.2 (p.27) shows: Years 1-5, 'Participation in training, education, and other activities': P=70.7%, C=69.9%, Diff=0.8 (ns). By-fidelity breakdown for this combined measure not available.</t>
        </is>
      </c>
    </row>
    <row r="86">
      <c r="A86" t="inlineStr">
        <is>
          <t>Baltimore Options Program</t>
        </is>
      </c>
      <c r="B86" t="inlineStr">
        <is>
          <t>AFDC applicants and recipients</t>
        </is>
      </c>
      <c r="C86" t="inlineStr">
        <is>
          <t>UI wage records</t>
        </is>
      </c>
      <c r="D86" t="inlineStr">
        <is>
          <t>Secondary: job search workshops were the most frequently used component (~30% of registrants), with education/training at ~20%. The program functioned as a 'switching station' — training was one of several components, not the primary service.</t>
        </is>
      </c>
      <c r="E86" t="inlineStr">
        <is>
          <t>has_classroom=1: education and skills training available (~20% participated). has_ojt=0: work experience was unpaid at government/nonprofit sites, not structured OJT with private employers. has_jsa=1: job search workshops were the most used component (~30%). has_multiple_components=1: job search + work experience + education/training.</t>
        </is>
      </c>
      <c r="F86" t="inlineStr">
        <is>
          <t>Demographics: Table 2.2 (pp.33-35), AFDC column. N=1,331 T, 1,372 C: Table 5.1 sample size row (p.108). Randomization period: Table 5.1 header (November 1982 – December 1983). Early subsample N=499 T, 518 C: Table 5.3 sample size row (p.118). Cost ~$1,000: exec summary p.xxxv. mean_years_schooling: 'Average Highest Grade Completed' = 10.5 from Friedlander et al. 1985, Table 2.2 (pp. 26-27), Total column.</t>
        </is>
      </c>
      <c r="G86" t="inlineStr">
        <is>
          <t>ST earnings: Table 5.1, 'Average Total Earnings, Quarters 2-5', impact=+$176.41, control=$1,758.74, p.108. Not statistically significant. ST employment: Table 5.1, 'Ever Employed', Quarter 5 row, impact=+5.0***, control=31.6%, p.108. MT earnings: Table 5.3, 'Average Total Earnings, Quarters 2-8', impact=+$668.22*, control=$3,223.29, p.117. MT employment: Table 5.3, 'Ever Employed', Quarter 8 row, impact=+2.4, control=34.9%, p.117.</t>
        </is>
      </c>
      <c r="H86" t="inlineStr">
        <is>
          <t>ITT regression-adjusted impact from OLS with pre-random-assignment demographic controls (Table 5.1 notes). Includes all randomized individuals regardless of participation.</t>
        </is>
      </c>
      <c r="I86" t="inlineStr">
        <is>
          <t>ST: Quarters 2-5 = ~15 months after RA → 1.25 years → short-term per CKW. MT: Quarters 2-8 = ~24 months after RA → 2.0 years → medium-term per CKW. MT uses early subsample with longer follow-up.</t>
        </is>
      </c>
      <c r="J86" t="inlineStr">
        <is>
          <t>SEs not reported in this 1980s MDRC report. Only significance stars from two-tailed t-tests.</t>
        </is>
      </c>
      <c r="K86" t="inlineStr">
        <is>
          <t>Executive summary p.xxxv: 'total cost of the program was approximately $1,000 per AFDC experimental' ($800 operating + $200 stipends/support). Nominal dollars (1982-1983). Gross cost per experimental.</t>
        </is>
      </c>
      <c r="L86" t="inlineStr">
        <is>
          <t>SEs not reported — cannot compute effect sizes without additional information. MT uses different (smaller) sample than ST: early subsample (N=1,017) vs full sample (N=2,703). Q5 employment is a point-in-time quarterly rate; cumulative 'ever employed' rate Q2-5 was 7.0*** but we report Q5 rate as it better represents a snapshot. Work experience component classified as not-OJT because it was unpaid at government/nonprofit sites.</t>
        </is>
      </c>
      <c r="M86" t="inlineStr">
        <is>
          <t>Baltimore Options: Public mandatory welfare program (admin=public). Job search workshops, work experience, training referrals. No CBO lead, no employer engagement in curriculum.</t>
        </is>
      </c>
      <c r="N86" t="inlineStr">
        <is>
          <t>Baltimore Options: Public mandatory welfare program (admin=public). Job search workshops, work experience, training referrals. No CBO lead, no employer engagement in curriculum.</t>
        </is>
      </c>
      <c r="O86" t="inlineStr">
        <is>
          <t>Baltimore Options: Public mandatory welfare program (admin=public). Job search workshops, work experience, training referrals. No CBO lead, no employer engagement in curriculum.</t>
        </is>
      </c>
      <c r="P86" t="inlineStr">
        <is>
          <t>Baltimore Options: Public mandatory welfare program (admin=public). Job search workshops, work experience, training referrals. No CBO lead, no employer engagement in curriculum.</t>
        </is>
      </c>
      <c r="Q86" t="inlineStr">
        <is>
          <t>Baltimore Options: Public mandatory welfare program (admin=public). Job search workshops, work experience, training referrals. No CBO lead, no employer engagement in curriculum.</t>
        </is>
      </c>
      <c r="R86" t="inlineStr">
        <is>
          <t>Baltimore Options: Public mandatory welfare program (admin=public). Job search workshops, work experience, training referrals. No CBO lead, no employer engagement in curriculum.</t>
        </is>
      </c>
      <c r="S86" t="inlineStr">
        <is>
          <t>public: Baltimore Options was a Maryland state welfare program funded by state and federal welfare appropriations.</t>
        </is>
      </c>
      <c r="T86" t="inlineStr">
        <is>
          <t>public: Administered by the Maryland Department of Human Resources through the Baltimore City welfare office.</t>
        </is>
      </c>
      <c r="U86" t="inlineStr">
        <is>
          <t>BOP: 3-week job search + 13-week work experience = 16 weeks ≈ 4 months. Friedlander et al. 1985.</t>
        </is>
      </c>
      <c r="BK86" t="inlineStr">
        <is>
          <t>Friedlander et al. 1985, Table 4.1 (report p.60). 'Any Active Component': E=44.5%, C=3.4%, impact=41.1pp***. Sample: E=1566, C=1604.</t>
        </is>
      </c>
      <c r="BL86" t="inlineStr">
        <is>
          <t>Friedlander et al. 1985, Table 4.1 (report p.60). 'Education and Training': E=18.6%, C=1.0%, impact=17.6pp***. Sample: E=1566, C=1604.</t>
        </is>
      </c>
    </row>
    <row r="87">
      <c r="A87" t="inlineStr">
        <is>
          <t>Maine TOPS</t>
        </is>
      </c>
      <c r="B87" t="inlineStr">
        <is>
          <t>Maine</t>
        </is>
      </c>
      <c r="C87" t="inlineStr">
        <is>
          <t>UI wage records</t>
        </is>
      </c>
      <c r="D87" t="inlineStr">
        <is>
          <t>Primary: TOPS is fundamentally a training program — pre-vocational classroom instruction followed by OJT with wage subsidies. Training was the core service; job search was ancillary (not part of program design).</t>
        </is>
      </c>
      <c r="E87" t="inlineStr">
        <is>
          <t>has_classroom=1: pre-vocational classroom training. has_ojt=1: on-the-job training with 50% wage subsidies at private employers. has_jsa=1: 32% were active in job search, though not formally part of design. has_multiple_components=1: classroom + OJT + job search.</t>
        </is>
      </c>
      <c r="F87" t="inlineStr">
        <is>
          <t>N=444 (297 T, 147 C): exec summary p.xii. 2:1 ratio: p.xii. Demographics: Table 2.3 (pp.24-25) — age, race, education, marital status. Mean age 30.1: Table 2.3. White 97.9%: Table 2.3. No diploma 25.5%: Table 2.3. Cost $2,627: exec summary p.xxvi. Enrollment period 15 months: p.xii. mean_years_schooling: 'Average Highest Grade Completed' = 11.3 from Auspos, Cave, and Long 1988, Table 2.3 (pp. 27-28), Total column.</t>
        </is>
      </c>
      <c r="G87" t="inlineStr">
        <is>
          <t>ST earnings Q2-6: exec summary p.xviii, '$555... positive but not statistically significant', control mean $2,300, from Table 1 line 'Quarters 2-6'. MT earnings Q7-11: exec summary p.xviii-xix, 'statistically significant $1,190 per experimental', control mean $3,298, from Table 1 'Quarters 7-11'. Cross-check: Q2-11 total $1,745 = $555 + $1,190 ✓.</t>
        </is>
      </c>
      <c r="H87" t="inlineStr">
        <is>
          <t>Experimental impact from regression-adjusted differences (implied by MDRC standard methodology). ITT — includes all randomized experimentals regardless of participation.</t>
        </is>
      </c>
      <c r="I87" t="inlineStr">
        <is>
          <t>ST: Q2-6 = ~1.5 years (in-program period, training ongoing through ~Q6). MT: Q7-11 = months 18-33 after RA, midpoint ~25 months = ~2.1 years → medium-term per CKW. Classified as mt_followup_years=2.75 (endpoint of follow-up period).</t>
        </is>
      </c>
      <c r="J87" t="inlineStr">
        <is>
          <t>SEs not reported. Only significance stars from two-tailed t-tests.</t>
        </is>
      </c>
      <c r="K87" t="inlineStr">
        <is>
          <t>Exec summary p.xxvi: total program cost $2,627 per experimental, in 1985 dollars. Net cost after subtracting control group employment services = $2,244. Gross cost used.</t>
        </is>
      </c>
      <c r="L87" t="inlineStr">
        <is>
          <t>SEs not reported — cannot compute precise effect sizes. Small sample (N=444); 2:1 randomization reduces effective sample size further. MT classified at 2.75 years (endpoint), which is at the border of MT and LT. Employment impacts omitted: paper reports 'ever employed' rates and quarterly rates but no clear summary employment rate at a single point in time with SE. Nearly all white (98%) — very limited demographic diversity. Substantial control group cross-over: 51% of controls participated in employment activities.</t>
        </is>
      </c>
      <c r="M87" t="inlineStr">
        <is>
          <t>Maine TOPS: Public program (admin=public). Pre-vocational training + OJT with wage subsidies. Employers received subsidies for OJT but no evidence of curriculum engagement or hiring commitment beyond subsidized period.</t>
        </is>
      </c>
      <c r="N87" t="inlineStr">
        <is>
          <t>Maine TOPS: Public program (admin=public). Pre-vocational training + OJT with wage subsidies. Employers received subsidies for OJT but no evidence of curriculum engagement or hiring commitment beyond subsidized period.</t>
        </is>
      </c>
      <c r="O87" t="inlineStr">
        <is>
          <t>Maine TOPS: Public program (admin=public). Pre-vocational training + OJT with wage subsidies. Employers received subsidies for OJT but no evidence of curriculum engagement or hiring commitment beyond subsidized period.</t>
        </is>
      </c>
      <c r="P87" t="inlineStr">
        <is>
          <t>Maine TOPS: Public program (admin=public). Pre-vocational training + OJT with wage subsidies. Employers received subsidies for OJT but no evidence of curriculum engagement or hiring commitment beyond subsidized period.</t>
        </is>
      </c>
      <c r="Q87" t="inlineStr">
        <is>
          <t>Maine TOPS: Public program (admin=public). Pre-vocational training + OJT with wage subsidies. Employers received subsidies for OJT but no evidence of curriculum engagement or hiring commitment beyond subsidized period.</t>
        </is>
      </c>
      <c r="R87" t="inlineStr">
        <is>
          <t>Maine TOPS: Public program (admin=public). Pre-vocational training + OJT with wage subsidies. Employers received subsidies for OJT but no evidence of curriculum engagement or hiring commitment beyond subsidized period.</t>
        </is>
      </c>
      <c r="S87" t="inlineStr">
        <is>
          <t>public: Maine Training Opportunities in the Private Sector was funded under the federal WIN (Work Incentive) program with state matching funds.</t>
        </is>
      </c>
      <c r="T87" t="inlineStr">
        <is>
          <t>public: Administered by the Maine Department of Human Services.</t>
        </is>
      </c>
      <c r="U87" t="inlineStr">
        <is>
          <t>Maine TOPS: 2-5 week pre-voc + up to 12 weeks work experience + avg 19 weeks OJT. Total ~33 weeks ≈ 8 months. Auspos et al. 1988. Duration approximate.</t>
        </is>
      </c>
      <c r="BK87" t="inlineStr">
        <is>
          <t>Auspos, Cave, and Long 1988, Table 4.1 (report p.77). 'Participated in Either Pre-Voc Training, Work Experience or OJT': E=89.6%, C=22.4%***. N: E=297, C=147. Note: Controls had HIGHER rates of education (14.3% vs 6.1%) and training (11.6% vs 3.0%) because experimentals were channeled into TOPS-specific sequence.</t>
        </is>
      </c>
      <c r="BL87" t="inlineStr">
        <is>
          <t>Auspos, Cave, and Long 1988, Table 4.1 (report p.77). 'Participated in Any Activity': E=92.9%, C=51.7%***. N: E=297, C=147. Includes job search, pre-voc, WE, OJT, education, training.</t>
        </is>
      </c>
    </row>
    <row r="88">
      <c r="A88" t="inlineStr">
        <is>
          <t>New Jersey Grant Diversion</t>
        </is>
      </c>
      <c r="B88" t="inlineStr">
        <is>
          <t>New Jersey</t>
        </is>
      </c>
      <c r="C88" t="inlineStr">
        <is>
          <t>UI wage records</t>
        </is>
      </c>
      <c r="D88" t="inlineStr">
        <is>
          <t>Primary: the entire program is an OJT intervention using grant diversion to subsidize wages. There is no other major program component.</t>
        </is>
      </c>
      <c r="E88" t="inlineStr">
        <is>
          <t>has_classroom=0: no formal classroom instruction. has_ojt=1: on-the-job training at private employers is the sole intervention. has_jsa=0: no distinct job search component; placement into OJT positions was arranged by program staff. has_multiple_components=0: OJT is the single intervention.</t>
        </is>
      </c>
      <c r="F88" t="inlineStr">
        <is>
          <t>N=1,943 randomized: exec summary. ST sample N=1,604 (814 T, 790 C): Table 1 (p.11). MT early sample N=994 (508 T, 486 C): Table 2 (p.13). Randomization period Oct 1984 – June 1987: exec summary. Cost: Table 3 (p.15). Demographics: exec summary. mean_years_schooling: 'Average Highest Grade Completed' = 11.2 from Freedman, Bryant, and Cave 1988, baseline characteristics table, Total column.</t>
        </is>
      </c>
      <c r="G88" t="inlineStr">
        <is>
          <t>ST earnings Q1-4: Table 1 (p.11), 'Total Earnings' row, diff=$634.28***, control mean=$2,865.78. ST employment Q1-4: Table 1 (p.11), 'Percent ever employed' row, diff=7.4%***, control=74.7%. MT earnings Q5-7: Table 2 (p.13), 'Total Earnings Quarters 5-7' row, diff=$468.32*, control mean=$3,159.10.</t>
        </is>
      </c>
      <c r="H88" t="inlineStr">
        <is>
          <t>Experimental impact from regression-adjusted differences (MDRC standard methodology). ITT.</t>
        </is>
      </c>
      <c r="I88" t="inlineStr">
        <is>
          <t>ST: Q1-4 = ~12 months after RA → short-term per CKW. MT: Q5-7 = ~12-21 months after RA, midpoint ~16 months = ~1.3 years → medium-term per CKW (&gt;1 year).</t>
        </is>
      </c>
      <c r="J88" t="inlineStr">
        <is>
          <t>SEs not reported. Only significance stars from two-tailed t-tests.</t>
        </is>
      </c>
      <c r="K88" t="inlineStr">
        <is>
          <t>Table 3 (p.15): net cost per experimental = $860 (1986 dollars). Gross cost = $1,642. Net cost deducts WIN/JTPA services received by controls.</t>
        </is>
      </c>
      <c r="L88" t="inlineStr">
        <is>
          <t>SEs not reported. Original PDF is 477MB scanned document with poor OCR — some numbers may be approximate readings from extracted pages. Demographics not fully extracted due to OCR quality; approximate values used. MT uses different (smaller, earlier) sample than ST. MT classified at 1.75 years, which is solidly medium-term.</t>
        </is>
      </c>
      <c r="M88" t="inlineStr">
        <is>
          <t>NJ Grant Diversion: Public OJT program (admin=public). AFDC grants diverted to subsidize wages. No CBO, no employer engagement in curriculum.</t>
        </is>
      </c>
      <c r="N88" t="inlineStr">
        <is>
          <t>NJ Grant Diversion: Public OJT program (admin=public). AFDC grants diverted to subsidize wages. No CBO, no employer engagement in curriculum.</t>
        </is>
      </c>
      <c r="O88" t="inlineStr">
        <is>
          <t>NJ Grant Diversion: Public OJT program (admin=public). AFDC grants diverted to subsidize wages. No CBO, no employer engagement in curriculum.</t>
        </is>
      </c>
      <c r="P88" t="inlineStr">
        <is>
          <t>NJ Grant Diversion: Public OJT program (admin=public). AFDC grants diverted to subsidize wages. No CBO, no employer engagement in curriculum.</t>
        </is>
      </c>
      <c r="Q88" t="inlineStr">
        <is>
          <t>NJ Grant Diversion: Public OJT program (admin=public). AFDC grants diverted to subsidize wages. No CBO, no employer engagement in curriculum.</t>
        </is>
      </c>
      <c r="R88" t="inlineStr">
        <is>
          <t>NJ Grant Diversion: Public OJT program (admin=public). AFDC grants diverted to subsidize wages. No CBO, no employer engagement in curriculum.</t>
        </is>
      </c>
      <c r="S88" t="inlineStr">
        <is>
          <t>public: New Jersey Grant Diversion was a state demonstration funded by diverting existing welfare grant funds plus state/federal welfare appropriations.</t>
        </is>
      </c>
      <c r="T88" t="inlineStr">
        <is>
          <t>public: Administered by the New Jersey Department of Human Services.</t>
        </is>
      </c>
      <c r="U88" t="inlineStr">
        <is>
          <t>NJ Grant Diversion: up to 6 months subsidized OJT. Freedman et al. 1988.</t>
        </is>
      </c>
      <c r="BK88" t="inlineStr">
        <is>
          <t>Freedman, Bryant, and Cave 1988, Executive Summary (p.xvi) and Table 3.2 (early sample: 40.7%). Full sample: 'Approximately 43 percent of the experimentals actually worked in OJT positions.' Controls barred from OJT. N: short-term sample E=814, C=790; early sample E=508, C=486.</t>
        </is>
      </c>
      <c r="BL88" t="inlineStr">
        <is>
          <t>Freedman, Bryant, and Cave 1988, Table 3.3 (p.54-55). 'Active in any WIN/JTPA activity': E=83.9%, C=73.0%***. Includes job search (~62% E, ~66% C), work experience (~7% E, ~8% C), and JTPA ed/training (~21% E, ~17% C). OJT alone accounts for most of the differential. Early sample N: E=508, C=486.</t>
        </is>
      </c>
    </row>
    <row r="89">
      <c r="A89" t="inlineStr">
        <is>
          <t>Virginia Employment Services Program</t>
        </is>
      </c>
      <c r="B89" t="inlineStr">
        <is>
          <t>Virginia (statewide)</t>
        </is>
      </c>
      <c r="C89" t="inlineStr">
        <is>
          <t>UI wage records</t>
        </is>
      </c>
      <c r="D89" t="inlineStr">
        <is>
          <t>Secondary: job search was the primary activity (~50% participated). Education/vocational training referrals (~12%) did not differ between experimental and control groups, so training was not an effective distinguishing component of treatment.</t>
        </is>
      </c>
      <c r="E89" t="inlineStr">
        <is>
          <t>has_classroom=1: education/vocational training referrals available (~12%). has_ojt=0: no OJT component. Work experience was unpaid at government sites. has_jsa=1: job search was the primary activity (~50%). has_multiple_components=1: job search + work experience + training referrals.</t>
        </is>
      </c>
      <c r="F89" t="inlineStr">
        <is>
          <t>N=3,184 total: exec summary. Applicants 40%, recipients 60%: exec summary. Demographics: exec summary pp.8-12. Cost $388: exec summary. Randomization period 1983-1984: exec summary.</t>
        </is>
      </c>
      <c r="G89" t="inlineStr">
        <is>
          <t>ST earnings Q2-4: Table 1 (exec summary p.11), 'Total Earnings Quarters 2-4', diff=+$80.89, control=$1,038.16. Not significant. Source table: Table 4.2. ST employment Q2-4: Table 1 (p.11), 'Employed at least one quarter, Q2-4', diff=+3.3*, control=40.5%.</t>
        </is>
      </c>
      <c r="H89" t="inlineStr">
        <is>
          <t>Experimental impact from regression-adjusted differences (MDRC standard methodology). ITT.</t>
        </is>
      </c>
      <c r="I89" t="inlineStr">
        <is>
          <t>ST: Q2-4 = ~9 months after RA → short-term per CKW. No longer follow-up available for full sample.</t>
        </is>
      </c>
      <c r="J89" t="inlineStr">
        <is>
          <t>SEs not reported. Only significance stars from two-tailed t-tests.</t>
        </is>
      </c>
      <c r="K89" t="inlineStr">
        <is>
          <t>Executive summary: $388 per experimental, gross cost, nominal dollars.</t>
        </is>
      </c>
      <c r="L89" t="inlineStr">
        <is>
          <t>Only 9-month follow-up available — very short. SEs not reported. N per group estimated as half of total (1,592 each) — exact split not confirmed. Earnings impact not significant despite employment impact being significant, suggesting employment gains were in low-wage jobs. Training referral rates identical across groups — training is nominally present but does not distinguish treatment from control.</t>
        </is>
      </c>
      <c r="M89" t="inlineStr">
        <is>
          <t>Virginia ESP: Public statewide welfare program (admin=public). Job search emphasis. Minimal training component. No CBO, no employer engagement.</t>
        </is>
      </c>
      <c r="N89" t="inlineStr">
        <is>
          <t>Virginia ESP: Public statewide welfare program (admin=public). Job search emphasis. Minimal training component. No CBO, no employer engagement.</t>
        </is>
      </c>
      <c r="O89" t="inlineStr">
        <is>
          <t>Virginia ESP: Public statewide welfare program (admin=public). Job search emphasis. Minimal training component. No CBO, no employer engagement.</t>
        </is>
      </c>
      <c r="P89" t="inlineStr">
        <is>
          <t>Virginia ESP: Public statewide welfare program (admin=public). Job search emphasis. Minimal training component. No CBO, no employer engagement.</t>
        </is>
      </c>
      <c r="Q89" t="inlineStr">
        <is>
          <t>Virginia ESP: Public statewide welfare program (admin=public). Job search emphasis. Minimal training component. No CBO, no employer engagement.</t>
        </is>
      </c>
      <c r="R89" t="inlineStr">
        <is>
          <t>Virginia ESP: Public statewide welfare program (admin=public). Job search emphasis. Minimal training component. No CBO, no employer engagement.</t>
        </is>
      </c>
      <c r="S89" t="inlineStr">
        <is>
          <t>public: Virginia Employment Services Program was a state welfare program funded by state and federal welfare/JTPA funds.</t>
        </is>
      </c>
      <c r="T89" t="inlineStr">
        <is>
          <t>public: Administered by the Virginia Department of Social Services statewide.</t>
        </is>
      </c>
      <c r="U89" t="inlineStr">
        <is>
          <t>Virginia ESP: job search assistance (up to 4 weeks) followed by periodic re-enrollment every 6 months. Not a fixed-duration training program. Riccio et al. 1986. Duration ambiguous.</t>
        </is>
      </c>
      <c r="BK89" t="inlineStr">
        <is>
          <t>Riccio et al. 1986, Table 3.3 (report p.68). 'Ever Active' in ESP: 58.3%*** (experimentals only; controls barred by design). Full sample: E=2138, C=1044. Text (p.80): 'Very few of the 1,044 controls were served by the Employment Services Program; by design, none were supposed to be.'</t>
        </is>
      </c>
      <c r="BL89" t="inlineStr">
        <is>
          <t>Riccio et al. 1986, Table 4.1 (report p.82). 'Any Education or Training': E=15.8%, C=12.7%, diff=+3.1pp. Text (p.81): 'ESP was thus not able to substantially increase the receipt of education and training resources for the targeted population beyond that which they would have found on their own.'</t>
        </is>
      </c>
    </row>
    <row r="90">
      <c r="A90" t="inlineStr">
        <is>
          <t>Project QUEST</t>
        </is>
      </c>
      <c r="B90" t="inlineStr">
        <is>
          <t>San Antonio</t>
        </is>
      </c>
      <c r="C90" t="inlineStr">
        <is>
          <t>Texas Workforce Commission UI wage records</t>
        </is>
      </c>
      <c r="D90" t="inlineStr">
        <is>
          <t>Primary: Project QUEST is a sectoral training program. The core service is financial support and counseling for community college health-care career track programs lasting 1-2 years.</t>
        </is>
      </c>
      <c r="E90" t="inlineStr">
        <is>
          <t>has_classroom=1: community college vocational programs (LVN, medical records, nursing, technician). has_ojt=0: no on-the-job training component; clinical rotations are part of the college curriculum, not employer-based OJT. has_jsa=1: job placement assistance including resume help and referrals. has_multiple_components=1: training + counseling + financial support + remedial education + job placement.</t>
        </is>
      </c>
      <c r="F90" t="inlineStr">
        <is>
          <t>N=410 (207 T, 203 C): p.4. Randomization period April 2006 – October 2008: p.4. Demographics: Table 1 (p.6) and Table A1 (p.23). Cost $12,464: p.17. Control group college costs $12,726: Table 2 (p.18).</t>
        </is>
      </c>
      <c r="G90" t="inlineStr">
        <is>
          <t>ST Year 1 earnings: Table A3 (p.25), impact=-$2,905***, SE=$962, p=0.003. MT Year 2 earnings: Table A3, impact=-$2,866**, SE=$1,238, p=0.021. LT Year 6 earnings: Table A3, impact=$5,754***, SE=$2,132, p=0.007. Control means derived from Figure 3 (p.7): Year 1=$13,575, Year 2=$16,215, Year 6=$22,400 (computed as QUEST mean minus impact). ST/MT/LT employment: Table A3 (p.25-26).</t>
        </is>
      </c>
      <c r="H90" t="inlineStr">
        <is>
          <t>Regression-adjusted impact estimates from Table A3. ITT — includes all randomized individuals regardless of participation.</t>
        </is>
      </c>
      <c r="I90" t="inlineStr">
        <is>
          <t>ST: Year 1 = 1 year after enrollment → short-term per CKW. MT: Year 2 = 2 years → medium-term. LT: Year 6 = 6 years → long-term. Years 1-2 show lock-in effects (negative impacts during training). Year 6 chosen for LT as peak significant impact. Years 7-11 also available with mixed significance.</t>
        </is>
      </c>
      <c r="J90" t="inlineStr">
        <is>
          <t>SEs reported directly in Table A3.</t>
        </is>
      </c>
      <c r="K90" t="inlineStr">
        <is>
          <t>p.17: 'The average cost per participant of Project QUEST in 2019 dollars was $12,464.' Gross QUEST program cost. Table 2 (p.18) shows net total cost (including differential college costs) = $13,979.</t>
        </is>
      </c>
      <c r="L90" t="inlineStr">
        <is>
          <t>Small sample (N=410). Lock-in effects in Years 1-2 reflect intended program design (full-time college enrollment), not program failure. Year 6 LT choice: Year 6 is peak impact; Year 5 ($4,089*) and Years 9-11 ($5,726**, $5,134**, $4,616*) also large. Choice of Year 6 vs average could affect results. Employment control means unavailable from report — only percentage-point impacts reported in Table A3. Control group had access to a de facto road map from intake process, potentially contaminating control outcomes.</t>
        </is>
      </c>
      <c r="M90" t="inlineStr">
        <is>
          <t>Peck et al. 2021 dataset (Project Quest): coded as 1</t>
        </is>
      </c>
      <c r="N90" t="inlineStr">
        <is>
          <t>Peck et al. 2021 dataset (Project Quest): coded as 0</t>
        </is>
      </c>
      <c r="O90" t="inlineStr">
        <is>
          <t>Peck et al. 2021 dataset (Project Quest): coded as 1</t>
        </is>
      </c>
      <c r="P90" t="inlineStr">
        <is>
          <t>Peck et al. 2021 dataset (Project Quest): coded as 1</t>
        </is>
      </c>
      <c r="Q90" t="inlineStr">
        <is>
          <t>Peck et al. 2021 dataset (Project Quest): coded as 1</t>
        </is>
      </c>
      <c r="R90" t="inlineStr">
        <is>
          <t>Peck et al. 2021 dataset (Project Quest): coded as 0</t>
        </is>
      </c>
      <c r="S90" t="inlineStr">
        <is>
          <t>mixed: Project QUEST was founded with support from the Industrial Areas Foundation and funded by a mix of public funds (city of San Antonio, DOL, JTPA) and private philanthropy (foundations). Neither sector clearly dominates.</t>
        </is>
      </c>
      <c r="T90" t="inlineStr">
        <is>
          <t>private: QUEST is a nonprofit community-based organization that directly administers its programs in San Antonio.</t>
        </is>
      </c>
      <c r="U90" t="inlineStr">
        <is>
          <t>Project QUEST: weighted avg ~12.4 months core program duration. Roder &amp; Elliott 2021, Table A2.</t>
        </is>
      </c>
      <c r="BK90" t="inlineStr">
        <is>
          <t>Roder and Elliott 2021 (11-year report). Program_uptake not reported as T vs C comparison. Controls barred from QUEST. ~82 of 207 T completed full QUEST program (~40% completion rate), but total participation rate not reported. N: T=207, C=203.</t>
        </is>
      </c>
      <c r="BL90" t="inlineStr">
        <is>
          <t>Roder and Elliott 2021, Figure 6 (p.8). 'Enrolled in NSC-Covered Postsecondary Education at Any Time': QUEST=74.8%, C=66.7%, impact=8.1pp**. N: T=207, C=203. Note: both groups expressed interest in health-care career at enrollment; controls received de facto roadmap for community college programs.</t>
        </is>
      </c>
    </row>
    <row r="91">
      <c r="A91" t="inlineStr">
        <is>
          <t>WIA Gold Standard</t>
        </is>
      </c>
      <c r="B91" t="inlineStr">
        <is>
          <t>Adults</t>
        </is>
      </c>
      <c r="C91" t="inlineStr">
        <is>
          <t>National Directory of New Hires (NDNH)</t>
        </is>
      </c>
      <c r="D91" t="inlineStr">
        <is>
          <t>Primary: the Full-WIA vs Core comparison specifically tests the effect of adding intensive services and training to core services. Training was the largest cost component ($3,223 of $4,111 total per customer).</t>
        </is>
      </c>
      <c r="E91" t="inlineStr">
        <is>
          <t>has_classroom=1: WIA-funded occupational training at community colleges and training providers. has_ojt=0: although some WIA training includes OJT, the study does not separately identify OJT participants. Training was primarily classroom-based. has_jsa=1: core services include resource rooms, job clubs, workshops. has_multiple_components=1: core + intensive + training + supportive.</t>
        </is>
      </c>
      <c r="F91" t="inlineStr">
        <is>
          <t>Demographics: Fortson et al. 2017, Table III.2 (pp.30-32), Adults column. N: Rotz et al. 2017, Table G.VI.1 footer: F=18,558, C&amp;I=1,214, C=1,224 (NDNH full sample, adults only). Cost: Table VIII.1 (main report p.121). Training enrollment: Figure V.12 and surrounding text (pp.65-66).</t>
        </is>
      </c>
      <c r="G91" t="inlineStr">
        <is>
          <t>Earnings (NDNH, F-C&amp;I, total earnings): Rotz et al. 2017, Table G.VI.1. Q4: -$323 (p=0.097); Q8: -$420* (p=0.043); Q12: -$143 (p=0.599). C&amp;I means: Q4=$3,209; Q8=$4,125; Q12=$4,432. Employment (NDNH, F-C&amp;I): Table G.VI.2. Q1:-4.4, Q2:-6.1, Q3:-5.1, Q4:-1.7 → avg=-4.3pp; Q5:-1.9, Q6:-0.1, Q7:-1.7, Q8:-2.1 → avg=-1.5pp; Q9:-0.3, Q10:+1.5, Q11:+0.6, Q12:+0.9 → avg=+0.7pp. C&amp;I means: Q1-4 avg=63.7%; Q5-8 avg=67.1%; Q9-12 avg=67.7%.</t>
        </is>
      </c>
      <c r="H91" t="inlineStr">
        <is>
          <t>Regression-adjusted impact from weighted OLS. Weights account for local area selection probability, assignment probability, study consent. ITT. NDNH data cover virtually all study participants (no survey selection/nonresponse).</t>
        </is>
      </c>
      <c r="I91" t="inlineStr">
        <is>
          <t>Earnings: single-quarter impacts at Q4 (1 year, ST), Q8 (2 years, MT), Q12 (3 years, LT) after random assignment. Employment: averages of quarterly impacts over Q1-4 (ST), Q5-8 (MT), Q9-12 (LT). NDNH quarters are calendar quarters, not quarters since RA date.</t>
        </is>
      </c>
      <c r="J91" t="inlineStr">
        <is>
          <t>Earnings SE derived from p-values reported in Table G.VI.1: SE = |impact| / Φ^{-1}(1-p/2). Q4: SE=|323|/1.661=194.6; Q8: SE=|420|/2.024=207.5; Q12: SE=|143|/0.526=272.2. Employment SEs not computed (user instruction: averages of quarterly impacts, no SE).</t>
        </is>
      </c>
      <c r="K91" t="inlineStr">
        <is>
          <t>Table VIII.1 (main report p.121): Full-WIA total cost = $4,111, Core total cost = $3,131. Net differential = $980 per customer (2012 dollars).</t>
        </is>
      </c>
      <c r="L91" t="inlineStr">
        <is>
          <t>1. F vs C&amp;I comparison isolates training effect, but C&amp;I group still enrolled in training at 40% rate (vs 47% for F), so the 'treatment contrast' in training is only ~7pp. 2. All adult earnings impacts are negative in F-C&amp;I comparison; Q8 is significantly negative at 0.05. This could reflect lock-in effects or that WIA-funded training was no more effective than self-funded training obtained by C&amp;I group. 3. NDNH excludes self-employment and informal work. 4. Cost differential ($980) is F vs C, not F vs C&amp;I — the F-C&amp;I cost differential is likely smaller since C&amp;I received intensive services. 5. Employment averages computed from quarterly point estimates; no SE reported for the averages. 6. 2012 dollars.</t>
        </is>
      </c>
      <c r="M91" t="inlineStr">
        <is>
          <t>WIA Gold Standard: Government workforce system (admin=public). Training delivered through community colleges and approved providers. No CBO lead, no employer curriculum engagement in program design.</t>
        </is>
      </c>
      <c r="N91" t="inlineStr">
        <is>
          <t>WIA Gold Standard: Government workforce system (admin=public). Training delivered through community colleges and approved providers. No CBO lead, no employer curriculum engagement in program design.</t>
        </is>
      </c>
      <c r="O91" t="inlineStr">
        <is>
          <t>WIA Gold Standard: Government workforce system (admin=public). Training delivered through community colleges and approved providers. No CBO lead, no employer curriculum engagement in program design.</t>
        </is>
      </c>
      <c r="P91" t="inlineStr">
        <is>
          <t>WIA Gold Standard: Government workforce system (admin=public). Training delivered through community colleges and approved providers. No CBO lead, no employer curriculum engagement in program design.</t>
        </is>
      </c>
      <c r="Q91" t="inlineStr">
        <is>
          <t>WIA Gold Standard: Government workforce system (admin=public). Training delivered through community colleges and approved providers. No CBO lead, no employer curriculum engagement in program design.</t>
        </is>
      </c>
      <c r="R91" t="inlineStr">
        <is>
          <t>WIA Gold Standard: Government workforce system (admin=public). Training delivered through community colleges and approved providers. No CBO lead, no employer curriculum engagement in program design.</t>
        </is>
      </c>
      <c r="S91" t="inlineStr">
        <is>
          <t>public: WIA (Workforce Investment Act) was a federal program funded entirely by federal appropriations to states.</t>
        </is>
      </c>
      <c r="T91" t="inlineStr">
        <is>
          <t>public: WIA services were delivered through American Job Centers (One-Stop Career Centers), which are public workforce development infrastructure.</t>
        </is>
      </c>
      <c r="U91" t="inlineStr">
        <is>
          <t>WIA Adults: among trainees, median enrollment about month 8 with completion ~5 months later; ~5 months of training. Fortson et al. 2017, Figure 5. Note: only ~50% of full-WIA customers enrolled in training.</t>
        </is>
      </c>
      <c r="BK91" t="inlineStr">
        <is>
          <t>Fortson et al. 2017, Figure V.12 and text p.65: Adults: Full-WIA=47%, C&amp;I=40%. Impact F-C&amp;I=7pp (significant at 0.05). WIA-funded training specifically: 31% of F group in first 15 months (Figure V.3).</t>
        </is>
      </c>
      <c r="BL91" t="inlineStr">
        <is>
          <t>Fortson et al. 2017, Figure V.12 and text p.65: Adults: Full-WIA=47%, Core-and-Intensive=40%. F-C&amp;I impact=7pp*. 'Training from any source' in 30-month follow-up.</t>
        </is>
      </c>
    </row>
    <row r="92">
      <c r="A92" t="inlineStr">
        <is>
          <t>WIA Gold Standard</t>
        </is>
      </c>
      <c r="B92" t="inlineStr">
        <is>
          <t>Dislocated Workers</t>
        </is>
      </c>
      <c r="C92" t="inlineStr">
        <is>
          <t>National Directory of New Hires (NDNH)</t>
        </is>
      </c>
      <c r="D92" t="inlineStr">
        <is>
          <t>Same as WIA Gold Standard Adults — training is the primary distinguishing component.</t>
        </is>
      </c>
      <c r="E92" t="inlineStr">
        <is>
          <t>Same as WIA Gold Standard Adults.</t>
        </is>
      </c>
      <c r="F92" t="inlineStr">
        <is>
          <t>Demographics: Fortson et al. 2017, Table III.2 (pp.30-32), Dislocated Workers column. N: Rotz et al. 2017, Table H.VI.1 footer: F=11,152, C&amp;I=820, C=805 (NDNH full sample, DW only). Cost: Table VIII.1 — reported for all customers combined.</t>
        </is>
      </c>
      <c r="G92" t="inlineStr">
        <is>
          <t>Earnings (NDNH, F-C&amp;I, total earnings): Rotz et al. 2017, Table H.VI.1. Q4: +$95 (p=0.606); Q8: +$360 (p=0.301); Q12: +$526 (p=0.231). C&amp;I means: Q4=$4,184; Q8=$4,932; Q12=$5,374. Employment (NDNH, F-C&amp;I): Table H.VI.2. Q1:-5.2, Q2:-3.6, Q3:-2.0, Q4:+1.8 → avg=-2.3pp; Q5:-2.7, Q6:-4.1, Q7:0.0, Q8:-0.6 → avg=-1.9pp; Q9:-1.3, Q10:-1.4, Q11:-4.0, Q12:-1.9 → avg=-2.2pp. C&amp;I means: Q1-4 avg=57.6%; Q5-8 avg=72.6%; Q9-12 avg=76.4%.</t>
        </is>
      </c>
      <c r="H92" t="inlineStr">
        <is>
          <t>Same as WIA Gold Standard Adults — regression-adjusted ITT from weighted OLS, NDNH data.</t>
        </is>
      </c>
      <c r="I92" t="inlineStr">
        <is>
          <t>Same as WIA Gold Standard Adults: earnings Q4/Q8/Q12 → ST/MT/LT; employment averages Q1-4/Q5-8/Q9-12 → ST/MT/LT.</t>
        </is>
      </c>
      <c r="J92" t="inlineStr">
        <is>
          <t>Earnings SE derived from p-values in Table H.VI.1: Q4: SE=|95|/0.516=184.3; Q8: SE=|360|/1.034=348.1; Q12: SE=|526|/1.198=439.1. Employment SEs not computed.</t>
        </is>
      </c>
      <c r="K92" t="inlineStr">
        <is>
          <t>Same as WIA Gold Standard Adults — Table VIII.1, net differential = $980 per customer (2012 dollars).</t>
        </is>
      </c>
      <c r="L92" t="inlineStr">
        <is>
          <t>1. F vs C&amp;I comparison: C&amp;I group still enrolled in training at 43% rate (vs 54% for F), so treatment contrast in training is ~11pp. 2. DW earnings impacts positive but none significant; trending upward over time ($95→$360→$526). 3. Cost is for all customers combined, not DW-specific. 4. DW had higher baseline human capital than adults (only 4% no HS diploma, 91% employed in past 5 years). 5. Employment averages negative at all horizons but no individual quarter is significant for F-C&amp;I. 6. NDNH excludes self-employment. 7. 2012 dollars.</t>
        </is>
      </c>
      <c r="M92" t="inlineStr">
        <is>
          <t>WIA Gold Standard: Government workforce system (admin=public). Training delivered through community colleges and approved providers. No CBO lead, no employer curriculum engagement in program design.</t>
        </is>
      </c>
      <c r="N92" t="inlineStr">
        <is>
          <t>WIA Gold Standard: Government workforce system (admin=public). Training delivered through community colleges and approved providers. No CBO lead, no employer curriculum engagement in program design.</t>
        </is>
      </c>
      <c r="O92" t="inlineStr">
        <is>
          <t>WIA Gold Standard: Government workforce system (admin=public). Training delivered through community colleges and approved providers. No CBO lead, no employer curriculum engagement in program design.</t>
        </is>
      </c>
      <c r="P92" t="inlineStr">
        <is>
          <t>WIA Gold Standard: Government workforce system (admin=public). Training delivered through community colleges and approved providers. No CBO lead, no employer curriculum engagement in program design.</t>
        </is>
      </c>
      <c r="Q92" t="inlineStr">
        <is>
          <t>WIA Gold Standard: Government workforce system (admin=public). Training delivered through community colleges and approved providers. No CBO lead, no employer curriculum engagement in program design.</t>
        </is>
      </c>
      <c r="R92" t="inlineStr">
        <is>
          <t>WIA Gold Standard: Government workforce system (admin=public). Training delivered through community colleges and approved providers. No CBO lead, no employer curriculum engagement in program design.</t>
        </is>
      </c>
      <c r="S92" t="inlineStr">
        <is>
          <t>public: WIA (Workforce Investment Act) was a federal program funded entirely by federal appropriations to states.</t>
        </is>
      </c>
      <c r="T92" t="inlineStr">
        <is>
          <t>public: WIA services were delivered through American Job Centers (One-Stop Career Centers), which are public workforce development infrastructure.</t>
        </is>
      </c>
      <c r="U92" t="inlineStr">
        <is>
          <t>WIA Dislocated Workers: similar to Adults, ~5 months training duration for trainees. Fortson et al. 2017, Figure 5.</t>
        </is>
      </c>
      <c r="BK92" t="inlineStr">
        <is>
          <t>Fortson et al. 2017, Figure V.12 and text p.65: DW: Full-WIA=54%, C&amp;I=43%. Impact F-C&amp;I=11pp (significant at 0.05).</t>
        </is>
      </c>
      <c r="BL92" t="inlineStr">
        <is>
          <t>Fortson et al. 2017, Figure V.12 and text p.65: DW: Full-WIA=54%, Core-and-Intensive=43%. F-C&amp;I impact=11pp*. 'Training from any source' in 30-month follow-up.</t>
        </is>
      </c>
    </row>
    <row r="93">
      <c r="A93" t="inlineStr">
        <is>
          <t>Employment Retention and Advancement (ERA)</t>
        </is>
      </c>
      <c r="B93" t="inlineStr">
        <is>
          <t>Chicago</t>
        </is>
      </c>
      <c r="C93" t="inlineStr">
        <is>
          <t>UI wage records</t>
        </is>
      </c>
      <c r="D93" t="inlineStr">
        <is>
          <t>Secondary: program focus is JSA and career ladder advancement, not classroom training. Training referrals available but not the core service.</t>
        </is>
      </c>
      <c r="E93" t="inlineStr">
        <is>
          <t>has_jsa=1 (targeted job search, career counseling); has_multiple_components=1 (JSA + career ladders + employer outreach). No direct classroom or OJT.</t>
        </is>
      </c>
      <c r="F93" t="inlineStr">
        <is>
          <t>Demographics: Table 4.2, p. 110. Sample size: Appendix Table B.2, p. 309 (854 ERA, 874 control). Randomization period: text p. 109 ('last few months April-June 2003').</t>
        </is>
      </c>
      <c r="G93" t="inlineStr">
        <is>
          <t>ST/MT/LT all from Appendix Table B.2, pp. 309-310. Earnings: row 'Annual earnings ($)', Years 1-4. Employment: row 'Average quarterly employment (%)', Years 1-4.</t>
        </is>
      </c>
      <c r="H93" t="inlineStr">
        <is>
          <t>ITT experimental impact (regression-adjusted difference between ERA and control groups, from UI wage records)</t>
        </is>
      </c>
      <c r="I93" t="inlineStr">
        <is>
          <t>Year 1 (~Q2-Q5) → ST; Year 2 → MT; Year 4 → LT. 4-year follow-up available.</t>
        </is>
      </c>
      <c r="J93" t="inlineStr">
        <is>
          <t>SE reported directly in Appendix Table B.2.</t>
        </is>
      </c>
      <c r="K93" t="inlineStr">
        <is>
          <t>Not reported in this publication; separate cost-benefit study (Redcross, Deitch, and Farrell 2009).</t>
        </is>
      </c>
      <c r="L93" t="inlineStr">
        <is>
          <t>Program is primarily JSA/career advancement, not training. Included in meta-analysis because v10 lists it as ERA site with training relevance. Early-cohort subgroup showed stronger effects (Table B.5) but full sample used per protocol.</t>
        </is>
      </c>
      <c r="M93" t="inlineStr">
        <is>
          <t>ERA Chicago: for-profit firm delivering advancement services (admin=private but for-profit, not CBO). Career coaching and employer outreach but no formal employer curriculum engagement.</t>
        </is>
      </c>
      <c r="N93" t="inlineStr">
        <is>
          <t>ERA Chicago: for-profit firm delivering advancement services (admin=private but for-profit, not CBO). Career coaching and employer outreach but no formal employer curriculum engagement.</t>
        </is>
      </c>
      <c r="O93" t="inlineStr">
        <is>
          <t>ERA Chicago: for-profit firm delivering advancement services (admin=private but for-profit, not CBO). Career coaching and employer outreach but no formal employer curriculum engagement.</t>
        </is>
      </c>
      <c r="P93" t="inlineStr">
        <is>
          <t>ERA Chicago: for-profit firm delivering advancement services (admin=private but for-profit, not CBO). Career coaching and employer outreach but no formal employer curriculum engagement.</t>
        </is>
      </c>
      <c r="Q93" t="inlineStr">
        <is>
          <t>ERA Chicago: for-profit firm delivering advancement services (admin=private but for-profit, not CBO). Career coaching and employer outreach but no formal employer curriculum engagement.</t>
        </is>
      </c>
      <c r="R93" t="inlineStr">
        <is>
          <t>ERA Chicago: for-profit firm delivering advancement services (admin=private but for-profit, not CBO). Career coaching and employer outreach but no formal employer curriculum engagement.</t>
        </is>
      </c>
      <c r="S93" t="inlineStr">
        <is>
          <t>public: The Employment Retention and Advancement project was funded by DHHS as a federal demonstration under TANF.</t>
        </is>
      </c>
      <c r="T93" t="inlineStr">
        <is>
          <t>private: ERA Chicago was operated through a private nonprofit provider.</t>
        </is>
      </c>
      <c r="U93" t="inlineStr">
        <is>
          <t>ERA Chicago: employment retention &amp; advancement case management, not fixed-duration training. Hendra et al. 2010. Duration ambiguous.</t>
        </is>
      </c>
      <c r="BK93" t="inlineStr">
        <is>
          <t>Hendra et al. 2010, Table 4.3. 'Retention and advancement services': ERA=37.0%, C=12.6%, impact=24.5*** (p=0.000). Survey sample: ERA=306, C=292. Admin sample: 854/874.</t>
        </is>
      </c>
      <c r="BL93" t="inlineStr">
        <is>
          <t>Hendra et al. 2010, Table 4.3. 'Education or training': ERA=23.3%, C=24.9%, impact=-1.6 (ns). Survey sample: ERA=306, C=292.</t>
        </is>
      </c>
    </row>
    <row r="94">
      <c r="A94" t="inlineStr">
        <is>
          <t>Employment Retention and Advancement (ERA)</t>
        </is>
      </c>
      <c r="B94" t="inlineStr">
        <is>
          <t>Los Angeles RFS</t>
        </is>
      </c>
      <c r="C94" t="inlineStr">
        <is>
          <t>UI wage records</t>
        </is>
      </c>
      <c r="D94" t="inlineStr">
        <is>
          <t>Secondary: individualized retention/advancement services with referrals to training, but training not the core service.</t>
        </is>
      </c>
      <c r="E94" t="inlineStr">
        <is>
          <t>has_jsa=1 (job retention assistance); has_multiple_components=1 (retention + career planning + referrals).</t>
        </is>
      </c>
      <c r="F94" t="inlineStr">
        <is>
          <t>Demographics: Table 4.2, p. 110. Sample size: Appendix Table B.9 (2,857 ERA, 2,843 control). Randomization: text p. 127.</t>
        </is>
      </c>
      <c r="G94" t="inlineStr">
        <is>
          <t>All from Appendix Table B.9, p. 323. Earnings: row 'Annual earnings ($)', Years 1-3. Employment: row 'Average quarterly employment (%)', Years 1-3.</t>
        </is>
      </c>
      <c r="H94" t="inlineStr">
        <is>
          <t>ITT experimental impact (regression-adjusted difference between ERA and control groups, from UI wage records)</t>
        </is>
      </c>
      <c r="I94" t="inlineStr">
        <is>
          <t>Year 1 → ST; Year 2 → MT; Year 3 → LT (3-year follow-up only).</t>
        </is>
      </c>
      <c r="J94" t="inlineStr">
        <is>
          <t>SE reported directly in Appendix Table B.9.</t>
        </is>
      </c>
      <c r="K94" t="inlineStr">
        <is>
          <t>Not in this publication.</t>
        </is>
      </c>
      <c r="L94" t="inlineStr">
        <is>
          <t>No statistically significant impacts on any earnings or employment outcome across all 3 years. Year 3 is borderline for LT (CKW says 3+ years).</t>
        </is>
      </c>
      <c r="M94" t="inlineStr">
        <is>
          <t>ERA LA RFS: public welfare agency (admin=public). Voluntary retention services.</t>
        </is>
      </c>
      <c r="N94" t="inlineStr">
        <is>
          <t>ERA LA RFS: public welfare agency (admin=public). Voluntary retention services.</t>
        </is>
      </c>
      <c r="O94" t="inlineStr">
        <is>
          <t>ERA LA RFS: public welfare agency (admin=public). Voluntary retention services.</t>
        </is>
      </c>
      <c r="P94" t="inlineStr">
        <is>
          <t>ERA LA RFS: public welfare agency (admin=public). Voluntary retention services.</t>
        </is>
      </c>
      <c r="Q94" t="inlineStr">
        <is>
          <t>ERA LA RFS: public welfare agency (admin=public). Voluntary retention services.</t>
        </is>
      </c>
      <c r="R94" t="inlineStr">
        <is>
          <t>ERA LA RFS: public welfare agency (admin=public). Voluntary retention services.</t>
        </is>
      </c>
      <c r="S94" t="inlineStr">
        <is>
          <t>public: The Employment Retention and Advancement project was funded by DHHS as a federal demonstration under TANF.</t>
        </is>
      </c>
      <c r="T94" t="inlineStr">
        <is>
          <t>public: ERA Los Angeles RFS was administered by LA County DPSS (public welfare agency).</t>
        </is>
      </c>
      <c r="U94" t="inlineStr">
        <is>
          <t>ERA Los Angeles RFS: case management. Hendra et al. 2010. Duration ambiguous.</t>
        </is>
      </c>
      <c r="BK94" t="inlineStr">
        <is>
          <t>Hendra et al. 2010, Table 4.5. 'Retention and advancement services': ERA=21.6%, C=17.5%, impact=4.1 (ns). Survey sample: ERA=428, C=420.</t>
        </is>
      </c>
      <c r="BL94" t="inlineStr">
        <is>
          <t>Hendra et al. 2010, Table 4.5. 'Education or training': ERA=35.9%, C=34.2%, impact=1.7 (ns). Survey sample: ERA=428, C=420.</t>
        </is>
      </c>
    </row>
    <row r="95">
      <c r="A95" t="inlineStr">
        <is>
          <t>Employment Retention and Advancement (ERA)</t>
        </is>
      </c>
      <c r="B95" t="inlineStr">
        <is>
          <t>Riverside Training Focused</t>
        </is>
      </c>
      <c r="C95" t="inlineStr">
        <is>
          <t>UI wage records</t>
        </is>
      </c>
      <c r="D95" t="inlineStr">
        <is>
          <t>Secondary: program encourages education/training by relaxing work requirements, but doesn't directly provide classroom instruction. Training is a pathway within a retention/advancement framework.</t>
        </is>
      </c>
      <c r="E95" t="inlineStr">
        <is>
          <t>has_classroom=1 (program encouraged education/training participation, including classroom courses); has_jsa=1 (career counseling); has_multiple_components=1.</t>
        </is>
      </c>
      <c r="F95" t="inlineStr">
        <is>
          <t>Demographics: Table 4.2, p. 110 (Phase 2 combined). Sample size: Appendix Table B.13 (744 TF, 753 control). Randomization: text p. 137.</t>
        </is>
      </c>
      <c r="G95" t="inlineStr">
        <is>
          <t>Appendix Table B.13, pp. 331-332. Training Focused columns. Earnings: 'Annual earnings ($)', Years 1-4. Employment: 'Average quarterly employment (%)', Years 1-4.</t>
        </is>
      </c>
      <c r="H95" t="inlineStr">
        <is>
          <t>ITT experimental impact (regression-adjusted difference between ERA and control groups, from UI wage records)</t>
        </is>
      </c>
      <c r="I95" t="inlineStr">
        <is>
          <t>Year 1 → ST; Year 2 → MT; Year 4 → LT (4-year follow-up).</t>
        </is>
      </c>
      <c r="J95" t="inlineStr">
        <is>
          <t>SE reported directly in Appendix Table B.13.</t>
        </is>
      </c>
      <c r="K95" t="inlineStr">
        <is>
          <t>Not in this publication.</t>
        </is>
      </c>
      <c r="L95" t="inlineStr">
        <is>
          <t>Negative Year 1 employment impact (-4.5**, p=0.011) likely reflects lock-in from training participation. Three-arm design — Training Focused vs shared control group. No significant earnings impacts at any horizon.</t>
        </is>
      </c>
      <c r="M95" t="inlineStr">
        <is>
          <t>ERA Riverside Training Focused: public workforce agency (admin=public).</t>
        </is>
      </c>
      <c r="N95" t="inlineStr">
        <is>
          <t>ERA Riverside Training Focused: public workforce agency (admin=public).</t>
        </is>
      </c>
      <c r="O95" t="inlineStr">
        <is>
          <t>ERA Riverside Training Focused: public workforce agency (admin=public).</t>
        </is>
      </c>
      <c r="P95" t="inlineStr">
        <is>
          <t>ERA Riverside Training Focused: public workforce agency (admin=public).</t>
        </is>
      </c>
      <c r="Q95" t="inlineStr">
        <is>
          <t>ERA Riverside Training Focused: public workforce agency (admin=public).</t>
        </is>
      </c>
      <c r="R95" t="inlineStr">
        <is>
          <t>ERA Riverside Training Focused: public workforce agency (admin=public).</t>
        </is>
      </c>
      <c r="S95" t="inlineStr">
        <is>
          <t>public: The Employment Retention and Advancement project was funded by DHHS as a federal demonstration under TANF.</t>
        </is>
      </c>
      <c r="T95" t="inlineStr">
        <is>
          <t>public: ERA Riverside Training Focused was administered by Riverside County DPSS (public).</t>
        </is>
      </c>
      <c r="U95" t="inlineStr">
        <is>
          <t>ERA Riverside Training Focused: case management with training referrals. Hendra et al. 2010. Duration ambiguous.</t>
        </is>
      </c>
      <c r="BK95" t="inlineStr">
        <is>
          <t>Hendra et al. 2010, Table 4.7. 'Retention and advancement services': TF=24.2%, C=21.5%, impact=2.6 (ns). Survey sample: TF=234, C=241. Note: Riverside had shared control group for TF and WP arms.</t>
        </is>
      </c>
      <c r="BL95" t="inlineStr">
        <is>
          <t>Hendra et al. 2010, Table 4.7. 'Education or training': TF=41.4%, C=31.9%, impact=9.5** (p=0.033). Survey sample: TF=234, C=241.</t>
        </is>
      </c>
    </row>
    <row r="96">
      <c r="A96" t="inlineStr">
        <is>
          <t>Employment Retention and Advancement (ERA)</t>
        </is>
      </c>
      <c r="B96" t="inlineStr">
        <is>
          <t>Riverside Work Plus</t>
        </is>
      </c>
      <c r="C96" t="inlineStr">
        <is>
          <t>UI wage records</t>
        </is>
      </c>
      <c r="D96" t="inlineStr">
        <is>
          <t>Secondary: same framework as Training Focused but with less flexibility to reduce work for training.</t>
        </is>
      </c>
      <c r="E96" t="inlineStr">
        <is>
          <t>has_classroom=1, has_jsa=1, has_multiple_components=1. Same as Training Focused but with less flexibility for training participation.</t>
        </is>
      </c>
      <c r="F96" t="inlineStr">
        <is>
          <t>Demographics: Table 4.2, p. 110. Sample size: Appendix Table B.13 (1,532 WP, 753 control). Randomization: text p. 137.</t>
        </is>
      </c>
      <c r="G96" t="inlineStr">
        <is>
          <t>Appendix Table B.13, pp. 331-332. Work Plus columns. Years 1-4.</t>
        </is>
      </c>
      <c r="H96" t="inlineStr">
        <is>
          <t>ITT experimental impact (regression-adjusted difference between ERA and control groups, from UI wage records)</t>
        </is>
      </c>
      <c r="I96" t="inlineStr">
        <is>
          <t>Year 1 → ST; Year 2 → MT; Year 4 → LT.</t>
        </is>
      </c>
      <c r="J96" t="inlineStr">
        <is>
          <t>SE reported directly.</t>
        </is>
      </c>
      <c r="K96" t="inlineStr">
        <is>
          <t>Not in this publication.</t>
        </is>
      </c>
      <c r="L96" t="inlineStr">
        <is>
          <t>Consistently negative and non-significant impacts. Shares control group with Training Focused arm. Less flexibility for training than TF arm, yet similarly negative results.</t>
        </is>
      </c>
      <c r="M96" t="inlineStr">
        <is>
          <t>ERA Riverside Work Plus: public welfare agency (admin=public).</t>
        </is>
      </c>
      <c r="N96" t="inlineStr">
        <is>
          <t>ERA Riverside Work Plus: public welfare agency (admin=public).</t>
        </is>
      </c>
      <c r="O96" t="inlineStr">
        <is>
          <t>ERA Riverside Work Plus: public welfare agency (admin=public).</t>
        </is>
      </c>
      <c r="P96" t="inlineStr">
        <is>
          <t>ERA Riverside Work Plus: public welfare agency (admin=public).</t>
        </is>
      </c>
      <c r="Q96" t="inlineStr">
        <is>
          <t>ERA Riverside Work Plus: public welfare agency (admin=public).</t>
        </is>
      </c>
      <c r="R96" t="inlineStr">
        <is>
          <t>ERA Riverside Work Plus: public welfare agency (admin=public).</t>
        </is>
      </c>
      <c r="S96" t="inlineStr">
        <is>
          <t>public: The Employment Retention and Advancement project was funded by DHHS as a federal demonstration under TANF.</t>
        </is>
      </c>
      <c r="T96" t="inlineStr">
        <is>
          <t>public: ERA Riverside Work Plus was administered by Riverside County DPSS (public).</t>
        </is>
      </c>
      <c r="U96" t="inlineStr">
        <is>
          <t>ERA Riverside Work Plus: case management. Hendra et al. 2010. Duration ambiguous.</t>
        </is>
      </c>
      <c r="BK96" t="inlineStr">
        <is>
          <t>Hendra et al. 2010, Table 4.7. 'Retention and advancement services': WP=28.9%, C=21.5%, impact=7.4* (p=0.066). Survey sample: WP=237, C=241.</t>
        </is>
      </c>
      <c r="BL96" t="inlineStr">
        <is>
          <t>Hendra et al. 2010, Table 4.7. 'Education or training': WP=37.3%, C=31.9%, impact=5.4 (ns). Survey sample: WP=237, C=241.</t>
        </is>
      </c>
    </row>
    <row r="97">
      <c r="A97" t="inlineStr">
        <is>
          <t>Employment Retention and Advancement (ERA)</t>
        </is>
      </c>
      <c r="B97" t="inlineStr">
        <is>
          <t>Cleveland (Achieve)</t>
        </is>
      </c>
      <c r="C97" t="inlineStr">
        <is>
          <t>UI wage records</t>
        </is>
      </c>
      <c r="D97" t="inlineStr">
        <is>
          <t>Secondary: program provides peer support and supervisory training, not direct classroom vocational training. Included because v10 lists as ERA site.</t>
        </is>
      </c>
      <c r="E97" t="inlineStr">
        <is>
          <t>has_multiple_components=1 (peer support + supervisory training + retention services). No direct classroom, OJT, or JSA.</t>
        </is>
      </c>
      <c r="F97" t="inlineStr">
        <is>
          <t>Demographics: Table 5.2, p. 160. Sample size: Appendix Table C.2 (381 ERA, 316 control). Randomization: text p. 170 (employer-based, staged).</t>
        </is>
      </c>
      <c r="G97" t="inlineStr">
        <is>
          <t>Appendix Table C.2, p. 359. Years 1-3.</t>
        </is>
      </c>
      <c r="H97" t="inlineStr">
        <is>
          <t>ITT experimental impact (regression-adjusted difference between ERA and control groups, from UI wage records)</t>
        </is>
      </c>
      <c r="I97" t="inlineStr">
        <is>
          <t>Year 1 → ST; Year 2 → MT; Year 3 → LT (3-year follow-up).</t>
        </is>
      </c>
      <c r="J97" t="inlineStr">
        <is>
          <t>SE reported directly.</t>
        </is>
      </c>
      <c r="K97" t="inlineStr">
        <is>
          <t>Not in this publication.</t>
        </is>
      </c>
      <c r="L97" t="inlineStr">
        <is>
          <t>Employer-based randomization: firms randomized first, then workers within firms. Small sample. No significant impacts on any outcome.</t>
        </is>
      </c>
      <c r="M97" t="inlineStr">
        <is>
          <t>ERA Cleveland Achieve operated by CBO (admin=private). Employer-based retention program.</t>
        </is>
      </c>
      <c r="N97" t="inlineStr">
        <is>
          <t>No staffing agency partnerships described (Hendra et al. 2010).</t>
        </is>
      </c>
      <c r="O97" t="inlineStr">
        <is>
          <t>Employer-based retention program at nursing facilities; no employer engagement in training curricula for workers (Hendra et al. 2010).</t>
        </is>
      </c>
      <c r="P97" t="inlineStr">
        <is>
          <t>Retention focus, not dedicated job development.</t>
        </is>
      </c>
      <c r="Q97" t="inlineStr">
        <is>
          <t>No employer role in curriculum design; supervisory training was for supervisors, not worker curricula (Hendra et al. 2010).</t>
        </is>
      </c>
      <c r="R97" t="inlineStr">
        <is>
          <t>No employer hiring commitments; workers were already employed (Hendra et al. 2010).</t>
        </is>
      </c>
      <c r="S97" t="inlineStr">
        <is>
          <t>public: The Employment Retention and Advancement project was funded by DHHS as a federal demonstration under TANF.</t>
        </is>
      </c>
      <c r="T97" t="inlineStr">
        <is>
          <t>private: ERA Cleveland Achieve was operated by a nonprofit provider.</t>
        </is>
      </c>
      <c r="U97" t="inlineStr">
        <is>
          <t>ERA Cleveland: case management. Hendra et al. 2010. Duration ambiguous.</t>
        </is>
      </c>
      <c r="BK97" t="inlineStr">
        <is>
          <t>Hendra et al. 2010, Table 5.3. 'Retention and advancement services': ERA=38.5%, C=27.5%, impact=11.0** (p=0.025). Also 'contact': ERA=52.4%, C=30.2%, impact=22.2*** (p=0.000). Survey: ERA=260, C=225; Admin: 381/316.</t>
        </is>
      </c>
      <c r="BL97" t="inlineStr">
        <is>
          <t>Hendra et al. 2010, Table 5.3. 'Education or training': ERA=28.9%, C=37.3%, impact=-8.3 (p=0.152). Survey: ERA=260, C=225.</t>
        </is>
      </c>
    </row>
    <row r="98">
      <c r="A98" t="inlineStr">
        <is>
          <t>Employment Retention and Advancement (ERA)</t>
        </is>
      </c>
      <c r="B98" t="inlineStr">
        <is>
          <t>Eugene, OR</t>
        </is>
      </c>
      <c r="C98" t="inlineStr">
        <is>
          <t>UI wage records</t>
        </is>
      </c>
      <c r="D98" t="inlineStr">
        <is>
          <t>Secondary: career counseling and referrals, not direct training. Community college partnership suggests some training access.</t>
        </is>
      </c>
      <c r="E98" t="inlineStr">
        <is>
          <t>has_jsa=1 (career counseling/referrals); has_multiple_components=1 (counseling + referrals + community college partnership).</t>
        </is>
      </c>
      <c r="F98" t="inlineStr">
        <is>
          <t>Demographics: Table 5.2, p. 160. Sample size: Appendix Table C.6 (585 ERA, 594 control).</t>
        </is>
      </c>
      <c r="G98" t="inlineStr">
        <is>
          <t>Appendix Table C.6, p. 366. Years 1-3.</t>
        </is>
      </c>
      <c r="H98" t="inlineStr">
        <is>
          <t>ITT experimental impact (regression-adjusted difference between ERA and control groups, from UI wage records)</t>
        </is>
      </c>
      <c r="I98" t="inlineStr">
        <is>
          <t>Year 1 → ST; Year 2 → MT; Year 3 → LT.</t>
        </is>
      </c>
      <c r="J98" t="inlineStr">
        <is>
          <t>SE reported directly.</t>
        </is>
      </c>
      <c r="K98" t="inlineStr">
        <is>
          <t>Not in this publication.</t>
        </is>
      </c>
      <c r="L98" t="inlineStr">
        <is>
          <t>Significant negative Year 3 employment impact (-6.5***, p=0.008). Authors note this is a concerning finding. Report notes footnote (p. 331) about negative impacts for Eugene and Riverside TF.</t>
        </is>
      </c>
      <c r="M98" t="inlineStr">
        <is>
          <t>ERA Eugene: mixed admin, welfare agency partnership with CC and WIA contractor. Not CBO-led.</t>
        </is>
      </c>
      <c r="N98" t="inlineStr">
        <is>
          <t>ERA Eugene: mixed admin, welfare agency partnership with CC and WIA contractor. Not CBO-led.</t>
        </is>
      </c>
      <c r="O98" t="inlineStr">
        <is>
          <t>ERA Eugene: mixed admin, welfare agency partnership with CC and WIA contractor. Not CBO-led.</t>
        </is>
      </c>
      <c r="P98" t="inlineStr">
        <is>
          <t>ERA Eugene: mixed admin, welfare agency partnership with CC and WIA contractor. Not CBO-led.</t>
        </is>
      </c>
      <c r="Q98" t="inlineStr">
        <is>
          <t>ERA Eugene: mixed admin, welfare agency partnership with CC and WIA contractor. Not CBO-led.</t>
        </is>
      </c>
      <c r="R98" t="inlineStr">
        <is>
          <t>ERA Eugene: mixed admin, welfare agency partnership with CC and WIA contractor. Not CBO-led.</t>
        </is>
      </c>
      <c r="S98" t="inlineStr">
        <is>
          <t>public: The Employment Retention and Advancement project was funded by DHHS as a federal demonstration under TANF.</t>
        </is>
      </c>
      <c r="T98" t="inlineStr">
        <is>
          <t>mixed: ERA Eugene, OR was administered by the state welfare agency with contracted private providers.</t>
        </is>
      </c>
      <c r="U98" t="inlineStr">
        <is>
          <t>ERA Eugene, OR: case management. Hendra et al. 2010. Duration ambiguous.</t>
        </is>
      </c>
      <c r="BK98" t="inlineStr">
        <is>
          <t>Hendra et al. 2010, Table 5.4. 'Retention and advancement services': ERA=38.0%, C=22.0%, impact=16.0*** (p=0.000). Also 'contact': ERA=83.5%, C=85.6%, impact=-2.2 (ns). Survey: ERA=220, C=220; Admin: 585/594.</t>
        </is>
      </c>
      <c r="BL98" t="inlineStr">
        <is>
          <t>Hendra et al. 2010, Table 5.4. 'Education or training': ERA=21.7%, C=25.1%, impact=-3.4 (p=0.416). Survey: ERA=220, C=220.</t>
        </is>
      </c>
    </row>
    <row r="99">
      <c r="A99" t="inlineStr">
        <is>
          <t>Employment Retention and Advancement (ERA)</t>
        </is>
      </c>
      <c r="B99" t="inlineStr">
        <is>
          <t>Medford, OR</t>
        </is>
      </c>
      <c r="C99" t="inlineStr">
        <is>
          <t>UI wage records</t>
        </is>
      </c>
      <c r="D99" t="inlineStr">
        <is>
          <t>Secondary: career counseling and service referrals, not direct training.</t>
        </is>
      </c>
      <c r="E99" t="inlineStr">
        <is>
          <t>has_jsa=1 (career counseling/referrals); has_multiple_components=1.</t>
        </is>
      </c>
      <c r="F99" t="inlineStr">
        <is>
          <t>Demographics: Table 5.2, p. 160. Sample size: Appendix Table C.10 (590 ERA, 574 control).</t>
        </is>
      </c>
      <c r="G99" t="inlineStr">
        <is>
          <t>Appendix Table C.10, p. 374. Years 1-3.</t>
        </is>
      </c>
      <c r="H99" t="inlineStr">
        <is>
          <t>ITT experimental impact (regression-adjusted difference between ERA and control groups, from UI wage records)</t>
        </is>
      </c>
      <c r="I99" t="inlineStr">
        <is>
          <t>Year 1 → ST; Year 2 → MT; Year 3 → LT.</t>
        </is>
      </c>
      <c r="J99" t="inlineStr">
        <is>
          <t>SE reported directly.</t>
        </is>
      </c>
      <c r="K99" t="inlineStr">
        <is>
          <t>Not in this publication.</t>
        </is>
      </c>
      <c r="L99" t="inlineStr">
        <is>
          <t>No statistically significant impacts. Consistently negative point estimates for earnings across all horizons.</t>
        </is>
      </c>
      <c r="M99" t="inlineStr">
        <is>
          <t>ERA Medford: mixed admin, welfare agency + nonprofit employment service. Not clearly CBO-led in program design sense.</t>
        </is>
      </c>
      <c r="N99" t="inlineStr">
        <is>
          <t>ERA Medford: mixed admin, welfare agency + nonprofit employment service. Not clearly CBO-led in program design sense.</t>
        </is>
      </c>
      <c r="O99" t="inlineStr">
        <is>
          <t>ERA Medford: mixed admin, welfare agency + nonprofit employment service. Not clearly CBO-led in program design sense.</t>
        </is>
      </c>
      <c r="P99" t="inlineStr">
        <is>
          <t>ERA Medford: mixed admin, welfare agency + nonprofit employment service. Not clearly CBO-led in program design sense.</t>
        </is>
      </c>
      <c r="Q99" t="inlineStr">
        <is>
          <t>ERA Medford: mixed admin, welfare agency + nonprofit employment service. Not clearly CBO-led in program design sense.</t>
        </is>
      </c>
      <c r="R99" t="inlineStr">
        <is>
          <t>ERA Medford: mixed admin, welfare agency + nonprofit employment service. Not clearly CBO-led in program design sense.</t>
        </is>
      </c>
      <c r="S99" t="inlineStr">
        <is>
          <t>public: The Employment Retention and Advancement project was funded by DHHS as a federal demonstration under TANF.</t>
        </is>
      </c>
      <c r="T99" t="inlineStr">
        <is>
          <t>mixed: ERA Medford, OR was administered by the state welfare agency with contracted private providers.</t>
        </is>
      </c>
      <c r="U99" t="inlineStr">
        <is>
          <t>ERA Medford, OR: case management. Hendra et al. 2010. Duration ambiguous.</t>
        </is>
      </c>
      <c r="BK99" t="inlineStr">
        <is>
          <t>Hendra et al. 2010, Table 5.5. 'Retention and advancement services': ERA=24.8%, C=16.1%, impact=8.8** (p=0.049). Also 'contact': ERA=73.1%, C=62.3%, impact=10.8** (p=0.039). Survey: ERA=167, C=178; Admin: 590/574.</t>
        </is>
      </c>
      <c r="BL99" t="inlineStr">
        <is>
          <t>Hendra et al. 2010, Table 5.5. 'Education or training': ERA=30.3%, C=21.6%, impact=8.7* (p=0.074). Survey: ERA=167, C=178.</t>
        </is>
      </c>
    </row>
    <row r="100">
      <c r="A100" t="inlineStr">
        <is>
          <t>Employment Retention and Advancement (ERA)</t>
        </is>
      </c>
      <c r="B100" t="inlineStr">
        <is>
          <t>Riverside PASS</t>
        </is>
      </c>
      <c r="C100" t="inlineStr">
        <is>
          <t>UI wage records</t>
        </is>
      </c>
      <c r="D100" t="inlineStr">
        <is>
          <t>Secondary: individualized retention/advancement services with community college partnership. Training is not the core service but is available.</t>
        </is>
      </c>
      <c r="E100" t="inlineStr">
        <is>
          <t>has_jsa=1 (career counseling/advancement); has_multiple_components=1 (JSA + community college + CBOs).</t>
        </is>
      </c>
      <c r="F100" t="inlineStr">
        <is>
          <t>Demographics: Table 5.2, p. 160. Sample size: Appendix Table C.14 (1,627 ERA, 1,143 control).</t>
        </is>
      </c>
      <c r="G100" t="inlineStr">
        <is>
          <t>Appendix Table C.14, pp. 383-384. Years 1-4.</t>
        </is>
      </c>
      <c r="H100" t="inlineStr">
        <is>
          <t>ITT experimental impact (regression-adjusted difference between ERA and control groups, from UI wage records)</t>
        </is>
      </c>
      <c r="I100" t="inlineStr">
        <is>
          <t>Year 1 → ST; Year 2 → MT; Year 4 → LT. Authors highlight Year 4 as showing sustained gains.</t>
        </is>
      </c>
      <c r="J100" t="inlineStr">
        <is>
          <t>SE reported directly.</t>
        </is>
      </c>
      <c r="K100" t="inlineStr">
        <is>
          <t>Not in this publication.</t>
        </is>
      </c>
      <c r="L100" t="inlineStr">
        <is>
          <t>One of only 3 ERA sites producing positive economic impacts. Growing effects over time suggest durable program effects. Identified by authors as a 'successful' ERA model.</t>
        </is>
      </c>
      <c r="M100" t="inlineStr">
        <is>
          <t>ERA Riverside PASS: delivered 'primarily by three community-based organizations' (Hendra et al. 2010).</t>
        </is>
      </c>
      <c r="N100" t="inlineStr">
        <is>
          <t>No staffing agency partnerships described (Hendra et al. 2010).</t>
        </is>
      </c>
      <c r="O100" t="inlineStr">
        <is>
          <t>'Did not emphasize work-based strategies for advancement and did not seek formal connections between staff and local employers' (Hendra et al. 2010).</t>
        </is>
      </c>
      <c r="P100" t="inlineStr">
        <is>
          <t>Individualized retention/advancement services for already-employed; no dedicated job development component (Hendra et al. 2010).</t>
        </is>
      </c>
      <c r="Q100" t="inlineStr">
        <is>
          <t>No employer role in curriculum; program focused on individual retention services (Hendra et al. 2010).</t>
        </is>
      </c>
      <c r="R100" t="inlineStr">
        <is>
          <t>No employer hiring commitments; retention program for current jobs (Hendra et al. 2010).</t>
        </is>
      </c>
      <c r="S100" t="inlineStr">
        <is>
          <t>public: The Employment Retention and Advancement project was funded by DHHS as a federal demonstration under TANF.</t>
        </is>
      </c>
      <c r="T100" t="inlineStr">
        <is>
          <t>mixed: ERA Riverside PASS was a public-private partnership within the county system.</t>
        </is>
      </c>
      <c r="U100" t="inlineStr">
        <is>
          <t>ERA Riverside PASS: case management. Hendra et al. 2010. Duration ambiguous.</t>
        </is>
      </c>
      <c r="BK100" t="inlineStr">
        <is>
          <t>Hendra et al. 2010, Table 5.6. 'Retention and advancement services': ERA=24.4%, C=20.0%, impact=4.4 (p=0.454). Survey: ERA=120, C=104; Admin: 1627/1143. CAUTION: survey data from early cohort only; late cohort had larger economic impacts but no participation survey.</t>
        </is>
      </c>
      <c r="BL100" t="inlineStr">
        <is>
          <t>Hendra et al. 2010, Table 5.6. 'Education or training': ERA=42.1%, C=39.9%, impact=2.2 (p=0.749). Survey: ERA=120, C=104. CAUTION: early cohort only.</t>
        </is>
      </c>
    </row>
    <row r="101">
      <c r="A101" t="inlineStr">
        <is>
          <t>TJRD</t>
        </is>
      </c>
      <c r="B101" t="inlineStr">
        <is>
          <t>Chicago (Safer Foundation)</t>
        </is>
      </c>
      <c r="C101" t="inlineStr">
        <is>
          <t>UI wage records</t>
        </is>
      </c>
      <c r="D101" t="inlineStr">
        <is>
          <t>Secondary: program is primarily transitional/subsidized employment for ex-prisoners, not classroom training. Some job readiness activities and vocational training available but not the core component. (Table 7.1: only 20.8% participated in vocational training)</t>
        </is>
      </c>
      <c r="E101"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1" t="inlineStr">
        <is>
          <t>Randomization: p. ES-1, 'random assignment beginning in 2007...ended in September 2008' (pp. 19-20). Sample sizes: Table 2.2 (N=374 for Chicago); Appendix Table B.1 (189 TJ, 185 JS). Demographics: Table 2.2, p. 26. Cost: Table 7.2, p. 119.</t>
        </is>
      </c>
      <c r="G101" t="inlineStr">
        <is>
          <t>ST impacts: Table 5.2, pp. 75-76 — Chicago panel, 'Unsubsidized employment in Year 1' and 'Unsubsidized earnings in Year 1' rows.</t>
        </is>
      </c>
      <c r="H101" t="inlineStr">
        <is>
          <t>ITT regression-adjusted impact on unsubsidized employment and earnings (from UI wage records), comparing transitional jobs group to job search group</t>
        </is>
      </c>
      <c r="I101" t="inlineStr">
        <is>
          <t>Only 1-year follow-up available → assigned to ST. Year 1 is the only follow-up horizon in this report.</t>
        </is>
      </c>
      <c r="J101" t="inlineStr">
        <is>
          <t>Employment SE derived from p-value: SE = |−12.9| / Φ^{-1}(1 - 0.016/2) = 12.9/2.41 ≈ 5.4. Earnings SE derived from p-value: SE = |−540| / Φ^{-1}(1 - 0.255/2) = 540/1.14 ≈ 474.2.</t>
        </is>
      </c>
      <c r="K101" t="inlineStr">
        <is>
          <t>Table 7.2, p. 119 (gross cost per TJ group member, 2008 dollars)</t>
        </is>
      </c>
      <c r="L101"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is>
      </c>
      <c r="M101" t="inlineStr">
        <is>
          <t>Safer Foundation is a nonprofit/CBO (admin=private).</t>
        </is>
      </c>
      <c r="N101" t="inlineStr">
        <is>
          <t>Safer Foundation operated Pivotal Staffing LLC, a temporary staffing agency that employed transitional workers and contracted with Allied Waste (Redcross et al. 2010).</t>
        </is>
      </c>
      <c r="O101" t="inlineStr">
        <is>
          <t>Transitional jobs program; no employer engagement in training curricula.</t>
        </is>
      </c>
      <c r="P101" t="inlineStr">
        <is>
          <t>Job placement assistance provided (Redcross et al. 2010).</t>
        </is>
      </c>
      <c r="Q101" t="inlineStr">
        <is>
          <t>No employer role in curriculum design; transitional jobs at recycling plants (Redcross et al. 2010).</t>
        </is>
      </c>
      <c r="R101" t="inlineStr">
        <is>
          <t>No employer hiring commitments described (Redcross et al. 2010).</t>
        </is>
      </c>
      <c r="S101" t="inlineStr">
        <is>
          <t>mixed: The Transitional Jobs Reentry Demonstration was funded by a combination of DOL and private foundations (Joyce Foundation, others). Genuine mixed funding.</t>
        </is>
      </c>
      <c r="T101" t="inlineStr">
        <is>
          <t>private: All four TJRD operators were nonprofits: Safer Foundation (Chicago), Goodwill Industries (Detroit), New Hope Project (Milwaukee), Goodwill/Easter Seals (St. Paul).</t>
        </is>
      </c>
      <c r="U101" t="inlineStr">
        <is>
          <t>TJRD Chicago (Safer Foundation): avg ~4 months in transitional jobs. Redcross et al. 2010.</t>
        </is>
      </c>
      <c r="BK101" t="inlineStr">
        <is>
          <t>Table 4.1: Chicago T=87.3% worked in TJ; C group: 'very few JS group members worked in a transitional job' → ~0%. Redcross et al 2010 p.82.</t>
        </is>
      </c>
      <c r="BL101" t="inlineStr">
        <is>
          <t>Not reported. Survey data were not collected for TJRD (p.85), so no T-C education/training participation data available.</t>
        </is>
      </c>
    </row>
    <row r="102">
      <c r="A102" t="inlineStr">
        <is>
          <t>TJRD</t>
        </is>
      </c>
      <c r="B102" t="inlineStr">
        <is>
          <t>Detroit (Goodwill Industries)</t>
        </is>
      </c>
      <c r="C102" t="inlineStr">
        <is>
          <t>UI wage records</t>
        </is>
      </c>
      <c r="D102" t="inlineStr">
        <is>
          <t>Secondary: program is primarily transitional/subsidized employment for ex-prisoners, not classroom training. Some job readiness activities and vocational training available but not the core component. (Table 7.1: only 20.8% participated in vocational training)</t>
        </is>
      </c>
      <c r="E102"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2" t="inlineStr">
        <is>
          <t>Randomization: pp. 19-20. Sample sizes: Table 2.2 (N=426 for Detroit). Demographics: Table 2.2, p. 26. Cost: Table 7.2, p. 119.</t>
        </is>
      </c>
      <c r="G102" t="inlineStr">
        <is>
          <t>ST impacts: Table 5.2, pp. 75-76 — Detroit panel, 'Unsubsidized employment in Year 1' and 'Unsubsidized earnings in Year 1' rows.</t>
        </is>
      </c>
      <c r="H102" t="inlineStr">
        <is>
          <t>ITT regression-adjusted impact on unsubsidized employment and earnings (from UI wage records), comparing transitional jobs group to job search group</t>
        </is>
      </c>
      <c r="I102" t="inlineStr">
        <is>
          <t>Only 1-year follow-up available → assigned to ST. Year 1 is the only follow-up horizon in this report.</t>
        </is>
      </c>
      <c r="J102" t="inlineStr">
        <is>
          <t>Employment SE: |5.4|/Φ^{-1}(1-0.284/2) = 5.4/1.07 ≈ 5.0. Earnings SE: |448|/Φ^{-1}(1-0.389/2) = 448/0.86 ≈ 520.7.</t>
        </is>
      </c>
      <c r="K102" t="inlineStr">
        <is>
          <t>Table 7.2, p. 119 (gross cost per TJ group member, 2008 dollars)</t>
        </is>
      </c>
      <c r="L102"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is>
      </c>
      <c r="M102" t="inlineStr">
        <is>
          <t>Goodwill Industries is a nonprofit/CBO (admin=private).</t>
        </is>
      </c>
      <c r="N102" t="inlineStr">
        <is>
          <t>No staffing agency; participants worked in Goodwill enterprises directly (Redcross et al. 2010).</t>
        </is>
      </c>
      <c r="O102" t="inlineStr">
        <is>
          <t>Transitional jobs program; no employer engagement in training curricula.</t>
        </is>
      </c>
      <c r="P102" t="inlineStr">
        <is>
          <t>Job placement assistance provided (Redcross et al. 2010).</t>
        </is>
      </c>
      <c r="Q102" t="inlineStr">
        <is>
          <t>No employer role in curriculum design; work in Goodwill retail/manufacturing (Redcross et al. 2010).</t>
        </is>
      </c>
      <c r="R102" t="inlineStr">
        <is>
          <t>No employer hiring commitments during TJRD study period (Redcross et al. 2010).</t>
        </is>
      </c>
      <c r="S102" t="inlineStr">
        <is>
          <t>mixed: The Transitional Jobs Reentry Demonstration was funded by a combination of DOL and private foundations (Joyce Foundation, others). Genuine mixed funding.</t>
        </is>
      </c>
      <c r="T102" t="inlineStr">
        <is>
          <t>private: All four TJRD operators were nonprofits: Safer Foundation (Chicago), Goodwill Industries (Detroit), New Hope Project (Milwaukee), Goodwill/Easter Seals (St. Paul).</t>
        </is>
      </c>
      <c r="U102" t="inlineStr">
        <is>
          <t>TJRD Detroit (Goodwill): avg ~4 months in transitional jobs. Redcross et al. 2010.</t>
        </is>
      </c>
      <c r="BK102" t="inlineStr">
        <is>
          <t>Table 4.1: Detroit T=87.7% worked in TJ; C group ~0%. Redcross et al 2010 p.82.</t>
        </is>
      </c>
      <c r="BL102" t="inlineStr">
        <is>
          <t>Not reported. Survey data were not collected for TJRD (p.85).</t>
        </is>
      </c>
    </row>
    <row r="103">
      <c r="A103" t="inlineStr">
        <is>
          <t>TJRD</t>
        </is>
      </c>
      <c r="B103" t="inlineStr">
        <is>
          <t>Milwaukee (New Hope Project)</t>
        </is>
      </c>
      <c r="C103" t="inlineStr">
        <is>
          <t>UI wage records</t>
        </is>
      </c>
      <c r="D103" t="inlineStr">
        <is>
          <t>Secondary: program is primarily transitional/subsidized employment for ex-prisoners, not classroom training. Some job readiness activities and vocational training available but not the core component. (Table 7.1: only 20.8% participated in vocational training)</t>
        </is>
      </c>
      <c r="E103"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3" t="inlineStr">
        <is>
          <t>Randomization: pp. 19-20. Sample sizes: Table 2.2 (N=507 for Milwaukee). Demographics: Table 2.2, p. 26. Cost: Table 7.2, p. 119.</t>
        </is>
      </c>
      <c r="G103" t="inlineStr">
        <is>
          <t>ST impacts: Table 5.2, pp. 75-76 — Milwaukee panel.</t>
        </is>
      </c>
      <c r="H103" t="inlineStr">
        <is>
          <t>ITT regression-adjusted impact on unsubsidized employment and earnings (from UI wage records), comparing transitional jobs group to job search group</t>
        </is>
      </c>
      <c r="I103" t="inlineStr">
        <is>
          <t>Only 1-year follow-up available → assigned to ST. Year 1 is the only follow-up horizon in this report.</t>
        </is>
      </c>
      <c r="J103" t="inlineStr">
        <is>
          <t>Employment SE: |−8.3|/Φ^{-1}(1-0.055/2) = 8.3/1.92 ≈ 4.3. Earnings SE: |−98|/Φ^{-1}(1-0.854/2) = 98/0.18 ≈ 533.9.</t>
        </is>
      </c>
      <c r="K103" t="inlineStr">
        <is>
          <t>Table 7.2, p. 119</t>
        </is>
      </c>
      <c r="L103"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is>
      </c>
      <c r="M103" t="inlineStr">
        <is>
          <t>New Hope Project is a nonprofit/CBO (admin=private).</t>
        </is>
      </c>
      <c r="N103" t="inlineStr">
        <is>
          <t>No staffing agency; scattered-site model, participants employed by New Hope (Redcross et al. 2010).</t>
        </is>
      </c>
      <c r="O103" t="inlineStr">
        <is>
          <t>Transitional jobs program; no employer engagement in training curricula.</t>
        </is>
      </c>
      <c r="P103" t="inlineStr">
        <is>
          <t>Job placement assistance provided (Redcross et al. 2010).</t>
        </is>
      </c>
      <c r="Q103" t="inlineStr">
        <is>
          <t>No employer role in curriculum design (Redcross et al. 2010).</t>
        </is>
      </c>
      <c r="R103" t="inlineStr">
        <is>
          <t>No employer hiring commitments described (Redcross et al. 2010).</t>
        </is>
      </c>
      <c r="S103" t="inlineStr">
        <is>
          <t>mixed: The Transitional Jobs Reentry Demonstration was funded by a combination of DOL and private foundations (Joyce Foundation, others). Genuine mixed funding.</t>
        </is>
      </c>
      <c r="T103" t="inlineStr">
        <is>
          <t>private: All four TJRD operators were nonprofits: Safer Foundation (Chicago), Goodwill Industries (Detroit), New Hope Project (Milwaukee), Goodwill/Easter Seals (St. Paul).</t>
        </is>
      </c>
      <c r="U103" t="inlineStr">
        <is>
          <t>TJRD Milwaukee (New Hope): avg ~4 months in transitional jobs. Redcross et al. 2010.</t>
        </is>
      </c>
      <c r="BK103" t="inlineStr">
        <is>
          <t>Table 4.1: Milwaukee T=69.9% worked in TJ; C group ~0%. Redcross et al 2010 p.82.</t>
        </is>
      </c>
      <c r="BL103" t="inlineStr">
        <is>
          <t>Not reported. Survey data were not collected for TJRD (p.85).</t>
        </is>
      </c>
    </row>
    <row r="104">
      <c r="A104" t="inlineStr">
        <is>
          <t>TJRD</t>
        </is>
      </c>
      <c r="B104" t="inlineStr">
        <is>
          <t>St. Paul (Goodwill/Easter Seals)</t>
        </is>
      </c>
      <c r="C104" t="inlineStr">
        <is>
          <t>UI wage records</t>
        </is>
      </c>
      <c r="D104" t="inlineStr">
        <is>
          <t>Secondary: program is primarily transitional/subsidized employment for ex-prisoners, not classroom training. Some job readiness activities and vocational training available but not the core component. (Table 7.1: only 20.8% participated in vocational training)</t>
        </is>
      </c>
      <c r="E104"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4" t="inlineStr">
        <is>
          <t>Randomization: pp. 19-20. Sample sizes: Table 2.2 (N=506 for St. Paul). Demographics: Table 2.2, p. 26. Cost: Table 7.2, p. 119.</t>
        </is>
      </c>
      <c r="G104" t="inlineStr">
        <is>
          <t>ST impacts: Table 5.2, pp. 75-76 — St. Paul panel. SEs from footnote a: employment SE=4.206, earnings SE=507.815.</t>
        </is>
      </c>
      <c r="H104" t="inlineStr">
        <is>
          <t>ITT regression-adjusted impact on unsubsidized employment and earnings (from UI wage records), comparing transitional jobs group to job search group</t>
        </is>
      </c>
      <c r="I104" t="inlineStr">
        <is>
          <t>Only 1-year follow-up available → assigned to ST. Year 1 is the only follow-up horizon in this report.</t>
        </is>
      </c>
      <c r="J104" t="inlineStr">
        <is>
          <t>SE reported in Table 5.2 footnote a: employment SE=4.206, earnings SE=507.815.</t>
        </is>
      </c>
      <c r="K104" t="inlineStr">
        <is>
          <t>Table 7.2, p. 119</t>
        </is>
      </c>
      <c r="L104"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is>
      </c>
      <c r="M104" t="inlineStr">
        <is>
          <t>Goodwill/Easter Seals is a nonprofit/CBO (admin=private).</t>
        </is>
      </c>
      <c r="N104" t="inlineStr">
        <is>
          <t>No staffing agency; participants worked in Goodwill/Easter Seals retail facilities (Redcross et al. 2010).</t>
        </is>
      </c>
      <c r="O104" t="inlineStr">
        <is>
          <t>Transitional jobs program; no employer engagement in training curricula.</t>
        </is>
      </c>
      <c r="P104" t="inlineStr">
        <is>
          <t>Job placement assistance provided (Redcross et al. 2010).</t>
        </is>
      </c>
      <c r="Q104" t="inlineStr">
        <is>
          <t>No employer role in curriculum design (Redcross et al. 2010).</t>
        </is>
      </c>
      <c r="R104" t="inlineStr">
        <is>
          <t>No employer hiring commitments described (Redcross et al. 2010).</t>
        </is>
      </c>
      <c r="S104" t="inlineStr">
        <is>
          <t>mixed: The Transitional Jobs Reentry Demonstration was funded by a combination of DOL and private foundations (Joyce Foundation, others). Genuine mixed funding.</t>
        </is>
      </c>
      <c r="T104" t="inlineStr">
        <is>
          <t>private: All four TJRD operators were nonprofits: Safer Foundation (Chicago), Goodwill Industries (Detroit), New Hope Project (Milwaukee), Goodwill/Easter Seals (St. Paul).</t>
        </is>
      </c>
      <c r="U104" t="inlineStr">
        <is>
          <t>TJRD St. Paul (Goodwill/Easter Seals): avg ~4 months in transitional jobs. Redcross et al. 2010.</t>
        </is>
      </c>
      <c r="BK104" t="inlineStr">
        <is>
          <t>Table 4.1: St. Paul T=97.2% worked in TJ; C group ~0%. Redcross et al 2010 p.82.</t>
        </is>
      </c>
      <c r="BL104" t="inlineStr">
        <is>
          <t>Not reported. Survey data were not collected for TJRD (p.85).</t>
        </is>
      </c>
    </row>
    <row r="105">
      <c r="A105" t="inlineStr">
        <is>
          <t>CEO</t>
        </is>
      </c>
      <c r="B105" t="inlineStr">
        <is>
          <t>New York City</t>
        </is>
      </c>
      <c r="C105" t="inlineStr">
        <is>
          <t>UI wage records and NDNH</t>
        </is>
      </c>
      <c r="D105" t="inlineStr">
        <is>
          <t>Secondary: CEO's core service is transitional employment (subsidized work crews). The 5-day life skills class is brief orientation, not vocational training. Job coaching and job development are employment services, not classroom training.</t>
        </is>
      </c>
      <c r="E105" t="inlineStr">
        <is>
          <t>has_ojt=1: transitional jobs = structured subsidized work experience. has_jsa=1: job coaching, job development, job search resource room. has_classroom=0: 5-day life skills class is very brief orientation. has_multiple_components=1: combines transitional jobs, life skills, job coaching, fatherhood program, retention services.</t>
        </is>
      </c>
      <c r="F105" t="inlineStr">
        <is>
          <t>Randomization period: p. 13, 'Study enrollment was conducted between January 2004 and October 2005.' Sample sizes: Table 1.1, p. 10 (568 program, 409 control). Demographics: Table 1.1, pp. 9-11. Cost: Table 4.1, p. 60.</t>
        </is>
      </c>
      <c r="G105" t="inlineStr">
        <is>
          <t>MT impacts: Table 3.1, pp. 29-30 — 'Postprogram unsubsidized employment outcomes (Years 2-3)' panel: 'Average quarterly unsubsidized employment' row for employment; 'Unsubsidized earnings' row in 'Earnings (Years 2-3)' panel.</t>
        </is>
      </c>
      <c r="H105" t="inlineStr">
        <is>
          <t>ITT regression-adjusted impact, weighted by week of random assignment, on postprogram (Years 2-3) unsubsidized employment and earnings (from UI wage records and NDNH)</t>
        </is>
      </c>
      <c r="I105" t="inlineStr">
        <is>
          <t>No ST: Year 1 earnings missing; Year 1 employment includes transitional jobs. MT at 3 years: postprogram Years 2-3 unsubsidized outcomes (Table 3.1). 3-year follow-up total, postprogram period is Years 2-3.</t>
        </is>
      </c>
      <c r="J105" t="inlineStr">
        <is>
          <t>Employment SE: |1.1|/Φ^{-1}(1-0.618/2) = 1.1/0.50 ≈ 2.2. Earnings SE: |486|/Φ^{-1}(1-0.715/2) = 486/0.37 ≈ 1331.0.</t>
        </is>
      </c>
      <c r="K105" t="inlineStr">
        <is>
          <t>Table 4.1, p. 60. Net cost = $4,807 per program group member (2009 dollars). Adjusted from Redcross et al. 2009 ($4,263 with 3% discount + inflation).</t>
        </is>
      </c>
      <c r="L105" t="inlineStr">
        <is>
          <t>Year 1 earnings missing — significant limitation. Employment measure for MT is average quarterly rate, not a point-in-time rate at a specific quarter. Earnings are cumulative over 8 quarters, not annualized. 93% male; 7% female included but results similar for males only (footnote 23, p. 9).</t>
        </is>
      </c>
      <c r="M105" t="inlineStr">
        <is>
          <t>CEO is a CBO (admin=private).</t>
        </is>
      </c>
      <c r="N105" t="inlineStr">
        <is>
          <t>No staffing agency; CEO operates its own work crews and job development unit (Redcross et al. 2012).</t>
        </is>
      </c>
      <c r="O105" t="inlineStr">
        <is>
          <t>No employer engagement in preemployment class curricula.</t>
        </is>
      </c>
      <c r="P105" t="inlineStr">
        <is>
          <t>Participants 'worked with job developers to find permanent employment' — explicit dedicated job development (Redcross et al. 2012).</t>
        </is>
      </c>
      <c r="Q105" t="inlineStr">
        <is>
          <t>No employer role in CEO curriculum; life skills/work readiness designed by CEO staff (Redcross et al. 2012).</t>
        </is>
      </c>
      <c r="R105" t="inlineStr">
        <is>
          <t>Job developers cultivate employer accounts and use tax credits/bonding as incentives, but no formal employer hiring commitments (Redcross et al. 2012).</t>
        </is>
      </c>
      <c r="S105" t="inlineStr">
        <is>
          <t>public: The Center for Employment Opportunities is primarily funded by government contracts (NYC, DOL, state corrections). Government is the dominant funder of program operations.</t>
        </is>
      </c>
      <c r="T105" t="inlineStr">
        <is>
          <t>private: CEO is a nonprofit organization that directly administers its transitional employment program.</t>
        </is>
      </c>
      <c r="U105" t="inlineStr">
        <is>
          <t>CEO NYC: avg ~9 weeks (~2 months) of actual transitional work, spread over ~4 months of engagement. Redcross et al. 2012.</t>
        </is>
      </c>
      <c r="BK105" t="inlineStr">
        <is>
          <t>Table 2.1: T=70.5% worked in CEO TJ; C=2.2% worked in CEO (9 control members). Impact=70.5-2.2=68.3pp. Redcross et al 2012 p.28.</t>
        </is>
      </c>
      <c r="BL105" t="inlineStr">
        <is>
          <t>Table 2.2: 'Participated in an education/training activity': T=26.5%, C=29.1%, Impact=-2.6 (p=0.515). Redcross et al 2012 p.33.</t>
        </is>
      </c>
    </row>
    <row r="106">
      <c r="A106" t="inlineStr">
        <is>
          <t>Enhanced Services for the Hard-to-Employ</t>
        </is>
      </c>
      <c r="B106" t="inlineStr">
        <is>
          <t>TWC (Transitional Work Corporation)</t>
        </is>
      </c>
      <c r="C106" t="inlineStr">
        <is>
          <t>NDNH</t>
        </is>
      </c>
      <c r="D106" t="inlineStr">
        <is>
          <t>Secondary: TWC's core is transitional jobs (subsidized employment), not classroom. Some classroom components exist (2-week orientation, 10 hrs/week professional development including GED prep and job readiness) but these supplement the work experience.</t>
        </is>
      </c>
      <c r="E106" t="inlineStr">
        <is>
          <t>has_classroom=1: 2-week orientation + 10 hrs/week professional development including GED prep and job readiness instruction (p. ES-2). has_ojt=1: transitional jobs at government/nonprofit agencies. has_jsa=1: job search instruction, job placement assistance. has_multiple_components=1: combines transitional jobs, classroom, job search, retention services.</t>
        </is>
      </c>
      <c r="F106" t="inlineStr">
        <is>
          <t>Randomization: p. ES-3, 'Random assignment ran from October 2004 to May 2006.' Sample sizes: Table 1.1, p. 11 (731 TWC, 486 control). Demographics: Table 1.1, pp. 10-12. Cost: p. 52.</t>
        </is>
      </c>
      <c r="G106" t="inlineStr">
        <is>
          <t>ST: Appendix Table B.1, pp. 79-81, Q4 row (unsubsidized employment and earnings). MT: Appendix Table B.1, Q8 row. LT: Appendix Table B.1, Q16 row.</t>
        </is>
      </c>
      <c r="H106" t="inlineStr">
        <is>
          <t>ITT regression-adjusted OLS impact on unsubsidized employment and earnings (from NDNH quarterly wage data)</t>
        </is>
      </c>
      <c r="I106" t="inlineStr">
        <is>
          <t>4-year follow-up with 16 quarterly observations. ST = Q4 (end of Year 1, ~1 year post-RA). MT = Q8 (end of Year 2, ~2 years post-RA). LT = Q16 (end of Year 4, ~4 years post-RA).</t>
        </is>
      </c>
      <c r="J106" t="inlineStr">
        <is>
          <t>All SEs derived from p-values. ST emp: |4.2|/Φ^{-1}(1-0.114/2). ST earn: |110|/Φ^{-1}(1-0.241/2). MT emp: |0.2|/Φ^{-1}(1-0.945/2). MT earn: |68|/Φ^{-1}(1-0.553/2). LT emp: |2.6|/Φ^{-1}(1-0.351/2). LT earn: |217|/Φ^{-1}(1-0.114/2).</t>
        </is>
      </c>
      <c r="K106" t="inlineStr">
        <is>
          <t>p. 52: 'cost of providing TWC services was about $3,500 per TWC group member'</t>
        </is>
      </c>
      <c r="L106" t="inlineStr">
        <is>
          <t>All impacts use UNSUBSIDIZED employment/earnings from Appendix Table B.1 (excluding transitional jobs). Total employment shows significant early impacts. Nearly 100% female (single mothers on TANF; 'gender is not shown in the table', p. 10, but text says 'large majority of sample members were single mothers'). Three-arm design: TWC and STEP share the same control group.</t>
        </is>
      </c>
      <c r="M106" t="inlineStr">
        <is>
          <t>Transitional Work Corporation is a nonprofit/CBO (admin=private).</t>
        </is>
      </c>
      <c r="N106" t="inlineStr">
        <is>
          <t>No staffing agency partnerships described (Jacobs &amp; Bloom 2011).</t>
        </is>
      </c>
      <c r="O106" t="inlineStr">
        <is>
          <t>No employer engagement in curricula described (Jacobs &amp; Bloom 2011).</t>
        </is>
      </c>
      <c r="P106" t="inlineStr">
        <is>
          <t>Job placement assistance after transitional job (Jacobs &amp; Bloom 2011).</t>
        </is>
      </c>
      <c r="Q106" t="inlineStr">
        <is>
          <t>No employer role in curriculum design (Jacobs &amp; Bloom 2011).</t>
        </is>
      </c>
      <c r="R106" t="inlineStr">
        <is>
          <t>No employer hiring commitments described (Jacobs &amp; Bloom 2011).</t>
        </is>
      </c>
      <c r="S106" t="inlineStr">
        <is>
          <t>public: Enhanced Services for the Hard-to-Employ was funded by DHHS as a federal demonstration.</t>
        </is>
      </c>
      <c r="T106" t="inlineStr">
        <is>
          <t>private: Both TWC (Transitional Work Corporation) and STEP (Success Through Employment Preparation) were nonprofit organizations.</t>
        </is>
      </c>
      <c r="U106" t="inlineStr">
        <is>
          <t>TWC: 2-week orientation + up to 6 months transitional job. Bloom et al. 2011.</t>
        </is>
      </c>
      <c r="BK106" t="inlineStr">
        <is>
          <t>Table ES.1: TWC ever in TJ: T=64.8%, C=23.1%, Impact=41.7***. Jacobs and Bloom 2011 p.ES-7.</t>
        </is>
      </c>
      <c r="BL106" t="inlineStr">
        <is>
          <t>Table 3.1: Education/training: T=33.9%, C=38.1%, Impact=-4.2. Jacobs and Bloom 2011 p.39.</t>
        </is>
      </c>
    </row>
    <row r="107">
      <c r="A107" t="inlineStr">
        <is>
          <t>Enhanced Services for the Hard-to-Employ</t>
        </is>
      </c>
      <c r="B107" t="inlineStr">
        <is>
          <t>STEP (Success Through Employment Preparation)</t>
        </is>
      </c>
      <c r="C107" t="inlineStr">
        <is>
          <t>NDNH</t>
        </is>
      </c>
      <c r="D107" t="inlineStr">
        <is>
          <t>Secondary: STEP focuses on barrier assessment and treatment (counseling, behavioral health) with some classroom components (life skills, GED prep). Not primarily a training/classroom program.</t>
        </is>
      </c>
      <c r="E107" t="inlineStr">
        <is>
          <t>has_classroom=1: life skills classes, GED preparation as part of treatment plan. has_ojt=0: no transitional jobs or work experience component. has_jsa=1: job development and placement services. has_multiple_components=1: assessment, counseling, life skills, GED prep, job search.</t>
        </is>
      </c>
      <c r="F107" t="inlineStr">
        <is>
          <t>Randomization: p. ES-3. Sample sizes: Table 1.1 (725 STEP, 486 control). Demographics: Table 1.1. Control group shared with TWC (footnote 4, p. 59).</t>
        </is>
      </c>
      <c r="G107" t="inlineStr">
        <is>
          <t>ST: Appendix Table B.2, pp. 81-82, Q4 row. MT: Appendix Table B.2, Q8 row. LT: Appendix Table B.2, Q16 row.</t>
        </is>
      </c>
      <c r="H107" t="inlineStr">
        <is>
          <t>ITT regression-adjusted OLS impact on unsubsidized employment and earnings (from NDNH quarterly wage data)</t>
        </is>
      </c>
      <c r="I107" t="inlineStr">
        <is>
          <t>Same as TWC: ST=Q4 (~1yr), MT=Q8 (~2yr), LT=Q16 (~4yr).</t>
        </is>
      </c>
      <c r="J107" t="inlineStr">
        <is>
          <t>All SEs derived from p-values where impact ≠ 0. LT employment: impact=0.0, p=0.988 — SE not derivable (impact is exactly zero).</t>
        </is>
      </c>
      <c r="K107" t="inlineStr">
        <is>
          <t>Not reported separately for STEP in this report.</t>
        </is>
      </c>
      <c r="L107" t="inlineStr">
        <is>
          <t>STEP was designed specifically for this study — not a pre-existing program. Low participation may have attenuated impacts. Same control group as TWC; TWC and STEP treated as separate experiments. Nearly 100% female.</t>
        </is>
      </c>
      <c r="M107" t="inlineStr">
        <is>
          <t>JEVS Human Services is a CBO (admin=private).</t>
        </is>
      </c>
      <c r="N107" t="inlineStr">
        <is>
          <t>No staffing agency partnerships described (Jacobs &amp; Bloom 2011).</t>
        </is>
      </c>
      <c r="O107" t="inlineStr">
        <is>
          <t>No employer engagement in curricula described (Jacobs &amp; Bloom 2011).</t>
        </is>
      </c>
      <c r="P107" t="inlineStr">
        <is>
          <t>Job development/placement described (Jacobs &amp; Bloom 2011).</t>
        </is>
      </c>
      <c r="Q107" t="inlineStr">
        <is>
          <t>No employer role in curriculum design (Jacobs &amp; Bloom 2011).</t>
        </is>
      </c>
      <c r="R107" t="inlineStr">
        <is>
          <t>No employer hiring commitments described (Jacobs &amp; Bloom 2011).</t>
        </is>
      </c>
      <c r="S107" t="inlineStr">
        <is>
          <t>public: Enhanced Services for the Hard-to-Employ was funded by DHHS as a federal demonstration.</t>
        </is>
      </c>
      <c r="T107" t="inlineStr">
        <is>
          <t>private: Both TWC (Transitional Work Corporation) and STEP (Success Through Employment Preparation) were nonprofit organizations.</t>
        </is>
      </c>
      <c r="U107" t="inlineStr">
        <is>
          <t>STEP: duration not clearly reported. Bloom et al. 2011.</t>
        </is>
      </c>
      <c r="BK107" t="inlineStr">
        <is>
          <t>Text p.ES-4: ~77% enrolled in STEP. C group could not access STEP → C≈0%. Jacobs and Bloom 2011.</t>
        </is>
      </c>
      <c r="BL107" t="inlineStr">
        <is>
          <t>Table 6.2: Education/training: T=41.1%, C=38.1%, Impact=3.0. Jacobs and Bloom 2011 p.98.</t>
        </is>
      </c>
    </row>
    <row r="108">
      <c r="A108" t="inlineStr">
        <is>
          <t>Transitional Employment Training Demonstration (TETD)</t>
        </is>
      </c>
      <c r="B108" t="inlineStr">
        <is>
          <t>Pooled (8 agencies)</t>
        </is>
      </c>
      <c r="C108" t="inlineStr">
        <is>
          <t>SSA Supplemental Security Records</t>
        </is>
      </c>
      <c r="D108" t="inlineStr">
        <is>
          <t>Primary: the core intervention is transitional employment with on-the-job training and job placement as the central service.</t>
        </is>
      </c>
      <c r="E108" t="inlineStr">
        <is>
          <t>has_ojt=1: structured on-the-job training in community positions. has_jsa=1: job search, placement, and follow-along support. has_classroom=0: no formal classroom instruction described. has_multiple_components=1: combines OJT, placement, subsidized employment.</t>
        </is>
      </c>
      <c r="F108" t="inlineStr">
        <is>
          <t>Table 1 (p.73): demographics, N=745 (375 T, 370 C). Randomization period 1985-1987 from Table 3 title.</t>
        </is>
      </c>
      <c r="G108" t="inlineStr">
        <is>
          <t>ST (Year 1): Table 2 row 'Year 1' (earn $678 SE=96 ctrl=$615), Table 3 row 'Year 1' (emp 14.6pp SE=4.5 ctrl=39.6%). MT (Year 2): Table 2 row 'Year 2' (earn $835 SE=137 ctrl=$921), Table 3 row 'Year 2' (emp 12.2pp SE=4.3 ctrl=44.8%). LT: Table 2 row 'Year 6' (earn $637 SE=182 ctrl=$1131), Table 3 row 'Year 3' (emp 8.1pp SE=4.3 ctrl=48.6%).</t>
        </is>
      </c>
      <c r="H108" t="inlineStr">
        <is>
          <t>ITT: OLS regression for earnings, logistic regression for employment, controlling for project and individual preenrollment characteristics.</t>
        </is>
      </c>
      <c r="I108" t="inlineStr">
        <is>
          <t>ST=Year 1 (1yr post-enrollment), MT=Year 2 (2yr), LT=Year 6 earnings / Year 3 employment. Year 3 employment used for LT because SE available; Year 6 employment (~10pp) also significant but SE not captured from scanned OCR.</t>
        </is>
      </c>
      <c r="J108" t="inlineStr">
        <is>
          <t>SE reported directly in Tables 2 and 3. Stars converted to standard two-tailed convention: paper uses one-tailed tests (**=1% one-tailed ≈ 2% two-tailed). Actual t-stats from reported SEs are large enough for *** in standard convention.</t>
        </is>
      </c>
      <c r="K108" t="inlineStr">
        <is>
          <t>Not extracted; paper does not report per-participant cost.</t>
        </is>
      </c>
      <c r="L108" t="inlineStr">
        <is>
          <t>Paper significance convention differs from standard: *=5% one-tailed, **=1% one-tailed. All impacts far exceed standard two-tailed thresholds. LT employment uses Year 3 data (SE available) rather than Year 6 (SE unavailable from OCR). Sample: 88% retained at 6-year follow-up due to SSI exits.</t>
        </is>
      </c>
      <c r="M108" t="inlineStr">
        <is>
          <t>Operated by nonprofit agencies (admin=private).</t>
        </is>
      </c>
      <c r="N108" t="inlineStr">
        <is>
          <t>No staffing agency partnerships described (Decker &amp; Thornton 1995).</t>
        </is>
      </c>
      <c r="O108" t="inlineStr">
        <is>
          <t>Transitional employment for mentally ill; no employer engagement in training curricula (Decker &amp; Thornton 1995).</t>
        </is>
      </c>
      <c r="P108" t="inlineStr">
        <is>
          <t>Phase 2 provided follow-along support and competitive job placement (Decker &amp; Thornton 1995).</t>
        </is>
      </c>
      <c r="Q108" t="inlineStr">
        <is>
          <t>No employer role in curriculum design (Decker &amp; Thornton 1995).</t>
        </is>
      </c>
      <c r="R108" t="inlineStr">
        <is>
          <t>No employer hiring commitments described (Decker &amp; Thornton 1995).</t>
        </is>
      </c>
      <c r="S108" t="inlineStr">
        <is>
          <t>public: Transitional Employment Training Demonstration was funded by DOL.</t>
        </is>
      </c>
      <c r="T108" t="inlineStr">
        <is>
          <t>private: The program was operated by 8 local community-based agencies (nonprofits) that provided transitional employment to ex-offenders.</t>
        </is>
      </c>
      <c r="U108" t="inlineStr">
        <is>
          <t>TETD: transitional employment services provided for up to 1 year (12 months) after enrollment. Decker &amp; Thornton 1995.</t>
        </is>
      </c>
      <c r="BK108" t="inlineStr">
        <is>
          <t>Decker &amp; Thornton 1995, p.73: 'demonstration agencies placed two-thirds of the treatment group members in jobs during the demonstration.' C excluded from demo services, so C=0%.</t>
        </is>
      </c>
      <c r="BL108" t="inlineStr">
        <is>
          <t>Not reported. Paper reports only earnings and SSI impacts; no data on education/training receipt for T or C groups.</t>
        </is>
      </c>
    </row>
    <row r="109">
      <c r="A109" t="inlineStr">
        <is>
          <t>New Chance</t>
        </is>
      </c>
      <c r="B109" t="inlineStr">
        <is>
          <t>Pooled (16 sites)</t>
        </is>
      </c>
      <c r="C109" t="inlineStr">
        <is>
          <t>self-report (survey)</t>
        </is>
      </c>
      <c r="D109" t="inlineStr">
        <is>
          <t>Primary: core services include GED preparation, skills training, and college coursework with employment as the central goal.</t>
        </is>
      </c>
      <c r="E109" t="inlineStr">
        <is>
          <t>has_classroom=1: GED prep, skills training, college. has_ojt=0: no structured on-the-job training described. has_jsa=1: job placement assistance. has_multiple_components=1: bundles education, training, job placement, parenting, family planning, child care.</t>
        </is>
      </c>
      <c r="F109" t="inlineStr">
        <is>
          <t>Table 3.1 (p.38): demographics (age 18.8, 52.4% Black, 22.8% Hispanic, 22.5% White, 93.9% without HS diploma/GED). Table ES-7 (p.ES-20): N=1,401 T + 678 C. Randomization ~1989-1992 from report context. mean_years_schooling: 'Average highest grade completed' = 9.9 from Quint, Bos, and Polit 1997, baseline characteristics table.</t>
        </is>
      </c>
      <c r="G109" t="inlineStr">
        <is>
          <t>LT: Table ES-7 row 'Employed at month 42' (emp -3.1pp, ctrl 30.9%), row 'Months 31-42 total earnings' (earn -$33, ctrl $3,045).</t>
        </is>
      </c>
      <c r="H109" t="inlineStr">
        <is>
          <t>ITT regression-adjusted difference between experimental and control group means.</t>
        </is>
      </c>
      <c r="I109" t="inlineStr">
        <is>
          <t>LT=3.5 years (42 months). Only LT extracted because earlier periods (months 1-18) show contamination from program participation period. Months 31-42 = year 2.5-3.5 post-RA, classified as long-term.</t>
        </is>
      </c>
      <c r="J109" t="inlineStr">
        <is>
          <t>SEs not reported. Neither employment nor earnings impacts at months 31-42 are statistically significant.</t>
        </is>
      </c>
      <c r="K109" t="inlineStr">
        <is>
          <t>Not extracted.</t>
        </is>
      </c>
      <c r="L109" t="inlineStr">
        <is>
          <t>Null results: program produced no significant positive employment or earnings impacts at 42-month follow-up. During months 1-6, control group had significantly higher employment (as expected during program participation). 2:1 T:C ratio limits precision.</t>
        </is>
      </c>
      <c r="M109" t="inlineStr">
        <is>
          <t>Operated by CBOs at 16 sites (admin=private).</t>
        </is>
      </c>
      <c r="N109" t="inlineStr">
        <is>
          <t>No staffing agency partnerships described (Quint, Bos &amp; Polit 1997).</t>
        </is>
      </c>
      <c r="O109" t="inlineStr">
        <is>
          <t>No employer engagement in curricula described (Quint, Bos &amp; Polit 1997).</t>
        </is>
      </c>
      <c r="P109" t="inlineStr">
        <is>
          <t>Job placement assistance provided (Quint et al. 1997).</t>
        </is>
      </c>
      <c r="Q109" t="inlineStr">
        <is>
          <t>No employer role in curriculum design (Quint, Bos &amp; Polit 1997).</t>
        </is>
      </c>
      <c r="R109" t="inlineStr">
        <is>
          <t>No employer hiring commitments described (Quint, Bos &amp; Polit 1997).</t>
        </is>
      </c>
      <c r="S109" t="inlineStr">
        <is>
          <t>mixed: New Chance was funded by a consortium of federal agencies (DHHS, DOL) and private foundations (Ford Foundation, William T. Grant Foundation, Charles Stewart Mott Foundation, Pew Charitable Trusts). Both public and private sources contributed significantly to program operations. Changed from 'public' to 'mixed' upon review.</t>
        </is>
      </c>
      <c r="T109" t="inlineStr">
        <is>
          <t>private: New Chance was operated at 16 community-based sites by nonprofit organizations.</t>
        </is>
      </c>
      <c r="U109" t="inlineStr">
        <is>
          <t>New Chance: designed for up to 18 months; avg active participation 6.4 months. Quint et al. 1997, p. ES-7.</t>
        </is>
      </c>
      <c r="BK109" t="inlineStr">
        <is>
          <t>Table ES-3: ~89% of experimental group participated in some New Chance activity. C could not access New Chance → C≈0%. Quint, Bos, and Polit 1997.</t>
        </is>
      </c>
      <c r="BL109" t="inlineStr">
        <is>
          <t>Table ES-3: Any education, skills training, or job club: T=94.5%, C=85.9%, Impact=8.6***. Quint, Bos, and Polit 1997.</t>
        </is>
      </c>
    </row>
    <row r="110">
      <c r="A110" t="inlineStr">
        <is>
          <t>Employment Retention and Advancement (ERA)</t>
        </is>
      </c>
      <c r="B110" t="inlineStr">
        <is>
          <t>NYC PRIDE (single parents)</t>
        </is>
      </c>
      <c r="C110" t="inlineStr">
        <is>
          <t>UI wage records</t>
        </is>
      </c>
      <c r="D110" t="inlineStr">
        <is>
          <t>Secondary: PRIDE is primarily a welfare-to-work/employment retention program. Training (VR/WBE tracks) is one component but mandatory participation and case management are the core.</t>
        </is>
      </c>
      <c r="E110" t="inlineStr">
        <is>
          <t>has_classroom=1: WBE track includes education component. has_ojt=1: work experience placements, VR track. has_jsa=1: job search activities, case management. has_multiple_components=1: multiple tracks, sanctions, case management.</t>
        </is>
      </c>
      <c r="F110" t="inlineStr">
        <is>
          <t>Table 1 (p.7): demographics (age 39, 49.5% Hispanic, 36.6% Black, 10.5% White, N=2,648). Table 6 (p.38): N=1,553 T + 1,095 C.</t>
        </is>
      </c>
      <c r="G110" t="inlineStr">
        <is>
          <t>ST (Year 1): Table 6 'Year 1' rows: ever employed 4.3pp (p=0.004, ctrl 18.7%), earnings $163 (NA). MT (Year 2): Table 6 'Year 2' rows: ever employed 5.1pp (p=0.002, ctrl 22.0%), earnings $391 (NA).</t>
        </is>
      </c>
      <c r="H110" t="inlineStr">
        <is>
          <t>ITT regression-adjusted impact, controlling for race/ethnicity, children, age of children, service provider, intake period, prior food stamp receipt, prior employment, prior TANF receipt.</t>
        </is>
      </c>
      <c r="I110" t="inlineStr">
        <is>
          <t>ST=Year 1, MT=Year 2. No LT data (only 2-year follow-up in this report).</t>
        </is>
      </c>
      <c r="J110" t="inlineStr">
        <is>
          <t>Employment SE derived from exact p-values: Year 1 SE = |4.3| / z(1 - 0.004/2) = 4.3/2.88 = 1.49. Year 2 SE = |5.1| / z(1 - 0.002/2) = 5.1/3.09 = 1.65. Earnings SE: not available (significance not tested).</t>
        </is>
      </c>
      <c r="K110" t="inlineStr">
        <is>
          <t>Not extracted.</t>
        </is>
      </c>
      <c r="L110" t="inlineStr">
        <is>
          <t>Earnings SEs unavailable: NY State provided only group-average earnings (16 groups), too few for significance test. Employment uses 'ever employed' (cumulative measure) rather than point-in-time rate. PRIDE targets hard-to-employ population with health barriers; very low employment rates.</t>
        </is>
      </c>
      <c r="M110" t="inlineStr">
        <is>
          <t>NYC PRIDE: public welfare-to-work program for TANF recipients (admin=public). Vocational rehabilitation and work-based education tracks. No CBO lead.</t>
        </is>
      </c>
      <c r="N110" t="inlineStr">
        <is>
          <t>NYC PRIDE: public welfare-to-work program for TANF recipients (admin=public). Vocational rehabilitation and work-based education tracks. No CBO lead.</t>
        </is>
      </c>
      <c r="O110" t="inlineStr">
        <is>
          <t>NYC PRIDE: public welfare-to-work program for TANF recipients (admin=public). Vocational rehabilitation and work-based education tracks. No CBO lead.</t>
        </is>
      </c>
      <c r="P110" t="inlineStr">
        <is>
          <t>NYC PRIDE: public welfare-to-work program for TANF recipients (admin=public). Vocational rehabilitation and work-based education tracks. No CBO lead.</t>
        </is>
      </c>
      <c r="Q110" t="inlineStr">
        <is>
          <t>NYC PRIDE: public welfare-to-work program for TANF recipients (admin=public). Vocational rehabilitation and work-based education tracks. No CBO lead.</t>
        </is>
      </c>
      <c r="R110" t="inlineStr">
        <is>
          <t>NYC PRIDE: public welfare-to-work program for TANF recipients (admin=public). Vocational rehabilitation and work-based education tracks. No CBO lead.</t>
        </is>
      </c>
      <c r="S110" t="inlineStr">
        <is>
          <t>public: ERA demonstration funded by DHHS/TANF.</t>
        </is>
      </c>
      <c r="T110" t="inlineStr">
        <is>
          <t>public: NYC PRIDE was administered by the NYC Human Resources Administration, a public agency.</t>
        </is>
      </c>
      <c r="U110" t="inlineStr">
        <is>
          <t>ERA NYC PRIDE: welfare-to-work case management. Hendra et al. 2010. Duration ambiguous.</t>
        </is>
      </c>
      <c r="BK110" t="inlineStr">
        <is>
          <t>Table 4: Unpaid work/subsidized employment: T=33.0%, C=13.7%, Impact=19.3***. Bloom, Miller, and Azurdia 2007.</t>
        </is>
      </c>
      <c r="BL110" t="inlineStr">
        <is>
          <t>Table 4: Education/training: T=31.4%, C=26.3%, Impact=5.1 (p=0.128). Bloom, Miller, and Azurdia 2007.</t>
        </is>
      </c>
    </row>
    <row r="111">
      <c r="A111" t="inlineStr">
        <is>
          <t>Structured Training and Employment Transitional Services (STETS)</t>
        </is>
      </c>
      <c r="B111" t="inlineStr">
        <is>
          <t>Pooled (5 cities)</t>
        </is>
      </c>
      <c r="C111" t="inlineStr">
        <is>
          <t>22-month interview</t>
        </is>
      </c>
      <c r="D111" t="inlineStr">
        <is>
          <t>Primary: core intervention is transitional employment with on-the-job training, sheltered workshop placements, and competitive job placement.</t>
        </is>
      </c>
      <c r="E111" t="inlineStr">
        <is>
          <t>has_ojt=1: structured on-the-job training in sheltered workshops and community placements. has_jsa=1: job search and placement services, follow-along support. has_classroom=0: no formal classroom instruction. has_multiple_components=1: combines subsidized employment, OJT, placement.</t>
        </is>
      </c>
      <c r="F111" t="inlineStr">
        <is>
          <t>Table III.1 (p.40): demographics (N=437, 226 exp/211 ctrl, age 20, 57.4% male, 51.5% white, 32.5% black, 13.7% Hispanic). Cost from p.178: $9,400 per participant.</t>
        </is>
      </c>
      <c r="G111" t="inlineStr">
        <is>
          <t>ST (Month 15): Table IX.1 regular job row (emp 9.4** ctrl 16.8%; earn $10.59** ctrl $16.31). MT (Month 22): Table IX.1 regular job row (emp 11.9** ctrl 19.1%; earn $15.81** ctrl $20.55).</t>
        </is>
      </c>
      <c r="H111" t="inlineStr">
        <is>
          <t>ITT from OLS regression with demographic controls. Binary outcomes also estimated by probit/tobit with virtually identical results (Table IV.4 note).</t>
        </is>
      </c>
      <c r="I111" t="inlineStr">
        <is>
          <t>ST=Month 15 (1.25yr, post-program). MT=Month 22 (1.83yr, post-program). Month 6 excluded because most experimentals still in training jobs (in-program contamination). No LT: longest follow-up is 22 months.</t>
        </is>
      </c>
      <c r="J111" t="inlineStr">
        <is>
          <t>SEs not reported directly. Derived as upper bounds from ** significance (p=0.05 two-tailed): SE = |impact|/1.96. Actual SEs may be smaller if impacts are more significant.</t>
        </is>
      </c>
      <c r="K111" t="inlineStr">
        <is>
          <t>Chapter VIII (p.178): $9,400 per participant average cost, of which $3,100 is wages. 1982 dollars.</t>
        </is>
      </c>
      <c r="L111" t="inlineStr">
        <is>
          <t>Uses regular job outcomes only (not training jobs or sheltered workshop jobs) since STETS is a transitional employment program and the protocol requires unsubsidized outcomes. SEs are upper bounds, not exact. Earnings reported as weekly averages.</t>
        </is>
      </c>
      <c r="M111" t="inlineStr">
        <is>
          <t>Operated by nonprofit agencies (admin=private).</t>
        </is>
      </c>
      <c r="N111" t="inlineStr">
        <is>
          <t>No staffing agency partnerships described (Kerachsky et al. 1985).</t>
        </is>
      </c>
      <c r="O111" t="inlineStr">
        <is>
          <t>Transitional employment for mentally ill; no employer engagement in curricula (Kerachsky et al. 1985).</t>
        </is>
      </c>
      <c r="P111" t="inlineStr">
        <is>
          <t>Supported/competitive employment with follow-along support (Kerachsky et al. 1985).</t>
        </is>
      </c>
      <c r="Q111" t="inlineStr">
        <is>
          <t>No employer role in curriculum design (Kerachsky et al. 1985).</t>
        </is>
      </c>
      <c r="R111" t="inlineStr">
        <is>
          <t>No employer hiring commitments described (Kerachsky et al. 1985).</t>
        </is>
      </c>
      <c r="S111" t="inlineStr">
        <is>
          <t>public: Structured Training and Employment Transitional Services was a federal DOL demonstration program for persons with intellectual disabilities.</t>
        </is>
      </c>
      <c r="T111" t="inlineStr">
        <is>
          <t>private: STETS was operated by nonprofit agencies in 5 cities, coordinated by MDRC.</t>
        </is>
      </c>
      <c r="U111" t="inlineStr">
        <is>
          <t>STETS: transitional employment services for up to 18 months (similar model to TETD). Kerachsky et al. 1985. Used 12 months as approximate avg.</t>
        </is>
      </c>
      <c r="BK111" t="inlineStr">
        <is>
          <t>Table III.2 (p.43): 92% of experimentals participated in Phase 1 supported work. Control group had no access to STETS program, so C=0%.</t>
        </is>
      </c>
      <c r="BL111" t="inlineStr">
        <is>
          <t>Table V.4 (p.97): Month 6 (in-program) 'Percent in any training': T=61.7%, C=40.6%, Impact=21.1pp**. Used Month 6 as it captures in-program training receipt. Month 15/22 show negative impacts as program ended.</t>
        </is>
      </c>
    </row>
    <row r="112">
      <c r="A112" t="inlineStr">
        <is>
          <t>Teenage Parent Demonstration (TPD)</t>
        </is>
      </c>
      <c r="B112" t="inlineStr">
        <is>
          <t>Camden, NJ</t>
        </is>
      </c>
      <c r="C112" t="inlineStr">
        <is>
          <t>administrative wage records</t>
        </is>
      </c>
      <c r="D112" t="inlineStr">
        <is>
          <t>Primary: core services are education (GED prep, schooling) and job training, with employment as central goal.</t>
        </is>
      </c>
      <c r="E112" t="inlineStr">
        <is>
          <t>has_classroom=1: GED prep, schooling, training workshops. has_ojt=0: no structured OJT. has_jsa=1: case management, job referrals. has_multiple_components=1: education + training + parenting + child care.</t>
        </is>
      </c>
      <c r="F112" t="inlineStr">
        <is>
          <t>Table III.5 (p.63): Camden N~618 T + 570 C. Exec summary (pp.15-20): randomization mid-1987 to mid-1991. Demographics: all female teenage mothers.</t>
        </is>
      </c>
      <c r="G112" t="inlineStr">
        <is>
          <t>LT (5yr): Table III.5 Camden rows: avg pct period employed 22.3 vs 21.0, impact 1.3 n.s.; total earnings $6,666 vs $6,341, impact $325 n.s.</t>
        </is>
      </c>
      <c r="H112" t="inlineStr">
        <is>
          <t>ITT: regression-adjusted difference between enhanced- and regular-services groups, controlling for baseline characteristics.</t>
        </is>
      </c>
      <c r="I112" t="inlineStr">
        <is>
          <t>LT=5 years (admin records data covering entire 5-year post-intake period). No ST/MT available separately from admin records. Survey data at 6-7 years also available but without SEs.</t>
        </is>
      </c>
      <c r="J112" t="inlineStr">
        <is>
          <t>SEs not reported. Neither impact is statistically significant.</t>
        </is>
      </c>
      <c r="K112" t="inlineStr">
        <is>
          <t>Not extracted.</t>
        </is>
      </c>
      <c r="L112" t="inlineStr">
        <is>
          <t>Control group (regular-services) also received standard welfare services; this is not a no-services control. Impacts faded over time as control group caught up. N are midpoints of ranges given in Table III.5 (sample varies slightly by outcome). Earnings in nominal dollars.</t>
        </is>
      </c>
      <c r="M112" t="inlineStr">
        <is>
          <t>Teenage Parent Demonstration: public mandatory welfare demonstration (admin=public). Case managers developed individualized plans. No CBO lead, no employer engagement in curriculum.</t>
        </is>
      </c>
      <c r="N112" t="inlineStr">
        <is>
          <t>Teenage Parent Demonstration: public mandatory welfare demonstration (admin=public). Case managers developed individualized plans. No CBO lead, no employer engagement in curriculum.</t>
        </is>
      </c>
      <c r="O112" t="inlineStr">
        <is>
          <t>Teenage Parent Demonstration: public mandatory welfare demonstration (admin=public). Case managers developed individualized plans. No CBO lead, no employer engagement in curriculum.</t>
        </is>
      </c>
      <c r="P112" t="inlineStr">
        <is>
          <t>Teenage Parent Demonstration: public mandatory welfare demonstration (admin=public). Case managers developed individualized plans. No CBO lead, no employer engagement in curriculum.</t>
        </is>
      </c>
      <c r="Q112" t="inlineStr">
        <is>
          <t>Teenage Parent Demonstration: public mandatory welfare demonstration (admin=public). Case managers developed individualized plans. No CBO lead, no employer engagement in curriculum.</t>
        </is>
      </c>
      <c r="R112" t="inlineStr">
        <is>
          <t>Teenage Parent Demonstration: public mandatory welfare demonstration (admin=public). Case managers developed individualized plans. No CBO lead, no employer engagement in curriculum.</t>
        </is>
      </c>
      <c r="S112" t="inlineStr">
        <is>
          <t>public: Teenage Parent Demonstration was funded by DHHS as a federal demonstration under AFDC.</t>
        </is>
      </c>
      <c r="T112" t="inlineStr">
        <is>
          <t>public: State welfare agencies administered the programs in New Jersey and Illinois, with contracted service providers operating under public agency oversight.</t>
        </is>
      </c>
      <c r="U112" t="inlineStr">
        <is>
          <t>TPD Camden: mandatory welfare program for teenage parents, mid-1987 to mid-1991. Programs provided case management, workshops, referrals to education/training/employment. Programs kept 30-50% of mothers active each month but no average months of participation per participant reported. Kisker, Rangarajan, and Boller 1998, pp.13-15.</t>
        </is>
      </c>
      <c r="BK112" t="inlineStr">
        <is>
          <t>Kisker et al 1998, p.13: 92% of enhanced-services group participated in subsequent program activity (pooled across sites; site-specific not reported). C received regular AFDC services only, so C=0%.</t>
        </is>
      </c>
      <c r="BL112" t="inlineStr">
        <is>
          <t>Not reported by site for short-term period. Kisker 1998 is the 5-8yr follow-up; short-term site-specific education/training impacts are in Maynard et al 1993 (not available). Long-term Table III.4 (p.59): Camden training ever C=18.4%, Impact=-2.6 (n.s.).</t>
        </is>
      </c>
    </row>
    <row r="113">
      <c r="A113" t="inlineStr">
        <is>
          <t>Teenage Parent Demonstration (TPD)</t>
        </is>
      </c>
      <c r="B113" t="inlineStr">
        <is>
          <t>Newark, NJ</t>
        </is>
      </c>
      <c r="C113" t="inlineStr">
        <is>
          <t>administrative wage records</t>
        </is>
      </c>
      <c r="D113" t="inlineStr">
        <is>
          <t>Primary: core services are education (GED prep, schooling) and job training.</t>
        </is>
      </c>
      <c r="E113" t="inlineStr">
        <is>
          <t>Same as Camden: has_classroom=1, has_ojt=0, has_jsa=1, has_multiple=1.</t>
        </is>
      </c>
      <c r="F113" t="inlineStr">
        <is>
          <t>Table III.5 (p.63): Newark N~570 T + 609 C.</t>
        </is>
      </c>
      <c r="G113" t="inlineStr">
        <is>
          <t>LT (5yr): Table III.5 Newark rows: avg pct period employed 23.4 vs 22.0, impact 1.5 n.s. (note: I read 1.5 from table context); total earnings $7,764 vs $7,691, impact $73 n.s.</t>
        </is>
      </c>
      <c r="H113" t="inlineStr">
        <is>
          <t>ITT: regression-adjusted difference.</t>
        </is>
      </c>
      <c r="I113" t="inlineStr">
        <is>
          <t>LT=5 years (admin records). No ST/MT separately available.</t>
        </is>
      </c>
      <c r="J113" t="inlineStr">
        <is>
          <t>SEs not reported. Neither impact statistically significant.</t>
        </is>
      </c>
      <c r="K113" t="inlineStr">
        <is>
          <t>Not extracted.</t>
        </is>
      </c>
      <c r="L113" t="inlineStr">
        <is>
          <t>At 6-7yr survey follow-up (Table III.6), Newark showed significant NEGATIVE employment impact (-8.4**pp), suggesting possible adverse long-term effects at this site. Control group (regular-services) is not a no-services control.</t>
        </is>
      </c>
      <c r="M113" t="inlineStr">
        <is>
          <t>Teenage Parent Demonstration: public mandatory welfare demonstration (admin=public). Case managers developed individualized plans. No CBO lead, no employer engagement in curriculum.</t>
        </is>
      </c>
      <c r="N113" t="inlineStr">
        <is>
          <t>Teenage Parent Demonstration: public mandatory welfare demonstration (admin=public). Case managers developed individualized plans. No CBO lead, no employer engagement in curriculum.</t>
        </is>
      </c>
      <c r="O113" t="inlineStr">
        <is>
          <t>Teenage Parent Demonstration: public mandatory welfare demonstration (admin=public). Case managers developed individualized plans. No CBO lead, no employer engagement in curriculum.</t>
        </is>
      </c>
      <c r="P113" t="inlineStr">
        <is>
          <t>Teenage Parent Demonstration: public mandatory welfare demonstration (admin=public). Case managers developed individualized plans. No CBO lead, no employer engagement in curriculum.</t>
        </is>
      </c>
      <c r="Q113" t="inlineStr">
        <is>
          <t>Teenage Parent Demonstration: public mandatory welfare demonstration (admin=public). Case managers developed individualized plans. No CBO lead, no employer engagement in curriculum.</t>
        </is>
      </c>
      <c r="R113" t="inlineStr">
        <is>
          <t>Teenage Parent Demonstration: public mandatory welfare demonstration (admin=public). Case managers developed individualized plans. No CBO lead, no employer engagement in curriculum.</t>
        </is>
      </c>
      <c r="S113" t="inlineStr">
        <is>
          <t>public: Teenage Parent Demonstration was funded by DHHS as a federal demonstration under AFDC.</t>
        </is>
      </c>
      <c r="T113" t="inlineStr">
        <is>
          <t>public: State welfare agencies administered the programs in New Jersey and Illinois, with contracted service providers operating under public agency oversight.</t>
        </is>
      </c>
      <c r="U113" t="inlineStr">
        <is>
          <t>TPD Newark: same program structure as Camden. No average months of participation per participant reported. Kisker et al. 1998, pp.13-15.</t>
        </is>
      </c>
      <c r="BK113" t="inlineStr">
        <is>
          <t>Kisker et al 1998, p.13: 92% of enhanced-services group participated in subsequent program activity (pooled across sites; site-specific not reported). C received regular AFDC services only, so C=0%.</t>
        </is>
      </c>
      <c r="BL113" t="inlineStr">
        <is>
          <t>Not reported by site for short-term period. Kisker 1998 is the 5-8yr follow-up; short-term site-specific education/training impacts are in Maynard et al 1993 (not available). Long-term Table III.4 (p.59): Newark training ever C=17.1%, Impact=-1.0 (n.s.).</t>
        </is>
      </c>
    </row>
    <row r="114">
      <c r="A114" t="inlineStr">
        <is>
          <t>Teenage Parent Demonstration (TPD)</t>
        </is>
      </c>
      <c r="B114" t="inlineStr">
        <is>
          <t>Chicago, IL</t>
        </is>
      </c>
      <c r="C114" t="inlineStr">
        <is>
          <t>administrative wage records</t>
        </is>
      </c>
      <c r="D114" t="inlineStr">
        <is>
          <t>Primary: core services are education and job training.</t>
        </is>
      </c>
      <c r="E114" t="inlineStr">
        <is>
          <t>Same as Camden: has_classroom=1, has_ojt=0, has_jsa=1, has_multiple=1.</t>
        </is>
      </c>
      <c r="F114" t="inlineStr">
        <is>
          <t>Table III.5 (p.63): Chicago N~1,434 T + 1,449 C.</t>
        </is>
      </c>
      <c r="G114" t="inlineStr">
        <is>
          <t>LT (5yr): Table III.5 Chicago rows: avg pct period employed 28.4 vs 26.2, impact 2.2**; total earnings $9,391 vs $8,692, impact $699 n.s.</t>
        </is>
      </c>
      <c r="H114" t="inlineStr">
        <is>
          <t>ITT: regression-adjusted difference.</t>
        </is>
      </c>
      <c r="I114" t="inlineStr">
        <is>
          <t>LT=5 years (admin records).</t>
        </is>
      </c>
      <c r="J114" t="inlineStr">
        <is>
          <t>Employment SE derived from ** (p=0.05): SE = 2.2/1.96 = 1.12 (upper bound). Earnings SE not reported (not significant).</t>
        </is>
      </c>
      <c r="K114" t="inlineStr">
        <is>
          <t>Not extracted.</t>
        </is>
      </c>
      <c r="L114" t="inlineStr">
        <is>
          <t>Largest TPD site. Employment impact significant but small. Control group received standard welfare services. Chicago later enrollees were subsampled for survey follow-up.</t>
        </is>
      </c>
      <c r="M114" t="inlineStr">
        <is>
          <t>Teenage Parent Demonstration: public mandatory welfare demonstration (admin=public). Case managers developed individualized plans. No CBO lead, no employer engagement in curriculum.</t>
        </is>
      </c>
      <c r="N114" t="inlineStr">
        <is>
          <t>Teenage Parent Demonstration: public mandatory welfare demonstration (admin=public). Case managers developed individualized plans. No CBO lead, no employer engagement in curriculum.</t>
        </is>
      </c>
      <c r="O114" t="inlineStr">
        <is>
          <t>Teenage Parent Demonstration: public mandatory welfare demonstration (admin=public). Case managers developed individualized plans. No CBO lead, no employer engagement in curriculum.</t>
        </is>
      </c>
      <c r="P114" t="inlineStr">
        <is>
          <t>Teenage Parent Demonstration: public mandatory welfare demonstration (admin=public). Case managers developed individualized plans. No CBO lead, no employer engagement in curriculum.</t>
        </is>
      </c>
      <c r="Q114" t="inlineStr">
        <is>
          <t>Teenage Parent Demonstration: public mandatory welfare demonstration (admin=public). Case managers developed individualized plans. No CBO lead, no employer engagement in curriculum.</t>
        </is>
      </c>
      <c r="R114" t="inlineStr">
        <is>
          <t>Teenage Parent Demonstration: public mandatory welfare demonstration (admin=public). Case managers developed individualized plans. No CBO lead, no employer engagement in curriculum.</t>
        </is>
      </c>
      <c r="S114" t="inlineStr">
        <is>
          <t>public: Teenage Parent Demonstration was funded by DHHS as a federal demonstration under AFDC.</t>
        </is>
      </c>
      <c r="T114" t="inlineStr">
        <is>
          <t>public: State welfare agencies administered the programs in New Jersey and Illinois, with contracted service providers operating under public agency oversight.</t>
        </is>
      </c>
      <c r="U114" t="inlineStr">
        <is>
          <t>TPD Chicago: same program structure. No average months of participation per participant reported. Kisker et al. 1998, pp.13-15.</t>
        </is>
      </c>
      <c r="BK114" t="inlineStr">
        <is>
          <t>Kisker et al 1998, p.13: 92% of enhanced-services group participated in subsequent program activity (pooled across sites; site-specific not reported). C received regular AFDC services only, so C=0%.</t>
        </is>
      </c>
      <c r="BL114" t="inlineStr">
        <is>
          <t>Not reported by site for short-term period. Kisker 1998 is the 5-8yr follow-up; short-term site-specific education/training impacts are in Maynard et al 1993 (not available). Long-term Table III.4 (p.59): Chicago training ever C=18.3%, Impact=1.3 (n.s.).</t>
        </is>
      </c>
    </row>
    <row r="115">
      <c r="A115" t="inlineStr">
        <is>
          <t>Vermont Welfare Restructuring Project (WRP)</t>
        </is>
      </c>
      <c r="B115" t="inlineStr">
        <is>
          <t>Vermont (statewide, single parents)</t>
        </is>
      </c>
      <c r="C115" t="inlineStr">
        <is>
          <t>UI wage records</t>
        </is>
      </c>
      <c r="D115" t="inlineStr">
        <is>
          <t>Training role classified as incidental. WRP was primarily a work requirements and financial incentives program; job search assistance was a component, but classroom training or OJT were not systematic program components.</t>
        </is>
      </c>
      <c r="E115" t="inlineStr">
        <is>
          <t>Welfare-to-work program with work requirements, financial incentives, and community service employment. Training per se was not the primary intervention.</t>
        </is>
      </c>
      <c r="F115" t="inlineStr">
        <is>
          <t>Table 3 (demographics), Tables 5-6 (impacts). Report p.18: random assignment across 12 welfare districts, 6 research districts.</t>
        </is>
      </c>
      <c r="G115" t="inlineStr">
        <is>
          <t>Table 6: Impacts over time — Years 1-2, 3-4, 5-6 period-specific impacts on average quarterly employment and average annual earnings.</t>
        </is>
      </c>
      <c r="H115" t="inlineStr">
        <is>
          <t>ITT regression-adjusted impact</t>
        </is>
      </c>
      <c r="I115" t="inlineStr">
        <is>
          <t>ST=Years 1-2 (before work requirement), MT=Years 3-4 (work requirement onset, peak impacts), LT=Years 5-6 (long-term follow-up). 6-year data from UI records.</t>
        </is>
      </c>
      <c r="J115" t="inlineStr">
        <is>
          <t>SEs not reported. Derived as upper bounds from significance stars: ***→p=0.01, **→p=0.05. ST earnings not significant, SE not derivable.</t>
        </is>
      </c>
      <c r="K115" t="inlineStr">
        <is>
          <t>Not extracted — cost data in report Chapter 14 but not in standard per-participant format.</t>
        </is>
      </c>
      <c r="L115" t="inlineStr">
        <is>
          <t>Vermont was nearly all white in the 1990s; race data not reported in paper. Training role is incidental — primary intervention is work requirements and financial incentives.</t>
        </is>
      </c>
      <c r="M115" t="inlineStr">
        <is>
          <t>Vermont WRP: public welfare program (admin=public). Work requirements and job search assistance. No CBO, no employer engagement.</t>
        </is>
      </c>
      <c r="N115" t="inlineStr">
        <is>
          <t>Vermont WRP: public welfare program (admin=public). Work requirements and job search assistance. No CBO, no employer engagement.</t>
        </is>
      </c>
      <c r="O115" t="inlineStr">
        <is>
          <t>Vermont WRP: public welfare program (admin=public). Work requirements and job search assistance. No CBO, no employer engagement.</t>
        </is>
      </c>
      <c r="P115" t="inlineStr">
        <is>
          <t>Vermont WRP: public welfare program (admin=public). Work requirements and job search assistance. No CBO, no employer engagement.</t>
        </is>
      </c>
      <c r="Q115" t="inlineStr">
        <is>
          <t>Vermont WRP: public welfare program (admin=public). Work requirements and job search assistance. No CBO, no employer engagement.</t>
        </is>
      </c>
      <c r="R115" t="inlineStr">
        <is>
          <t>Vermont WRP: public welfare program (admin=public). Work requirements and job search assistance. No CBO, no employer engagement.</t>
        </is>
      </c>
      <c r="S115" t="inlineStr">
        <is>
          <t>public: Vermont Welfare Restructuring Project was a state welfare reform initiative funded by state and federal welfare appropriations plus a federal waiver.</t>
        </is>
      </c>
      <c r="T115" t="inlineStr">
        <is>
          <t>public: Administered by the Vermont Department of Social Welfare.</t>
        </is>
      </c>
      <c r="U115" t="inlineStr">
        <is>
          <t>Vermont WRP: welfare restructuring with case management. Duration unclear. Scrivener &amp; Walter 2001.</t>
        </is>
      </c>
      <c r="BK115" t="inlineStr">
        <is>
          <t>Table 4: Any activity: WRP=38.4%, ANFC=34.4%, Impact=4.1**. Program is welfare reform with work requirements, not primarily training. Scrivener et al 2002.</t>
        </is>
      </c>
      <c r="BL115" t="inlineStr">
        <is>
          <t>Table 4: Education and training: WRP=30.2%, ANFC=26.2%, Impact=4.0***. Scrivener et al 2002.</t>
        </is>
      </c>
    </row>
    <row r="116">
      <c r="A116" t="inlineStr">
        <is>
          <t>New Hope for Families and Children</t>
        </is>
      </c>
      <c r="B116" t="inlineStr">
        <is>
          <t>Milwaukee (2 neighborhoods)</t>
        </is>
      </c>
      <c r="C116" t="inlineStr">
        <is>
          <t>UI wage records</t>
        </is>
      </c>
      <c r="D116" t="inlineStr">
        <is>
          <t>Training role classified as incidental. New Hope was primarily an earnings supplement and work supports program (health insurance, child care, community service jobs). No classroom training or OJT was a program component.</t>
        </is>
      </c>
      <c r="E116" t="inlineStr">
        <is>
          <t>Anti-poverty demonstration with earnings supplements and work supports, not a training program per se. Community service jobs provided work experience but not training.</t>
        </is>
      </c>
      <c r="F116" t="inlineStr">
        <is>
          <t>Table 2.1 (demographics), Table 3.1 (impacts). Report p.21: random assignment of 1,357 adults, CFS sample of 745 with children ages 1-10. mean_years_schooling: 'Highest grade completed in school (average)' = 10.8 from Bos et al. 1999, baseline characteristics table.</t>
        </is>
      </c>
      <c r="G116" t="inlineStr">
        <is>
          <t>Table 3.1: Ever employed (%) and average annual earnings by year, Years 1-5.</t>
        </is>
      </c>
      <c r="H116" t="inlineStr">
        <is>
          <t>ITT regression-adjusted impact</t>
        </is>
      </c>
      <c r="I116" t="inlineStr">
        <is>
          <t>ST=Year 1, MT=Year 2, LT=Year 5. Program operated for 3 years (1994-1997). Year 5 is well post-program. Large ST effects faded substantially by MT and were statistically insignificant by LT.</t>
        </is>
      </c>
      <c r="J116" t="inlineStr">
        <is>
          <t>SEs derived from exact two-sided p-values reported in Table 3.1. SE = |impact| / Φ^{-1}(1 - p/2). All p-values available for all outcomes.</t>
        </is>
      </c>
      <c r="K116" t="inlineStr">
        <is>
          <t>Not extracted from this report.</t>
        </is>
      </c>
      <c r="L116" t="inlineStr">
        <is>
          <t>CFS subsample (N=745) is smaller than full sample (N=1,357). Training role is incidental — program is primarily earnings supplements and work supports.</t>
        </is>
      </c>
      <c r="M116" t="inlineStr">
        <is>
          <t>New Hope operated by CBO in Milwaukee (admin=private).</t>
        </is>
      </c>
      <c r="N116" t="inlineStr">
        <is>
          <t>No staffing agency partnerships described (Bos et al. 1999; Huston et al. 2003).</t>
        </is>
      </c>
      <c r="O116" t="inlineStr">
        <is>
          <t>Earnings supplement/wage subsidy program; no employer engagement in curricula (Bos et al. 1999).</t>
        </is>
      </c>
      <c r="P116" t="inlineStr">
        <is>
          <t>Community service jobs provided but no dedicated job development staff.</t>
        </is>
      </c>
      <c r="Q116" t="inlineStr">
        <is>
          <t>No employer role in curriculum design; primarily a financial incentive program (Bos et al. 1999).</t>
        </is>
      </c>
      <c r="R116" t="inlineStr">
        <is>
          <t>No employer hiring commitments; earnings supplement model (Bos et al. 1999).</t>
        </is>
      </c>
      <c r="S116" t="inlineStr">
        <is>
          <t>private: New Hope for Families and Children was funded primarily by a consortium of private foundations (Annie E. Casey, Ford, MacArthur, Helen Bader, and others). While the program's wage supplements and benefits interacted with public systems (EITC, Medicaid), the program's own administration was foundation-funded. Some public funds contributed but private philanthropy was dominant.</t>
        </is>
      </c>
      <c r="T116" t="inlineStr">
        <is>
          <t>private: The New Hope Project was a nonprofit organization created specifically to run this demonstration in two Milwaukee neighborhoods.</t>
        </is>
      </c>
      <c r="U116" t="inlineStr">
        <is>
          <t>New Hope offered 3-year eligibility for benefits (earnings supplement, health insurance, child care, CSJs) but actual average duration of benefit receipt not reported. Bos et al. 1999. Duration missing.</t>
        </is>
      </c>
      <c r="BK116" t="inlineStr">
        <is>
          <t>Table 3.4 (p.85): 79.2% of program group ever used any New Hope financial benefit (earnings supplement, health insurance, child care, or CSJ). C had no access to NH benefits, so C=0%.</t>
        </is>
      </c>
      <c r="BL116" t="inlineStr">
        <is>
          <t>Table 3.7 (p.97): Full Sample, vocational training: T=14.1%, C=18.5%, Impact=-4.4**. NH is not a training program; it reduced vocational training receipt (participants chose CSJs/work over training). Education or training overall: T=41.5%, C=30.5% not reported as impact in table but education+training combined.</t>
        </is>
      </c>
    </row>
    <row r="117">
      <c r="A117" t="inlineStr">
        <is>
          <t>Florida Project Independence</t>
        </is>
      </c>
      <c r="B117" t="inlineStr">
        <is>
          <t>Florida (9 counties pooled)</t>
        </is>
      </c>
      <c r="C117" t="inlineStr">
        <is>
          <t>UI wage records</t>
        </is>
      </c>
      <c r="D117" t="inlineStr">
        <is>
          <t>Training role classified as secondary. Primary intervention was job search assistance for job-ready clients (~82%). Education and training were reserved for 'not job-ready' clients (~10%). Thus training was a secondary component for a minority of participants.</t>
        </is>
      </c>
      <c r="E117" t="inlineStr">
        <is>
          <t>JOBS welfare-to-work program with mandatory participation. Mixed strategy: job search first for job-ready; education/training for not job-ready.</t>
        </is>
      </c>
      <c r="F117" t="inlineStr">
        <is>
          <t>Table 2.2 (demographics p.31), Table 2.1 (data sources p.21). Report p.29: N=18,237 (13,513 program, 4,724 control) across 9 Florida counties.</t>
        </is>
      </c>
      <c r="G117" t="inlineStr">
        <is>
          <t>Table 3 (ES-16): Two-year impacts on employment, earnings, AFDC, food stamps. Table 4 (ES-19): Impacts by early/late cohort and age of youngest child.</t>
        </is>
      </c>
      <c r="H117" t="inlineStr">
        <is>
          <t>ITT regression-adjusted impact</t>
        </is>
      </c>
      <c r="I117" t="inlineStr">
        <is>
          <t>ST=Year 1, MT=Year 2. Only 2-year follow-up available. No LT data. ES-22 notes five-year cost analysis but no five-year impacts on employment/earnings.</t>
        </is>
      </c>
      <c r="J117" t="inlineStr">
        <is>
          <t>SEs not reported directly. Derived as upper bounds from significance stars: ST emp *** → SE=2.8/2.576=1.1; ST earn ** → SE=146/1.96=74.5; MT emp *** → SE=2.1/2.576=0.8. MT earnings not significant, no SE.</t>
        </is>
      </c>
      <c r="K117" t="inlineStr">
        <is>
          <t>ES-22: '$1,304 per program group member' (1993 dollars, total Project Independence cost over 5-year time horizon including projected costs).</t>
        </is>
      </c>
      <c r="L117" t="inlineStr">
        <is>
          <t>Gender not reported in demographics table. Randomization ratio changed during study (3:1 initially, then 2:1 for recipients). Very large sample (N=18,237). Earnings effects small and declining; not significant in Year 2.</t>
        </is>
      </c>
      <c r="M117" t="inlineStr">
        <is>
          <t>Florida Project Independence: state JOBS program (admin=public). Job search and education referrals. No CBO, no employer engagement in curriculum.</t>
        </is>
      </c>
      <c r="N117" t="inlineStr">
        <is>
          <t>Florida Project Independence: state JOBS program (admin=public). Job search and education referrals. No CBO, no employer engagement in curriculum.</t>
        </is>
      </c>
      <c r="O117" t="inlineStr">
        <is>
          <t>Florida Project Independence: state JOBS program (admin=public). Job search and education referrals. No CBO, no employer engagement in curriculum.</t>
        </is>
      </c>
      <c r="P117" t="inlineStr">
        <is>
          <t>Florida Project Independence: state JOBS program (admin=public). Job search and education referrals. No CBO, no employer engagement in curriculum.</t>
        </is>
      </c>
      <c r="Q117" t="inlineStr">
        <is>
          <t>Florida Project Independence: state JOBS program (admin=public). Job search and education referrals. No CBO, no employer engagement in curriculum.</t>
        </is>
      </c>
      <c r="R117" t="inlineStr">
        <is>
          <t>Florida Project Independence: state JOBS program (admin=public). Job search and education referrals. No CBO, no employer engagement in curriculum.</t>
        </is>
      </c>
      <c r="S117" t="inlineStr">
        <is>
          <t>public: Florida Project Independence was a state welfare-to-work program funded by state and federal welfare appropriations.</t>
        </is>
      </c>
      <c r="T117" t="inlineStr">
        <is>
          <t>public: Administered by the Florida Department of Health and Rehabilitative Services through county-level offices.</t>
        </is>
      </c>
      <c r="U117" t="inlineStr">
        <is>
          <t>FL Project Independence: Table 3.6 full subsample bottom panel shows program group averaged 4.3 months of participation in employment-related activities within 2 years of random assignment (ITT average including zeros). Kemple, Friedlander, and Fellerath 1995, Table 3.6, p.60.</t>
        </is>
      </c>
      <c r="BK117" t="inlineStr">
        <is>
          <t>Table 1 (ES-12): Any employment-related activity: T=63.9%, C=40.1%, Impact=23.8pp. ~20% of controls exposed to some PI services. Program_uptake_impact = 23.8pp; program_uptake_control_mean = 40.1%.</t>
        </is>
      </c>
      <c r="BL117" t="inlineStr">
        <is>
          <t>Table 1 (ES-12): Education or training (incl. ABE, GED, ESL, vocational, post-secondary, OJT): T=41.5%, C=30.5%, Impact=11.0pp (=11.1 with rounding). any_training_control_mean = 30.5%.</t>
        </is>
      </c>
    </row>
    <row r="118">
      <c r="A118" t="inlineStr">
        <is>
          <t>Work Advancement and Support Center (WASC)</t>
        </is>
      </c>
      <c r="B118" t="inlineStr">
        <is>
          <t>Dayton, OH</t>
        </is>
      </c>
      <c r="C118" t="inlineStr">
        <is>
          <t>UI wage records</t>
        </is>
      </c>
      <c r="D118" t="inlineStr">
        <is>
          <t>Training role classified as incidental. WASC offered career coaching and referrals to education/training but did not directly provide training. The program did increase participation in education/training in Dayton.</t>
        </is>
      </c>
      <c r="E118" t="inlineStr">
        <is>
          <t>Advancement program for currently employed low-wage workers. Provides career coaching, work supports access, and education/training referrals.</t>
        </is>
      </c>
      <c r="F118" t="inlineStr">
        <is>
          <t>Table 2.1 (sample sizes), Table 2.2 (demographics). N=1,184 (595 WASC, 589 control) in Dayton.</t>
        </is>
      </c>
      <c r="G118" t="inlineStr">
        <is>
          <t>Table 5.3: Year 1 and Quarter 5 impacts on UI-covered employment and earnings.</t>
        </is>
      </c>
      <c r="H118" t="inlineStr">
        <is>
          <t>ITT regression-adjusted impact</t>
        </is>
      </c>
      <c r="I118" t="inlineStr">
        <is>
          <t>ST=Year 1 only. Only 1-year follow-up available in this report.</t>
        </is>
      </c>
      <c r="J118" t="inlineStr">
        <is>
          <t>SEs derived from exact two-sided p-values in Table 5.3.</t>
        </is>
      </c>
      <c r="K118" t="inlineStr">
        <is>
          <t>Not extracted.</t>
        </is>
      </c>
      <c r="L118" t="inlineStr">
        <is>
          <t>Only 1-year follow-up. Sample was employed at enrollment, so baseline employment rates are very high (~85-95%). Training role is incidental.</t>
        </is>
      </c>
      <c r="M118" t="inlineStr">
        <is>
          <t>WASC: public career coaching and referral program (admin=public). Education/training referrals and work support access. No CBO lead, no employer engagement in curriculum, no dedicated job development.</t>
        </is>
      </c>
      <c r="N118" t="inlineStr">
        <is>
          <t>WASC: public career coaching and referral program (admin=public). Education/training referrals and work support access. No CBO lead, no employer engagement in curriculum, no dedicated job development.</t>
        </is>
      </c>
      <c r="O118" t="inlineStr">
        <is>
          <t>WASC: public career coaching and referral program (admin=public). Education/training referrals and work support access. No CBO lead, no employer engagement in curriculum, no dedicated job development.</t>
        </is>
      </c>
      <c r="P118" t="inlineStr">
        <is>
          <t>WASC: public career coaching and referral program (admin=public). Education/training referrals and work support access. No CBO lead, no employer engagement in curriculum, no dedicated job development.</t>
        </is>
      </c>
      <c r="Q118" t="inlineStr">
        <is>
          <t>WASC: public career coaching and referral program (admin=public). Education/training referrals and work support access. No CBO lead, no employer engagement in curriculum, no dedicated job development.</t>
        </is>
      </c>
      <c r="R118" t="inlineStr">
        <is>
          <t>WASC: public career coaching and referral program (admin=public). Education/training referrals and work support access. No CBO lead, no employer engagement in curriculum, no dedicated job development.</t>
        </is>
      </c>
      <c r="S118" t="inlineStr">
        <is>
          <t>public: Work Advancement and Support Center was funded by DHHS as a federal demonstration.</t>
        </is>
      </c>
      <c r="T118" t="inlineStr">
        <is>
          <t>public: WASC sites operated through existing public workforce One-Stop Career Centers.</t>
        </is>
      </c>
      <c r="U118" t="inlineStr">
        <is>
          <t>WASC Dayton: career coaching and work support services available for ~2 years, but no average actual participation duration reported. Miller et al. 2012. Duration missing.</t>
        </is>
      </c>
      <c r="BK118" t="inlineStr">
        <is>
          <t>Table 4.4: Any advancement activity: WASC=88.5%, C=76.2%, Impact=12.3***. WASC is career advancement coaching, not primarily training. Miller, Tessler, Van Dok 2009.</t>
        </is>
      </c>
      <c r="BL118" t="inlineStr">
        <is>
          <t>Table 4.4: Education/training: WASC=76.6%, C=53.7%, Impact=22.9***. Miller, Tessler, Van Dok 2009.</t>
        </is>
      </c>
    </row>
    <row r="119">
      <c r="A119" t="inlineStr">
        <is>
          <t>Work Advancement and Support Center (WASC)</t>
        </is>
      </c>
      <c r="B119" t="inlineStr">
        <is>
          <t>San Diego, CA</t>
        </is>
      </c>
      <c r="C119" t="inlineStr">
        <is>
          <t>UI wage records</t>
        </is>
      </c>
      <c r="D119" t="inlineStr">
        <is>
          <t>Training role classified as incidental. Same as Dayton — career coaching and referrals, not direct training provision.</t>
        </is>
      </c>
      <c r="E119" t="inlineStr">
        <is>
          <t>Advancement program for currently employed low-wage workers.</t>
        </is>
      </c>
      <c r="F119" t="inlineStr">
        <is>
          <t>Table 2.1, Table 2.2. N=793 (397 WASC, 396 control) in San Diego.</t>
        </is>
      </c>
      <c r="G119" t="inlineStr">
        <is>
          <t>Table 5.3: Year 1 and Quarter 5 impacts on UI-covered employment and earnings.</t>
        </is>
      </c>
      <c r="H119" t="inlineStr">
        <is>
          <t>ITT regression-adjusted impact</t>
        </is>
      </c>
      <c r="I119" t="inlineStr">
        <is>
          <t>ST=Year 1 only. Only 1-year follow-up available.</t>
        </is>
      </c>
      <c r="J119" t="inlineStr">
        <is>
          <t>SEs derived from exact two-sided p-values in Table 5.3.</t>
        </is>
      </c>
      <c r="K119" t="inlineStr">
        <is>
          <t>Not extracted.</t>
        </is>
      </c>
      <c r="L119" t="inlineStr">
        <is>
          <t>Only 1-year follow-up. WASC reduced 4-quarter employment by 6.5** (p=0.036) in San Diego; overall quarterly rate and earnings impacts not significant. Training role is incidental. Predominantly Hispanic sample (69.7%).</t>
        </is>
      </c>
      <c r="M119" t="inlineStr">
        <is>
          <t>WASC: public career coaching and referral program (admin=public). Education/training referrals and work support access. No CBO lead, no employer engagement in curriculum, no dedicated job development.</t>
        </is>
      </c>
      <c r="N119" t="inlineStr">
        <is>
          <t>WASC: public career coaching and referral program (admin=public). Education/training referrals and work support access. No CBO lead, no employer engagement in curriculum, no dedicated job development.</t>
        </is>
      </c>
      <c r="O119" t="inlineStr">
        <is>
          <t>WASC: public career coaching and referral program (admin=public). Education/training referrals and work support access. No CBO lead, no employer engagement in curriculum, no dedicated job development.</t>
        </is>
      </c>
      <c r="P119" t="inlineStr">
        <is>
          <t>WASC: public career coaching and referral program (admin=public). Education/training referrals and work support access. No CBO lead, no employer engagement in curriculum, no dedicated job development.</t>
        </is>
      </c>
      <c r="Q119" t="inlineStr">
        <is>
          <t>WASC: public career coaching and referral program (admin=public). Education/training referrals and work support access. No CBO lead, no employer engagement in curriculum, no dedicated job development.</t>
        </is>
      </c>
      <c r="R119" t="inlineStr">
        <is>
          <t>WASC: public career coaching and referral program (admin=public). Education/training referrals and work support access. No CBO lead, no employer engagement in curriculum, no dedicated job development.</t>
        </is>
      </c>
      <c r="S119" t="inlineStr">
        <is>
          <t>public: Work Advancement and Support Center was funded by DHHS as a federal demonstration.</t>
        </is>
      </c>
      <c r="T119" t="inlineStr">
        <is>
          <t>public: WASC sites operated through existing public workforce One-Stop Career Centers.</t>
        </is>
      </c>
      <c r="U119" t="inlineStr">
        <is>
          <t>WASC San Diego: career coaching services available for ~2 years, but no average actual participation duration reported. Miller et al. 2012. Duration missing.</t>
        </is>
      </c>
      <c r="BK119" t="inlineStr">
        <is>
          <t>Table 4.4: Any advancement activity: WASC=71.1%, C=65.3%, Impact=5.9 (p=0.193). Miller, Tessler, Van Dok 2009.</t>
        </is>
      </c>
      <c r="BL119" t="inlineStr">
        <is>
          <t>Table 4.4: Education/training: WASC=44.6%, C=44.3%, Impact=0.3 (not sig). Miller, Tessler, Van Dok 2009.</t>
        </is>
      </c>
    </row>
    <row r="120">
      <c r="A120" t="inlineStr">
        <is>
          <t>YouthBuild</t>
        </is>
      </c>
      <c r="B120" t="inlineStr">
        <is>
          <t>Pooled (75 programs nationwide)</t>
        </is>
      </c>
      <c r="C120" t="inlineStr">
        <is>
          <t>National Directory of New Hires (NDNH)</t>
        </is>
      </c>
      <c r="D120" t="inlineStr">
        <is>
          <t>Training is the primary component. YouthBuild provides hands-on construction vocational training combined with GED/diploma classroom instruction. Participants spend roughly half their time in classroom education and half in construction training.</t>
        </is>
      </c>
      <c r="E120" t="inlineStr">
        <is>
          <t>Youth training program combining vocational training with education. DOL-funded, operated by nonprofit YouthBuild programs across 75 sites.</t>
        </is>
      </c>
      <c r="F120" t="inlineStr">
        <is>
          <t>Appendix Table B.1 (demographics), Table 3.2 (impacts). Report p.97: 3,929 youth randomized (2,700 program, 1,229 control). NDNH sample: 3,878 (2,662 program, 1,216 control) due to missing SSNs. mean_years_schooling: Estimated from 'Highest grade completed' distribution in Miller et al. 2016, Table 1: 7th=1.0%, 8th=7.5%, 9th=18.6%, 10th=26.2%, 11th=34.9%, 12th=10.0%. Remaining 1.8% assumed at grade 6. Weighted mean = 10.1.</t>
        </is>
      </c>
      <c r="G120" t="inlineStr">
        <is>
          <t>Table 3.2 (NDNH panel). Employment: Year 1=-2.4 (p=0.120), Year 2=+3.2** (p=0.049), Year 3=+2.1 (p=0.185), Year 4=-1.7 (p=0.278). Earnings: Year 1=-$314** (p=0.016), Year 2=-$201 (p=0.293), Year 3=+$111 (p=0.652), Year 4=+$251 (p=0.407). Control means — Emp: Y1=51.3%, Y2=59.7%, Y3=66.3%, Y4=73.3%. Earn: Y1=$2,408, Y2=$3,937, Y3=$5,331, Y4=$6,729.</t>
        </is>
      </c>
      <c r="H120" t="inlineStr">
        <is>
          <t>ITT regression-adjusted impact with site fixed effects</t>
        </is>
      </c>
      <c r="I120" t="inlineStr">
        <is>
          <t>ST=Year 1 (lock-in period, participants in training). MT=Year 2 (first full post-program year). LT=Year 4 for earnings; average of Years 3-4 for employment (to smooth year-to-year volatility: Y3=+2.1, Y4=-1.7, avg=+0.2).</t>
        </is>
      </c>
      <c r="J120" t="inlineStr">
        <is>
          <t>Earnings SEs derived from p-values in Table 3.2: SE = |impact| / Φ^{-1}(1-p/2). ST: SE=|314|/2.405=130.6; MT: SE=|201|/1.053=190.9; LT: SE=|251|/0.830=302.4. Employment SEs: ST: SE=|2.4|/1.555=1.5; MT: SE=|3.2|/1.969=1.6. LT employment: averaged from Years 3-4, no SE computed.</t>
        </is>
      </c>
      <c r="K120" t="inlineStr">
        <is>
          <t>Not extracted. Report mentions DOL and matching funds but no per-participant cost figure.</t>
        </is>
      </c>
      <c r="L120" t="inlineStr">
        <is>
          <t>1. Survey and NDNH data diverge: survey shows significant positive impacts (emp +4.5**, weekly earn +$33***), NDNH does not. Report discusses explanations: informal/gig/self-employment missed by UI records, survey response bias. 2. Year 1 is lock-in period — negative impacts expected. 3. LT employment averaged across Years 3-4 because individual year estimates are volatile and opposite-signed. 4. Annual earnings include zeros for non-employed. 5. 2:1 randomization ratio (T:C).</t>
        </is>
      </c>
      <c r="M120" t="inlineStr">
        <is>
          <t>Peck et al. 2021 dataset (YouthBuild-Combined): coded as 0</t>
        </is>
      </c>
      <c r="N120" t="inlineStr">
        <is>
          <t>Peck et al. 2021 dataset (YouthBuild-Combined): coded as 0</t>
        </is>
      </c>
      <c r="O120" t="inlineStr">
        <is>
          <t>Peck et al. 2021 dataset (YouthBuild-Combined): coded as 0</t>
        </is>
      </c>
      <c r="P120" t="inlineStr">
        <is>
          <t>Peck et al. 2021 dataset (YouthBuild-Combined): coded as 0</t>
        </is>
      </c>
      <c r="Q120" t="inlineStr">
        <is>
          <t>Peck et al. 2021 dataset (YouthBuild-Combined): coded as 1</t>
        </is>
      </c>
      <c r="R120" t="inlineStr">
        <is>
          <t>Peck et al. 2021 dataset (YouthBuild-Combined): coded as 0</t>
        </is>
      </c>
      <c r="S120" t="inlineStr">
        <is>
          <t>public: YouthBuild programs are funded by federal DOL YouthBuild grants. The national program is a DOL initiative.</t>
        </is>
      </c>
      <c r="T120" t="inlineStr">
        <is>
          <t>private: Individual YouthBuild programs are operated by local nonprofit organizations.</t>
        </is>
      </c>
      <c r="U120" t="inlineStr">
        <is>
          <t>YouthBuild: 6-12 months participation. Using midpoint 9 months. Miller et al. 2018.</t>
        </is>
      </c>
      <c r="BK120" t="inlineStr">
        <is>
          <t>Appendix Table C.1: 82.1% of program group ever participated in YouthBuild. Admin data show &lt;1% of controls enrolled in participating YB programs. C≈0%.</t>
        </is>
      </c>
      <c r="BL120" t="inlineStr">
        <is>
          <t>Appendix Table C.1: Education-related services ever participated: T=84.0%, C=75.4%, Impact=8.7pp***. Job/training-related services: T=82.0%, C=64.3%, Impact=17.7pp***. Used education-related as broader 'any training' measure.</t>
        </is>
      </c>
    </row>
    <row r="121">
      <c r="A121" t="inlineStr">
        <is>
          <t>Child Support Noncustodial Parent Employment Demonstration (CSPED)</t>
        </is>
      </c>
      <c r="B121" t="inlineStr">
        <is>
          <t>8 states pooled (CA, CO, IA, OH, SC, TN, TX, WI)</t>
        </is>
      </c>
      <c r="C121" t="inlineStr">
        <is>
          <t>NDNH administrative records</t>
        </is>
      </c>
      <c r="D121" t="inlineStr">
        <is>
          <t>Secondary: primary function is child support case management and order modification; employment services including training are one component among several.</t>
        </is>
      </c>
      <c r="E121" t="inlineStr">
        <is>
          <t>RCT across 8 U.S. states. Extra services group vs regular services (control). Randomization at individual level within each grantee site.</t>
        </is>
      </c>
      <c r="F121" t="inlineStr">
        <is>
          <t>Report pp. 7-10 (design), Table 2 (demographics), N from Tables 15-17</t>
        </is>
      </c>
      <c r="G121" t="inlineStr">
        <is>
          <t>Table 17 (earnings), Table 16 (quarterly employment admin data)</t>
        </is>
      </c>
      <c r="H121" t="inlineStr">
        <is>
          <t>ITT regression-adjusted impact, weighted average across 8 grantees</t>
        </is>
      </c>
      <c r="I121" t="inlineStr">
        <is>
          <t>ST=Year 1 post-RA (~1 year). MT=Year 2 post-RA (~2 years). No LT data.</t>
        </is>
      </c>
      <c r="J121" t="inlineStr">
        <is>
          <t>Earnings SE derived from p=.085 for Year 1. Year 2 SE not derivable (ns, no p-value).</t>
        </is>
      </c>
      <c r="K121" t="inlineStr">
        <is>
          <t>Not extracted</t>
        </is>
      </c>
      <c r="L121" t="inlineStr">
        <is>
          <t>Employment data uses quarterly admin rates; Q4 of Year 1 used as ST emp impact. Year 1 earnings impact not robust to multiple comparison correction.</t>
        </is>
      </c>
      <c r="M121" t="inlineStr">
        <is>
          <t>CSPED: public employment services for noncustodial parents (admin=public). Case management and employment services. No CBO lead, no employer engagement in curriculum.</t>
        </is>
      </c>
      <c r="N121" t="inlineStr">
        <is>
          <t>CSPED: public employment services for noncustodial parents (admin=public). Case management and employment services. No CBO lead, no employer engagement in curriculum.</t>
        </is>
      </c>
      <c r="O121" t="inlineStr">
        <is>
          <t>CSPED: public employment services for noncustodial parents (admin=public). Case management and employment services. No CBO lead, no employer engagement in curriculum.</t>
        </is>
      </c>
      <c r="P121" t="inlineStr">
        <is>
          <t>CSPED: public employment services for noncustodial parents (admin=public). Case management and employment services. No CBO lead, no employer engagement in curriculum.</t>
        </is>
      </c>
      <c r="Q121" t="inlineStr">
        <is>
          <t>CSPED: public employment services for noncustodial parents (admin=public). Case management and employment services. No CBO lead, no employer engagement in curriculum.</t>
        </is>
      </c>
      <c r="R121" t="inlineStr">
        <is>
          <t>CSPED: public employment services for noncustodial parents (admin=public). Case management and employment services. No CBO lead, no employer engagement in curriculum.</t>
        </is>
      </c>
      <c r="S121" t="inlineStr">
        <is>
          <t>public: Child Support Noncustodial Parent Employment Demonstration was funded by DHHS/OCSE as a federal demonstration.</t>
        </is>
      </c>
      <c r="T121" t="inlineStr">
        <is>
          <t>public: Administered through state child support enforcement agencies in 8 states.</t>
        </is>
      </c>
      <c r="U121" t="inlineStr">
        <is>
          <t>CSPED: child support noncustodial parent employment case management. Duration ambiguous. Cancian et al. 2019.</t>
        </is>
      </c>
      <c r="BK121" t="inlineStr">
        <is>
          <t>Table 4: 'Whether someone from employment program put NCP in touch with job opening': T=27.09%, C=15.20%, Impact=11.89pp***. This is the best binary measure of program participation. Overall T received 37 hrs services vs C 15 hrs (ES p.x).</t>
        </is>
      </c>
      <c r="BL121" t="inlineStr">
        <is>
          <t>Table 6: GED class: T=6.19%, C=3.83%, Impact=2.36pp*. Training program hours: T=6.55, C=5.55, n.s. CSPED had very low training intensity; few received training or subsidized employment. Used GED as closest binary training measure.</t>
        </is>
      </c>
    </row>
    <row r="122">
      <c r="A122" t="inlineStr">
        <is>
          <t>Year Up Professional Training Corps (PTC)</t>
        </is>
      </c>
      <c r="B122" t="inlineStr">
        <is>
          <t>3 PTC sites pooled (Study 1)</t>
        </is>
      </c>
      <c r="C122" t="inlineStr">
        <is>
          <t>NDNH administrative records</t>
        </is>
      </c>
      <c r="D122" t="inlineStr">
        <is>
          <t>Primary: Year Up PTC is an intensive year-long occupational training program combining classroom instruction with college enrollment and corporate internships.</t>
        </is>
      </c>
      <c r="E122" t="inlineStr">
        <is>
          <t>RCT across 3 PTC sites. Lottery-based random assignment of eligible applicants to treatment or control.</t>
        </is>
      </c>
      <c r="F122" t="inlineStr">
        <is>
          <t>Report pp. 1-4 (design), Table 1 footnote (N=389 T, 163 C)</t>
        </is>
      </c>
      <c r="G122" t="inlineStr">
        <is>
          <t>Table 1 (annual earnings Years 1-3), Table 3 (quarterly earnings/employment)</t>
        </is>
      </c>
      <c r="H122" t="inlineStr">
        <is>
          <t>ITT regression-adjusted impact</t>
        </is>
      </c>
      <c r="I122" t="inlineStr">
        <is>
          <t>Year 1 = lock-in year (during intensive program). ST = Year 2 (1st post-program year, ~2 years post-RA). MT = Year 3 (~3 years post-RA).</t>
        </is>
      </c>
      <c r="J122" t="inlineStr">
        <is>
          <t>SE reported directly in Table 1 (819.6, 1453, 1771).</t>
        </is>
      </c>
      <c r="K122" t="inlineStr">
        <is>
          <t>Not extracted</t>
        </is>
      </c>
      <c r="L122" t="inlineStr">
        <is>
          <t>PTC is a scaled-down version of Year Up's core program delivered at community colleges. Results differ dramatically from core program evaluation. Employment impacts not reported as clean annual rates; quarterly data in Table 3 shows mostly null post-program.</t>
        </is>
      </c>
      <c r="M122" t="inlineStr">
        <is>
          <t>Peck et al. 2021 dataset (Year Up-Combined): coded as 1</t>
        </is>
      </c>
      <c r="N122" t="inlineStr">
        <is>
          <t>Peck et al. 2021 dataset (Year Up-Combined): coded as 0</t>
        </is>
      </c>
      <c r="O122" t="inlineStr">
        <is>
          <t>Peck et al. 2021 dataset (Year Up-Combined): coded as 1</t>
        </is>
      </c>
      <c r="P122" t="inlineStr">
        <is>
          <t>Peck et al. 2021 dataset (Year Up-Combined): coded as 0</t>
        </is>
      </c>
      <c r="Q122" t="inlineStr">
        <is>
          <t>Peck et al. 2021 dataset (Year Up-Combined): coded as 1</t>
        </is>
      </c>
      <c r="R122" t="inlineStr">
        <is>
          <t>Peck et al. 2021 dataset (Year Up-Combined): coded as 0</t>
        </is>
      </c>
      <c r="S122" t="inlineStr">
        <is>
          <t>mixed: Year Up generates operating revenue from employer internship fees (~50% of revenue), private philanthropy, and government grants (DOL, workforce development). No single source dominates. Changed from 'private' to 'mixed' upon review.</t>
        </is>
      </c>
      <c r="T122" t="inlineStr">
        <is>
          <t>private: Year Up is a national nonprofit that directly operates its Professional Training Corps (PTC) programs at 15 sites.</t>
        </is>
      </c>
      <c r="U122" t="inlineStr">
        <is>
          <t>Year Up PTC: similar to core Year Up model, approximately 12 months. Fein &amp; Maynard 2022.</t>
        </is>
      </c>
      <c r="BK122" t="inlineStr">
        <is>
          <t>Fein &amp; Maynard 2022, p.4: 76% of treatment group enrolled in PTC (24% did not enroll). C excluded from participation, so C=0%.</t>
        </is>
      </c>
      <c r="BL122" t="inlineStr">
        <is>
          <t>Not separately reported. PTC enrolls all participants in college during the program, so program_uptake ≈ any_training. College enrollment was higher for T in Year 1 by design (2.2 months more). No separate binary training receipt measure for T and C.</t>
        </is>
      </c>
    </row>
    <row r="123">
      <c r="A123" t="inlineStr">
        <is>
          <t>Food Stamp Employment and Training (FSET) Program</t>
        </is>
      </c>
      <c r="B123" t="inlineStr">
        <is>
          <t>53 local offices in 7 states pooled</t>
        </is>
      </c>
      <c r="C123" t="inlineStr">
        <is>
          <t>Survey (follow-up interviews)</t>
        </is>
      </c>
      <c r="D123" t="inlineStr">
        <is>
          <t>Secondary: E&amp;T program with multiple components; classroom training is available but many participants assigned to job search or work experience instead.</t>
        </is>
      </c>
      <c r="E123" t="inlineStr">
        <is>
          <t>RCT, nationally representative sample from 53 local FS offices in 7 states. Random assignment at individual level at time of initial food stamp certification.</t>
        </is>
      </c>
      <c r="F123" t="inlineStr">
        <is>
          <t>Paper pp. 313-317 (design), Table 1 (demographics), ~13,000 total sample</t>
        </is>
      </c>
      <c r="G123" t="inlineStr">
        <is>
          <t>Table 2 (employment rates), Table 3 (days employed), Table 4 (wages), Table 5 (earnings)</t>
        </is>
      </c>
      <c r="H123" t="inlineStr">
        <is>
          <t>ITT regression-adjusted impact</t>
        </is>
      </c>
      <c r="I123" t="inlineStr">
        <is>
          <t>ST=1 year post-RA. No follow-up beyond Year 1.</t>
        </is>
      </c>
      <c r="J123" t="inlineStr">
        <is>
          <t>SE reported directly in parentheses: employment SE=0.033 (3.3pp), earnings SE=$160.51.</t>
        </is>
      </c>
      <c r="K123" t="inlineStr">
        <is>
          <t>Paper text: average cost $135 per participant (FY 1988 dollars)</t>
        </is>
      </c>
      <c r="L123" t="inlineStr">
        <is>
          <t>Sample sizes approximate (paper says ~13,000 total but analysis samples vary by outcome). N_treatment and N_control estimated as ~6,500 each.</t>
        </is>
      </c>
      <c r="M123" t="inlineStr">
        <is>
          <t>FSET: public mandatory E&amp;T program for food stamp recipients (admin=public). Job search, work experience, classroom training. No CBO, no employer engagement.</t>
        </is>
      </c>
      <c r="N123" t="inlineStr">
        <is>
          <t>FSET: public mandatory E&amp;T program for food stamp recipients (admin=public). Job search, work experience, classroom training. No CBO, no employer engagement.</t>
        </is>
      </c>
      <c r="O123" t="inlineStr">
        <is>
          <t>FSET: public mandatory E&amp;T program for food stamp recipients (admin=public). Job search, work experience, classroom training. No CBO, no employer engagement.</t>
        </is>
      </c>
      <c r="P123" t="inlineStr">
        <is>
          <t>FSET: public mandatory E&amp;T program for food stamp recipients (admin=public). Job search, work experience, classroom training. No CBO, no employer engagement.</t>
        </is>
      </c>
      <c r="Q123" t="inlineStr">
        <is>
          <t>FSET: public mandatory E&amp;T program for food stamp recipients (admin=public). Job search, work experience, classroom training. No CBO, no employer engagement.</t>
        </is>
      </c>
      <c r="R123" t="inlineStr">
        <is>
          <t>FSET: public mandatory E&amp;T program for food stamp recipients (admin=public). Job search, work experience, classroom training. No CBO, no employer engagement.</t>
        </is>
      </c>
      <c r="S123" t="inlineStr">
        <is>
          <t>public: Food Stamp Employment and Training is a federal program funded by USDA and state matching funds.</t>
        </is>
      </c>
      <c r="T123" t="inlineStr">
        <is>
          <t>public: Administered by state welfare/food stamp agencies through local offices.</t>
        </is>
      </c>
      <c r="U123" t="inlineStr">
        <is>
          <t>FSET: job search requirement (24 contacts in 8 weeks) plus optional short training. Most participation was job search lasting ~2 months. Puma &amp; Burstein 1994.</t>
        </is>
      </c>
      <c r="BK123" t="inlineStr">
        <is>
          <t>Puma &amp; Burstein 1994, p.320: T received any employment/training services at 12pp above C (~40% T vs ~28% C). 53% of T never assigned to component; 34% no-showed. program_uptake_impact≈12pp, C_mean≈28%.</t>
        </is>
      </c>
      <c r="BL123" t="inlineStr">
        <is>
          <t>Puma &amp; Burstein 1994, p.320-321: Group meetings/classes on job finding: T=15%, C=6%, Impact≈9pp. More intensive services (basic ed, GED, workfare) were rare. any_training_control_mean≈6%.</t>
        </is>
      </c>
    </row>
    <row r="124">
      <c r="A124" t="inlineStr">
        <is>
          <t>Indiana Welfare Reform (IMPACT)</t>
        </is>
      </c>
      <c r="B124" t="inlineStr">
        <is>
          <t>Indiana statewide (single-parent families, first-year cohort)</t>
        </is>
      </c>
      <c r="C124" t="inlineStr">
        <is>
          <t>Indiana UI wage records</t>
        </is>
      </c>
      <c r="D124" t="inlineStr">
        <is>
          <t>Secondary: IMPACT includes education and training tracks but also job search; mandatory participation in one or more activities. Training is one component of comprehensive welfare reform.</t>
        </is>
      </c>
      <c r="E124" t="inlineStr">
        <is>
          <t>RCT: 95% of new TANF applicants randomly assigned to Welfare Reform group; 5% to Traditional Welfare control. Statewide implementation in Indiana.</t>
        </is>
      </c>
      <c r="F124" t="inlineStr">
        <is>
          <t>Report pp. 67-68 (design), Exhibit 4.4 (N=66,413: 63,197 WR + 3,216 TW)</t>
        </is>
      </c>
      <c r="G124" t="inlineStr">
        <is>
          <t>Exhibit 4.4 (5-year earnings and employment for single-parent families)</t>
        </is>
      </c>
      <c r="H124" t="inlineStr">
        <is>
          <t>ITT: difference in means, Welfare Reform vs Traditional Welfare</t>
        </is>
      </c>
      <c r="I124" t="inlineStr">
        <is>
          <t>ST=Year 1 (~1 yr post-RA). MT=Year 3 (~3 yr). LT=Year 5 (~5 yr). Impacts grow over time.</t>
        </is>
      </c>
      <c r="J124" t="inlineStr">
        <is>
          <t>SE derived from *** significance stars (p=0.01 threshold) for all impacts.</t>
        </is>
      </c>
      <c r="K124" t="inlineStr">
        <is>
          <t>Not extracted</t>
        </is>
      </c>
      <c r="L124" t="inlineStr">
        <is>
          <t>Highly unequal randomization (95/5 split). Treatment is full welfare reform package, not training alone. Hispanic percentage not reported. Employment is last-quarter-of-year rate, not annual average.</t>
        </is>
      </c>
      <c r="M124" t="inlineStr">
        <is>
          <t>Indiana IMPACT: public welfare reform program (admin=public). Mandatory participation in job search, education, training. No CBO lead, no employer engagement.</t>
        </is>
      </c>
      <c r="N124" t="inlineStr">
        <is>
          <t>Indiana IMPACT: public welfare reform program (admin=public). Mandatory participation in job search, education, training. No CBO lead, no employer engagement.</t>
        </is>
      </c>
      <c r="O124" t="inlineStr">
        <is>
          <t>Indiana IMPACT: public welfare reform program (admin=public). Mandatory participation in job search, education, training. No CBO lead, no employer engagement.</t>
        </is>
      </c>
      <c r="P124" t="inlineStr">
        <is>
          <t>Indiana IMPACT: public welfare reform program (admin=public). Mandatory participation in job search, education, training. No CBO lead, no employer engagement.</t>
        </is>
      </c>
      <c r="Q124" t="inlineStr">
        <is>
          <t>Indiana IMPACT: public welfare reform program (admin=public). Mandatory participation in job search, education, training. No CBO lead, no employer engagement.</t>
        </is>
      </c>
      <c r="R124" t="inlineStr">
        <is>
          <t>Indiana IMPACT: public welfare reform program (admin=public). Mandatory participation in job search, education, training. No CBO lead, no employer engagement.</t>
        </is>
      </c>
      <c r="S124" t="inlineStr">
        <is>
          <t>public: Indiana Manpower Placement and Comprehensive Training was a state welfare program funded by state and federal welfare appropriations.</t>
        </is>
      </c>
      <c r="T124" t="inlineStr">
        <is>
          <t>public: Administered by the Indiana Family and Social Services Administration.</t>
        </is>
      </c>
      <c r="U124" t="inlineStr">
        <is>
          <t>Indiana IMPACT: welfare-to-work with job club (1-2 weeks), job search, and optional education/training. Actual avg duration of training not reported. Beecroft et al. 2003. Duration ambiguous.</t>
        </is>
      </c>
      <c r="BK124" t="inlineStr">
        <is>
          <t>Exhibit 3.2 (p.56): Any employment or training activity (admin): WR=73%, TW=66%, Impact=7pp. Includes unsubsidized employment, job search, education. program_uptake_control_mean=66%.</t>
        </is>
      </c>
      <c r="BL124" t="inlineStr">
        <is>
          <t>Exhibit 3.4 (p.60): Survey-based: Any education/training activity: WR=54.1%, TW=49.6%, Impact=4.5pp**. Includes job search 17.8/14.1, basic ed 23.2/24.0, vocational 26.6/22.5, post-sec 5.2/5.1, OJT 13.4/9.8.</t>
        </is>
      </c>
    </row>
    <row r="125">
      <c r="A125" t="inlineStr">
        <is>
          <t>American Conservation and Youth Service Corps (ACYSC)</t>
        </is>
      </c>
      <c r="B125" t="inlineStr">
        <is>
          <t>4 experimental sites pooled</t>
        </is>
      </c>
      <c r="C125" t="inlineStr">
        <is>
          <t>Follow-up survey (15 months post-RA)</t>
        </is>
      </c>
      <c r="D125" t="inlineStr">
        <is>
          <t>Secondary: primarily a structured work experience/service program with education (GED prep, life skills) as a supplementary component.</t>
        </is>
      </c>
      <c r="E125" t="inlineStr">
        <is>
          <t>RCT in 4 of the larger/more mature corps sites. Applicants randomly assigned to treatment (enrolled) or control (excluded for 1 year).</t>
        </is>
      </c>
      <c r="F125" t="inlineStr">
        <is>
          <t>Report pp. 15-16 (design), p. 10 (N≈2,079 in experimental sites)</t>
        </is>
      </c>
      <c r="G125" t="inlineStr">
        <is>
          <t>Chapter 4 pp. 16-17 (overall impacts), subgroup results pp. 17-19</t>
        </is>
      </c>
      <c r="H125" t="inlineStr">
        <is>
          <t>ITT: treatment-control difference at 15-month follow-up survey</t>
        </is>
      </c>
      <c r="I125" t="inlineStr">
        <is>
          <t>ST=15 months post-RA (~1.25 years). Programs lasted ~6-12 months, so follow-up includes substantial during-program period.</t>
        </is>
      </c>
      <c r="J125" t="inlineStr">
        <is>
          <t>SE not reported for overall employment/earnings. Significance described narratively.</t>
        </is>
      </c>
      <c r="K125" t="inlineStr">
        <is>
          <t>Report mentions program costs per service hour but no clean per-participant total</t>
        </is>
      </c>
      <c r="L125" t="inlineStr">
        <is>
          <t>Major flag: employment/earnings impacts are NOT post-program effects. They include corps work during program. Regular (non-corps) earnings actually declined (-$114/month). N approximate. Race reported as '86% persons of color, 50% Black' without precise white/Hispanic breakdown.</t>
        </is>
      </c>
      <c r="M125" t="inlineStr">
        <is>
          <t>ACYSC: conservation and youth service corps (admin=mixed). Structured work experience on environmental projects. Not CBO-led, no employer engagement in curriculum.</t>
        </is>
      </c>
      <c r="N125" t="inlineStr">
        <is>
          <t>ACYSC: conservation and youth service corps (admin=mixed). Structured work experience on environmental projects. Not CBO-led, no employer engagement in curriculum.</t>
        </is>
      </c>
      <c r="O125" t="inlineStr">
        <is>
          <t>ACYSC: conservation and youth service corps (admin=mixed). Structured work experience on environmental projects. Not CBO-led, no employer engagement in curriculum.</t>
        </is>
      </c>
      <c r="P125" t="inlineStr">
        <is>
          <t>ACYSC: conservation and youth service corps (admin=mixed). Structured work experience on environmental projects. Not CBO-led, no employer engagement in curriculum.</t>
        </is>
      </c>
      <c r="Q125" t="inlineStr">
        <is>
          <t>ACYSC: conservation and youth service corps (admin=mixed). Structured work experience on environmental projects. Not CBO-led, no employer engagement in curriculum.</t>
        </is>
      </c>
      <c r="R125" t="inlineStr">
        <is>
          <t>ACYSC: conservation and youth service corps (admin=mixed). Structured work experience on environmental projects. Not CBO-led, no employer engagement in curriculum.</t>
        </is>
      </c>
      <c r="S125" t="inlineStr">
        <is>
          <t>public: American Conservation and Youth Service Corps was funded by federal ACTION agency appropriations under the National and Community Service Act.</t>
        </is>
      </c>
      <c r="T125" t="inlineStr">
        <is>
          <t>mixed: ACYSC programs were operated by a mix of state agencies and nonprofit organizations, depending on the site.</t>
        </is>
      </c>
      <c r="U125" t="inlineStr">
        <is>
          <t>ACYSC: terms of service typically 6-12 months; completers averaged 1,130 hours over 14-month reporting period. Using 10 months as approximate avg. Jastrzab et al. 1996; Price et al. 2011.</t>
        </is>
      </c>
      <c r="BK125" t="inlineStr">
        <is>
          <t>Jastrzab et al 1996, Ch.4 p.15: Treatment group 99% worked for pay (including corps work) vs 73% of controls. C excluded from corps for 1 year. program_uptake≈99%, C=0%.</t>
        </is>
      </c>
      <c r="BL125" t="inlineStr">
        <is>
          <t>Jastrzab et al 1996, Ch.4 p.18: At follow-up 22% of T attending school vs 19% of C (n.s.). Technical cert: T=8%, C=13% (negative impact - corps substituted for other education). any_training_impact≈3pp, C_mean=19%.</t>
        </is>
      </c>
    </row>
    <row r="126">
      <c r="A126" t="inlineStr">
        <is>
          <t>New Visions (GAIN Education &amp; Training Program)</t>
        </is>
      </c>
      <c r="B126" t="inlineStr">
        <is>
          <t>Riverside County, CA (Riverside Community College)</t>
        </is>
      </c>
      <c r="C126" t="inlineStr">
        <is>
          <t>UI quarterly earnings records</t>
        </is>
      </c>
      <c r="D126" t="inlineStr">
        <is>
          <t>Primary: New Visions is an integrated community college education/training program combining basic skills, workplace preparation, and college courses.</t>
        </is>
      </c>
      <c r="E126" t="inlineStr">
        <is>
          <t>RCT at single site (Riverside County). GAIN participants who volunteered for New Visions randomly assigned to treatment (New Visions) or control (other GAIN E&amp;T services).</t>
        </is>
      </c>
      <c r="F126" t="inlineStr">
        <is>
          <t>Report pp. xii-xiii (design), Exhibit ES.1 (N=528 T, 515 C)</t>
        </is>
      </c>
      <c r="G126" t="inlineStr">
        <is>
          <t>Exhibit ES.1 (summary), Exhibit 3.6 (detailed by year)</t>
        </is>
      </c>
      <c r="H126" t="inlineStr">
        <is>
          <t>ITT regression-adjusted impact</t>
        </is>
      </c>
      <c r="I126" t="inlineStr">
        <is>
          <t>ST=Year 1 post-RA. MT=Year 2 post-RA. Earnings data cover 2.5 years total (through first half of Year 3). No LT data.</t>
        </is>
      </c>
      <c r="J126" t="inlineStr">
        <is>
          <t>SEs not directly reported. Significance stars taken from Exhibit 3.6 'Percentage Impact' column: Year 1 earnings -8.3* (10%), Year 2 employment -6.3* (10%), Year 2 earnings -14.3** (5%). Year 1 employment not significant. Note: Exhibit ES.1 shows ** on total 2.5-year earnings (-$2,301), consistent with Exhibit 3.6 total row (-11.8**). Stars corrected from earlier extraction that had each shifted one level too high.</t>
        </is>
      </c>
      <c r="K126" t="inlineStr">
        <is>
          <t>Not extracted</t>
        </is>
      </c>
      <c r="L126" t="inlineStr">
        <is>
          <t>Significance stars in Exhibit 3.6 apply to proportionate impacts, not absolute dollar differences. However Exhibit ES.1 shows ** on total earnings. Control group received other GAIN E&amp;T services, so impacts are incremental relative to alternative services, not no services. 37.8% no-show rate in treatment group.</t>
        </is>
      </c>
      <c r="M126" t="inlineStr">
        <is>
          <t>New Visions at Riverside Community College (admin=public). Integrated basic education and workforce preparation at CC. Not CBO-led.</t>
        </is>
      </c>
      <c r="N126" t="inlineStr">
        <is>
          <t>New Visions at Riverside Community College (admin=public). Integrated basic education and workforce preparation at CC. Not CBO-led.</t>
        </is>
      </c>
      <c r="O126" t="inlineStr">
        <is>
          <t>New Visions at Riverside Community College (admin=public). Integrated basic education and workforce preparation at CC. Not CBO-led.</t>
        </is>
      </c>
      <c r="P126" t="inlineStr">
        <is>
          <t>New Visions at Riverside Community College (admin=public). Integrated basic education and workforce preparation at CC. Not CBO-led.</t>
        </is>
      </c>
      <c r="Q126" t="inlineStr">
        <is>
          <t>New Visions at Riverside Community College (admin=public). Integrated basic education and workforce preparation at CC. Not CBO-led.</t>
        </is>
      </c>
      <c r="R126" t="inlineStr">
        <is>
          <t>New Visions at Riverside Community College (admin=public). Integrated basic education and workforce preparation at CC. Not CBO-led.</t>
        </is>
      </c>
      <c r="S126" t="inlineStr">
        <is>
          <t>public: New Visions was part of California GAIN, funded by state and federal welfare funds.</t>
        </is>
      </c>
      <c r="T126" t="inlineStr">
        <is>
          <t>public: Administered by Riverside Community College (a public institution) under contract with the county welfare department.</t>
        </is>
      </c>
      <c r="U126" t="inlineStr">
        <is>
          <t>New Visions: 1-week orientation + 24-week core program ≈ 6 months. Fein &amp; Beecroft 2006.</t>
        </is>
      </c>
      <c r="BK126" t="inlineStr">
        <is>
          <t>Exhibit 3.1: New Visions participation: T=68.9%, C=0%, Impact=68.9***. Fein and Beecroft 2006.</t>
        </is>
      </c>
      <c r="BL126" t="inlineStr">
        <is>
          <t>Exhibit 3.1: GAIN E&amp;T participation: T=78.8%, C=58.6%, Impact=20.2***. Fein and Beecroft 2006.</t>
        </is>
      </c>
    </row>
    <row r="127">
      <c r="A127" t="inlineStr">
        <is>
          <t>Saturation Work Initiative Model (SWIM)</t>
        </is>
      </c>
      <c r="B127" t="inlineStr">
        <is>
          <t>San Diego, AFDC-FG (single parents)</t>
        </is>
      </c>
      <c r="C127" t="inlineStr">
        <is>
          <t>CA UI wage records + county AFDC records</t>
        </is>
      </c>
      <c r="D127" t="inlineStr">
        <is>
          <t>SWIM's primary emphasis was on rapid job placement through job search and workfare. Education and training were a third-stage activity assigned only to those who did not find employment through earlier stages. Training was present but secondary to the job search/workfare mandate.</t>
        </is>
      </c>
      <c r="E127" t="inlineStr">
        <is>
          <t>RCT. Individuals randomly assigned to experimental (subject to SWIM mandate) or control (not eligible for SWIM, could access community programs).</t>
        </is>
      </c>
      <c r="F127" t="inlineStr">
        <is>
          <t>Table ES.1: sample sizes 1604 exp, 1606 ctrl. Table ES.3: demographic subgroup shares.</t>
        </is>
      </c>
      <c r="G127" t="inlineStr">
        <is>
          <t>Table ES.1 / Table B.1: earnings and employment by year. Year 1 earn +$352***, Year 2 +$644***, Year 3 +$555***, Year 4 +$378, Year 5 +$148.</t>
        </is>
      </c>
      <c r="H127" t="inlineStr">
        <is>
          <t>ITT experimental-control difference</t>
        </is>
      </c>
      <c r="I127" t="inlineStr">
        <is>
          <t>Year 1 (Quarters 2-5) = short-term ~1yr. Year 2 (Q6-9) = medium-term ~2yr. Year 5 (Q18-21) = long-term ~5yr. CKW scheme.</t>
        </is>
      </c>
      <c r="J127" t="inlineStr">
        <is>
          <t>SE derived from significance stars: *** → p=0.01, ** → p=0.05, * → p=0.10</t>
        </is>
      </c>
      <c r="K127" t="inlineStr">
        <is>
          <t>Report preface p. xxvi: net costs ~$900 per AFDC-FG experimental; Table ES.1 notes $920 net cost.</t>
        </is>
      </c>
      <c r="L127" t="inlineStr">
        <is>
          <t>After SWIM ended (1987), both experimentals and controls became eligible for California's GAIN program. Later-period impacts conflate SWIM legacy with GAIN exposure for both groups (see Appendix A). Control group had access to community education/training, so impacts are conservative. pct_male estimated but not reported.</t>
        </is>
      </c>
      <c r="M127" t="inlineStr">
        <is>
          <t>SWIM: public mandatory welfare-to-work (admin=public). Job search, workfare, then education/training. No CBO, no employer engagement in curriculum.</t>
        </is>
      </c>
      <c r="N127" t="inlineStr">
        <is>
          <t>SWIM: public mandatory welfare-to-work (admin=public). Job search, workfare, then education/training. No CBO, no employer engagement in curriculum.</t>
        </is>
      </c>
      <c r="O127" t="inlineStr">
        <is>
          <t>SWIM: public mandatory welfare-to-work (admin=public). Job search, workfare, then education/training. No CBO, no employer engagement in curriculum.</t>
        </is>
      </c>
      <c r="P127" t="inlineStr">
        <is>
          <t>SWIM: public mandatory welfare-to-work (admin=public). Job search, workfare, then education/training. No CBO, no employer engagement in curriculum.</t>
        </is>
      </c>
      <c r="Q127" t="inlineStr">
        <is>
          <t>SWIM: public mandatory welfare-to-work (admin=public). Job search, workfare, then education/training. No CBO, no employer engagement in curriculum.</t>
        </is>
      </c>
      <c r="R127" t="inlineStr">
        <is>
          <t>SWIM: public mandatory welfare-to-work (admin=public). Job search, workfare, then education/training. No CBO, no employer engagement in curriculum.</t>
        </is>
      </c>
      <c r="S127" t="inlineStr">
        <is>
          <t>public: Saturation Work Initiative Model was a San Diego County welfare-to-work program funded by state and federal welfare appropriations.</t>
        </is>
      </c>
      <c r="T127" t="inlineStr">
        <is>
          <t>public: Administered by the San Diego County Department of Social Services.</t>
        </is>
      </c>
      <c r="U127" t="inlineStr">
        <is>
          <t>SWIM San Diego AFDC-FG: job search then 3-month work experience, then education/training. Duration of full sequence ambiguous. Friedlander &amp; Hamilton 1993.</t>
        </is>
      </c>
      <c r="BK127" t="inlineStr">
        <is>
          <t>Figure 3.1/Table 3.1: All activities: T=69%, C=30%, Impact=39pp. Friedlander and Hamilton 1993.</t>
        </is>
      </c>
      <c r="BL127" t="inlineStr">
        <is>
          <t>Figure 3.1/Table 3.1: Education/training: T=39%, C=29%, Impact=10pp. Friedlander and Hamilton 1993.</t>
        </is>
      </c>
    </row>
    <row r="128">
      <c r="A128" t="inlineStr">
        <is>
          <t>Saturation Work Initiative Model (SWIM)</t>
        </is>
      </c>
      <c r="B128" t="inlineStr">
        <is>
          <t>San Diego, AFDC-U (two-parent families)</t>
        </is>
      </c>
      <c r="C128" t="inlineStr">
        <is>
          <t>CA UI wage records + county AFDC records</t>
        </is>
      </c>
      <c r="D128" t="inlineStr">
        <is>
          <t>Same as AFDC-FG: primary emphasis on job search/workfare, training was third-stage for non-finders.</t>
        </is>
      </c>
      <c r="E128" t="inlineStr">
        <is>
          <t>RCT. Same design as AFDC-FG but for AFDC-U (two-parent) caseload. Separate random assignment stream.</t>
        </is>
      </c>
      <c r="F128" t="inlineStr">
        <is>
          <t>Table ES.2: sample sizes 686 exp, 654 ctrl. Table ES.4: subgroup demographics.</t>
        </is>
      </c>
      <c r="G128" t="inlineStr">
        <is>
          <t>Table ES.2 / Table C.1: Year 1 earn +$487*, Year 2 +$478 (ns), Year 3 +$350 (ns), Year 4 -$4 (ns), Year 5 -$251 (ns). Employment: Year 1 +5.6pp***, Year 2 +4.8pp**, Years 3-5 declining and not significant.</t>
        </is>
      </c>
      <c r="H128" t="inlineStr">
        <is>
          <t>ITT experimental-control difference</t>
        </is>
      </c>
      <c r="I128" t="inlineStr">
        <is>
          <t>Same CKW scheme as AFDC-FG: Year 1=ST, Year 2=MT, Year 5=LT.</t>
        </is>
      </c>
      <c r="J128" t="inlineStr">
        <is>
          <t>SE derived from significance stars where available.</t>
        </is>
      </c>
      <c r="K128" t="inlineStr">
        <is>
          <t>Report preface: net costs ~$800 per AFDC-U experimental; benefit-cost section reports $840.</t>
        </is>
      </c>
      <c r="L128" t="inlineStr">
        <is>
          <t>Same GAIN contamination issue as AFDC-FG. AFDC-U earnings impacts faded faster than AFDC-FG. Five-year cumulative impact not significant. Benefit-cost: AFDC-U experimentals had net loss of $593 over 5 years as earnings gains were offset by welfare reductions.</t>
        </is>
      </c>
      <c r="M128" t="inlineStr">
        <is>
          <t>SWIM: public mandatory welfare-to-work (admin=public). Job search, workfare, then education/training. No CBO, no employer engagement in curriculum.</t>
        </is>
      </c>
      <c r="N128" t="inlineStr">
        <is>
          <t>SWIM: public mandatory welfare-to-work (admin=public). Job search, workfare, then education/training. No CBO, no employer engagement in curriculum.</t>
        </is>
      </c>
      <c r="O128" t="inlineStr">
        <is>
          <t>SWIM: public mandatory welfare-to-work (admin=public). Job search, workfare, then education/training. No CBO, no employer engagement in curriculum.</t>
        </is>
      </c>
      <c r="P128" t="inlineStr">
        <is>
          <t>SWIM: public mandatory welfare-to-work (admin=public). Job search, workfare, then education/training. No CBO, no employer engagement in curriculum.</t>
        </is>
      </c>
      <c r="Q128" t="inlineStr">
        <is>
          <t>SWIM: public mandatory welfare-to-work (admin=public). Job search, workfare, then education/training. No CBO, no employer engagement in curriculum.</t>
        </is>
      </c>
      <c r="R128" t="inlineStr">
        <is>
          <t>SWIM: public mandatory welfare-to-work (admin=public). Job search, workfare, then education/training. No CBO, no employer engagement in curriculum.</t>
        </is>
      </c>
      <c r="S128" t="inlineStr">
        <is>
          <t>public: Saturation Work Initiative Model was a San Diego County welfare-to-work program funded by state and federal welfare appropriations.</t>
        </is>
      </c>
      <c r="T128" t="inlineStr">
        <is>
          <t>public: Administered by the San Diego County Department of Social Services.</t>
        </is>
      </c>
      <c r="U128" t="inlineStr">
        <is>
          <t>SWIM San Diego AFDC-U: same design as AFDC-FG. Friedlander &amp; Hamilton 1993.</t>
        </is>
      </c>
      <c r="BK128" t="inlineStr">
        <is>
          <t>Figure 3.1/Table 3.1: All activities: T=70%, C=23%, Impact=47pp. Friedlander and Hamilton 1993.</t>
        </is>
      </c>
      <c r="BL128" t="inlineStr">
        <is>
          <t>Figure 3.1/Table 3.1: Education/training: T=34%, C=23%, Impact=11pp. Friedlander and Hamilton 1993.</t>
        </is>
      </c>
    </row>
    <row r="129">
      <c r="A129" t="inlineStr">
        <is>
          <t>Accelerated Training for Illinois Manufacturing (ATIM)</t>
        </is>
      </c>
      <c r="B129" t="inlineStr">
        <is>
          <t>5 Illinois regions pooled</t>
        </is>
      </c>
      <c r="C129" t="inlineStr">
        <is>
          <t>IL Dept of Employment Security UI wage records</t>
        </is>
      </c>
      <c r="D129" t="inlineStr">
        <is>
          <t>ATIM was an accelerated sector-based manufacturing training program. Classroom occupational skills training and work-based training (OJT, internships) were the core components. Training is clearly primary.</t>
        </is>
      </c>
      <c r="E129" t="inlineStr">
        <is>
          <t>RCT. Eligible applicants randomly assigned to treatment (ATIM enrollment) or control (access to WIA and community services, but not ATIM).</t>
        </is>
      </c>
      <c r="F129" t="inlineStr">
        <is>
          <t>Exhibit II-2: 514 treatment, 224 control across 5 regions. Exhibit II-3: baseline characteristics.</t>
        </is>
      </c>
      <c r="G129" t="inlineStr">
        <is>
          <t>Exhibit IV-2: Year 1 earn -$231 (ns), Year 2 earn +$5,476** (p&lt;.05). Year 2 quarters employed +0.3 (ns). Exhibit IV-5: subgroup analysis by education/timing.</t>
        </is>
      </c>
      <c r="H129" t="inlineStr">
        <is>
          <t>ITT regression-adjusted impact (weighted for unequal randomization odds)</t>
        </is>
      </c>
      <c r="I129" t="inlineStr">
        <is>
          <t>Year 1 after RA = short-term (~1yr). Year 2 after RA = medium-term (~2yr). No longer follow-up available.</t>
        </is>
      </c>
      <c r="J129" t="inlineStr">
        <is>
          <t>SE derived from ** significance star → p=0.05 for Year 2 earnings.</t>
        </is>
      </c>
      <c r="K129" t="inlineStr">
        <is>
          <t>Report p. viii and Chapter V: average per-participant cost $9,991.</t>
        </is>
      </c>
      <c r="L129" t="inlineStr">
        <is>
          <t>Employment impact reported as number of quarters employed (0-4 scale), not employment rate, so cannot be directly extracted as pp impact. Year 2 sample is only early enrollees (357 of 738) due to follow-up window. Year 1 shows lock-in: negative earnings impact while participants in training.</t>
        </is>
      </c>
      <c r="M129" t="inlineStr">
        <is>
          <t>Peck et al. 2021 dataset (ATIM): coded as 0</t>
        </is>
      </c>
      <c r="N129" t="inlineStr">
        <is>
          <t>Peck et al. 2021 dataset (ATIM): coded as 1</t>
        </is>
      </c>
      <c r="O129" t="inlineStr">
        <is>
          <t>Peck et al. 2021 dataset (ATIM): coded as 1</t>
        </is>
      </c>
      <c r="P129" t="inlineStr">
        <is>
          <t>Peck et al. 2021 dataset (ATIM): coded as 1</t>
        </is>
      </c>
      <c r="Q129" t="inlineStr">
        <is>
          <t>Peck et al. 2021 dataset (ATIM): coded as 1</t>
        </is>
      </c>
      <c r="R129" t="inlineStr">
        <is>
          <t>Peck et al. 2021 dataset (ATIM): coded as 0</t>
        </is>
      </c>
      <c r="S129" t="inlineStr">
        <is>
          <t>public: Accelerated Training for Illinois Manufacturing was an Illinois state program funded by state workforce development funds.</t>
        </is>
      </c>
      <c r="T129" t="inlineStr">
        <is>
          <t>public: Administered through the Illinois workforce system and community colleges (public institutions).</t>
        </is>
      </c>
      <c r="U129" t="inlineStr">
        <is>
          <t>ATIM: median ~5 months to completion. Betesh et al. 2017.</t>
        </is>
      </c>
      <c r="BK129" t="inlineStr">
        <is>
          <t>Exhibit III-5: Enrolled in training: T=95.6%; C group not offered ATIM → C≈0%. Impact=95.6pp. Betesh et al 2017.</t>
        </is>
      </c>
      <c r="BL129" t="inlineStr">
        <is>
          <t>Exhibit III-5: Enrolled in training (any source): T=95.6%, C=23.7%, Impact=71.9***. Betesh et al 2017.</t>
        </is>
      </c>
    </row>
    <row r="130">
      <c r="A130" t="inlineStr">
        <is>
          <t>Accelerating Connections to Employment (ACE)</t>
        </is>
      </c>
      <c r="B130" t="inlineStr">
        <is>
          <t>Maryland (6 sites) + Texas (Austin) pooled</t>
        </is>
      </c>
      <c r="C130" t="inlineStr">
        <is>
          <t>State UI wage records (MD, TX)</t>
        </is>
      </c>
      <c r="D130" t="inlineStr">
        <is>
          <t>ACE core model is integrated basic skills + vocational training via community college (I-BEST model). Training is clearly the primary component.</t>
        </is>
      </c>
      <c r="E130" t="inlineStr">
        <is>
          <t>RCT. Eligible applicants randomly assigned to treatment (ACE program enrollment) or control (business as usual). Multi-site across 9 sites in 4 states, but primary impact analysis limited to MD+TX due to data restrictions in GA and CT.</t>
        </is>
      </c>
      <c r="F130" t="inlineStr">
        <is>
          <t>Exhibit ES2: site demographics. Exhibit ES3: enrollment by site (940 treatment in MD/TX sites). Exhibit ES12: sample sizes for impact outcomes.</t>
        </is>
      </c>
      <c r="G130" t="inlineStr">
        <is>
          <t>Exhibit ES6/ES12: Year 1 (4Q post-program) earn +$1,295*** (n=1,513); 8Q post-program earn +$5,263*** (n=619). Exhibit ES5/ES12: Year 1 employment +12.9pp***, Year 2 employment +13.5pp***.</t>
        </is>
      </c>
      <c r="H130" t="inlineStr">
        <is>
          <t>ITT average treatment effect (regression-adjusted)</t>
        </is>
      </c>
      <c r="I130" t="inlineStr">
        <is>
          <t>Follow-up measured from program END, not RA. Training lasted ~3-6 months. 4 quarters post-program ≈ 1.5 yr post-RA (ST). 8 quarters post-program ≈ 2.5 yr post-RA (MT).</t>
        </is>
      </c>
      <c r="J130" t="inlineStr">
        <is>
          <t>SE derived from *** significance stars → p=0.01.</t>
        </is>
      </c>
      <c r="K130" t="inlineStr">
        <is>
          <t>Exhibit 6.9: grant expenditures per student by site. Weighted average across MD/TX sites ≈ $6,600.</t>
        </is>
      </c>
      <c r="L130" t="inlineStr">
        <is>
          <t>MT earnings are cumulative 2-year, not annual. Treatment/control N split is approximate. GA site showed negative results; CT site had promising Year 2 results but small n. The report could not calculate pooled all-sites employment significance due to GA/CT data restrictions. Year 2 uses smaller sample (only earlier cohorts).</t>
        </is>
      </c>
      <c r="M130" t="inlineStr">
        <is>
          <t>WIB-community college partnership (admin=public).</t>
        </is>
      </c>
      <c r="N130" t="inlineStr">
        <is>
          <t>No staffing agency partnerships described (Modicamore et al.).</t>
        </is>
      </c>
      <c r="O130" t="inlineStr">
        <is>
          <t>'Early employer engagement helped sites assess labor market demand and tailor vocational and basic skills content to employer needs' (Modicamore et al.).</t>
        </is>
      </c>
      <c r="P130" t="inlineStr">
        <is>
          <t>Job readiness and placement services described (Modicamore et al. 2017).</t>
        </is>
      </c>
      <c r="Q130" t="inlineStr">
        <is>
          <t>'Employers feedback was also an important component of curriculum planning' and sites customized programs to employer needs (Modicamore et al.).</t>
        </is>
      </c>
      <c r="R130" t="inlineStr">
        <is>
          <t>'Many sites regret not having employer commitments early on' — indicating lack of formal employer hiring commitments (Modicamore et al.).</t>
        </is>
      </c>
      <c r="S130" t="inlineStr">
        <is>
          <t>public: Accelerating Connections to Employment was funded by DOL as a federal demonstration under TAACCCT-related initiatives.</t>
        </is>
      </c>
      <c r="T130" t="inlineStr">
        <is>
          <t>public: Administered by state workforce agencies in Maryland and Texas.</t>
        </is>
      </c>
      <c r="U130" t="inlineStr">
        <is>
          <t>ACE: Maryland (6 sites) avg class length 14-22 weeks; Austin 8 weeks. Weighted approx 14 weeks ≈ 3.5 months. Modicamore et al., Exhibit 6.9.</t>
        </is>
      </c>
      <c r="BK130" t="inlineStr">
        <is>
          <t>Modicamore et al, ES p.7: 77% of enrolled participants completed the ACE program. C excluded from ACE, so C=0%.</t>
        </is>
      </c>
      <c r="BL130" t="inlineStr">
        <is>
          <t>Not directly reported as binary training receipt rate. Exhibit 4.11: At Year 1, enrolled in other training/education: T=11.5%, C=22.1% (C sought alternatives). Vocational cert: T=53.5%, C=35.4%. No comparable 'any training from any source' measure for both groups.</t>
        </is>
      </c>
    </row>
    <row r="131">
      <c r="A131" t="inlineStr">
        <is>
          <t>Wisconsin Welfare Employment Experiment (WEJT)</t>
        </is>
      </c>
      <c r="B131" t="inlineStr">
        <is>
          <t>Rock County, WI</t>
        </is>
      </c>
      <c r="C131" t="inlineStr">
        <is>
          <t>WI UI wage records + AFDC administrative records</t>
        </is>
      </c>
      <c r="D131" t="inlineStr">
        <is>
          <t>WEJT's primary component was mandatory job search. Education and training (remedial, vocational, JTPA, OJT) were available but not the lead component. 27-31% participated in education activities. Training is secondary.</t>
        </is>
      </c>
      <c r="E131" t="inlineStr">
        <is>
          <t>RCT in Rock County only. Random assignment to WEJT or existing WIN/WEOP programs. Other counties used quasi-experimental designs.</t>
        </is>
      </c>
      <c r="F131" t="inlineStr">
        <is>
          <t>p. 113: N=538 WEJT, N=487 control in Rock County. p. viii: data from UI wage records and AFDC check files.</t>
        </is>
      </c>
      <c r="G131" t="inlineStr">
        <is>
          <t>p. 113: Q4 1990 quarterly earnings: WEJT $1,619, control $1,744 (diff not significant). % off AFDC with earn &gt;$2,500: WEJT 22.68%, control 26.08% (z=-1.27, not significant).</t>
        </is>
      </c>
      <c r="H131" t="inlineStr">
        <is>
          <t>ITT difference in means (z-test for proportions, t-test for earnings)</t>
        </is>
      </c>
      <c r="I131" t="inlineStr">
        <is>
          <t>Randomization in 1987-88, outcomes measured Q4 1990 ≈ 2-3 years post-RA. Classified as medium-term (~2.5 years).</t>
        </is>
      </c>
      <c r="J131" t="inlineStr">
        <is>
          <t>No SE reported; differences not statistically significant.</t>
        </is>
      </c>
      <c r="K131" t="inlineStr">
        <is>
          <t>p. 69: 1990 JOBS program costs per participant = $718 for WEJT counties.</t>
        </is>
      </c>
      <c r="L131" t="inlineStr">
        <is>
          <t>Control group received WIN/WEOP services (not a pure no-services control), making this an active-control comparison. Results are negative/null. Employment measure is non-standard (off AFDC with earnings threshold). No demographic data reported for Rock County RCT sample. Report primarily focused on statewide quasi-experimental results; RCT results for Rock County are a subsection.</t>
        </is>
      </c>
      <c r="M131" t="inlineStr">
        <is>
          <t>WEJT: public mandatory welfare-to-work (admin=public). Job search, remedial education, vocational training. No CBO, no employer engagement.</t>
        </is>
      </c>
      <c r="N131" t="inlineStr">
        <is>
          <t>WEJT: public mandatory welfare-to-work (admin=public). Job search, remedial education, vocational training. No CBO, no employer engagement.</t>
        </is>
      </c>
      <c r="O131" t="inlineStr">
        <is>
          <t>WEJT: public mandatory welfare-to-work (admin=public). Job search, remedial education, vocational training. No CBO, no employer engagement.</t>
        </is>
      </c>
      <c r="P131" t="inlineStr">
        <is>
          <t>WEJT: public mandatory welfare-to-work (admin=public). Job search, remedial education, vocational training. No CBO, no employer engagement.</t>
        </is>
      </c>
      <c r="Q131" t="inlineStr">
        <is>
          <t>WEJT: public mandatory welfare-to-work (admin=public). Job search, remedial education, vocational training. No CBO, no employer engagement.</t>
        </is>
      </c>
      <c r="R131" t="inlineStr">
        <is>
          <t>WEJT: public mandatory welfare-to-work (admin=public). Job search, remedial education, vocational training. No CBO, no employer engagement.</t>
        </is>
      </c>
      <c r="S131" t="inlineStr">
        <is>
          <t>public: Wisconsin Welfare Employment Experiments were state welfare demonstrations funded by state and federal welfare appropriations under a federal waiver.</t>
        </is>
      </c>
      <c r="T131" t="inlineStr">
        <is>
          <t>public: Administered by the Rock County Department of Social Services.</t>
        </is>
      </c>
      <c r="U131" t="inlineStr">
        <is>
          <t>WEJT: comprehensive welfare employment program with job search, training, and CWEP. Actual avg duration not reported. Pawasaray &amp; Quinn 1993. Duration ambiguous.</t>
        </is>
      </c>
      <c r="BK131" t="inlineStr">
        <is>
          <t>Not reported. Pawasarat &amp; Quinn 1993 does not provide clean T vs C participation rates for Rock County. WEJT participants had 27-31% in education activities, but comparable C rates not reported.</t>
        </is>
      </c>
      <c r="BL131" t="inlineStr">
        <is>
          <t>Not reported. Control group received WIN/WEOP Job Service programs (active counterfactual). No survey data on education/training receipt for both groups.</t>
        </is>
      </c>
    </row>
    <row r="132">
      <c r="A132" t="inlineStr">
        <is>
          <t>Health Profession Opportunity Grants 2.0 (HPOG 2.0)</t>
        </is>
      </c>
      <c r="B132" t="inlineStr">
        <is>
          <t>27 non-Tribal grantees pooled (17 states)</t>
        </is>
      </c>
      <c r="C132" t="inlineStr">
        <is>
          <t>NDNH (National Directory of New Hires) wage records</t>
        </is>
      </c>
      <c r="D132" t="inlineStr">
        <is>
          <t>HPOG 2.0 is explicitly a healthcare occupational training program. 77% of treatment group started healthcare training. Training is the primary and defining component.</t>
        </is>
      </c>
      <c r="E132" t="inlineStr">
        <is>
          <t>RCT. Eligible applicants randomly assigned to treatment (access to HPOG 2.0) or control (no access to HPOG, but could access other community training). Large-scale multi-site evaluation.</t>
        </is>
      </c>
      <c r="F132" t="inlineStr">
        <is>
          <t>Exhibit 1-4: cohort sizes. Exhibit 4-1: NDNH analytic sample N=15,060 treatment, N=7,371 control (early + middle cohorts). Exhibit 1-2: demographics. pct_no_hs_diploma derived from Klerman et al. 2023 Exhibit 5-3 (Variation in Impacts on FTE Months of Training), p. 56: Less-than-secondary T=2,052, C=1,060 of pooled subgroup totals T=20,450, C=10,086 -&gt; 10.2%.</t>
        </is>
      </c>
      <c r="G132" t="inlineStr">
        <is>
          <t>Exhibit 4-1: Q12 earnings impact +$94, SE=$60, control mean $4,971 (quarterly). Exhibit 4-3: 36-month survey employment +3.0pp, SE=2.0, control 63.0%. Exhibit 4-2: Q4 earnings -$12.</t>
        </is>
      </c>
      <c r="H132" t="inlineStr">
        <is>
          <t>ITT impact (regression-adjusted, pooled across sites)</t>
        </is>
      </c>
      <c r="I132" t="inlineStr">
        <is>
          <t>Q4 post-entry ≈ 1 year (ST). Q12 post-entry ≈ 3 years (MT). Confirmatory outcome is Q12 quarterly earnings.</t>
        </is>
      </c>
      <c r="J132" t="inlineStr">
        <is>
          <t>SE reported directly: $60 for Q12 earnings, 2.0pp for employment.</t>
        </is>
      </c>
      <c r="K132" t="inlineStr">
        <is>
          <t>Not reported in this report.</t>
        </is>
      </c>
      <c r="L132" t="inlineStr">
        <is>
          <t>High cross-over: 59% of controls started healthcare training independently. Impact measures the ADDITIONAL effect of HPOG above what controls achieved on their own. Null earnings result despite large training completion impact (+14.5pp). Survey employment data has 66% response rate. NDNH earnings used as primary/confirmatory outcome. Randomization ratio ~2:1.</t>
        </is>
      </c>
      <c r="M132" t="inlineStr">
        <is>
          <t>Mixed admin — CBOs, community colleges, and tribal orgs. Not predominantly CBO-led in aggregate.</t>
        </is>
      </c>
      <c r="N132" t="inlineStr">
        <is>
          <t>No staffing agency partnerships described at pooled level (Klerman et al. 2023).</t>
        </is>
      </c>
      <c r="O132" t="inlineStr">
        <is>
          <t>Health profession training grants; no evidence of employer engagement in curricula at pooled level (Klerman et al. 2023).</t>
        </is>
      </c>
      <c r="P132" t="inlineStr">
        <is>
          <t>Job search and placement assistance described (Klerman et al. 2023).</t>
        </is>
      </c>
      <c r="Q132" t="inlineStr">
        <is>
          <t>No evidence of employer role in curriculum design at pooled level (Klerman et al. 2023).</t>
        </is>
      </c>
      <c r="R132" t="inlineStr">
        <is>
          <t>No employer hiring commitments described at pooled level (Klerman et al. 2023).</t>
        </is>
      </c>
      <c r="S132" t="inlineStr">
        <is>
          <t>public: HPOG 2.0 was funded by DHHS/ACF grants.</t>
        </is>
      </c>
      <c r="T132" t="inlineStr">
        <is>
          <t>mixed: HPOG 2.0 grants went to a mix of institutions: some community colleges and workforce boards (public) and some nonprofit organizations (private). The 27 non-Tribal grantees included both types.</t>
        </is>
      </c>
      <c r="U132" t="inlineStr">
        <is>
          <t>HPOG 2.0: impact on months of training was 1.5 months (treatment vs. control). Total months in training for treatment group not clearly reported as a single average. Klerman et al. 2023.</t>
        </is>
      </c>
      <c r="BK132" t="inlineStr">
        <is>
          <t>Exhibit 2-1: Healthcare training impact≈18pp (T≈77%, C≈59%). HPOG is training program so program_uptake = healthcare training enrollment. Klerman et al 2023.</t>
        </is>
      </c>
      <c r="BL132" t="inlineStr">
        <is>
          <t>Exhibit 2-1: Started any training: T=81.4%, C=66.9%, Impact=+14.5**. Klerman et al 2023.</t>
        </is>
      </c>
    </row>
    <row r="133">
      <c r="A133" t="inlineStr">
        <is>
          <t>Health Profession Opportunity Grants 1.0 (HPOG 1.0)</t>
        </is>
      </c>
      <c r="B133" t="inlineStr">
        <is>
          <t>23 grantees pooled</t>
        </is>
      </c>
      <c r="C133" t="inlineStr">
        <is>
          <t>NDNH (National Directory of New Hires) wage records</t>
        </is>
      </c>
      <c r="D133" t="inlineStr">
        <is>
          <t>HPOG 1.0 is explicitly a healthcare occupational training program operating through a career pathways framework. Training is the primary and defining component.</t>
        </is>
      </c>
      <c r="E133" t="inlineStr">
        <is>
          <t>RCT. Eligible applicants at 23 grantee sites randomly assigned to treatment (access to HPOG) or control (no access, but could seek other training). Random assignment began ~30 months after program start (March 2013).</t>
        </is>
      </c>
      <c r="F133" t="inlineStr">
        <is>
          <t>Exhibit 1 (p.3): N=6,872 treatment, N=5,044 control. Demographics from same exhibit. 23 grantees across multiple states. pct_no_hs_diploma left blank: Peck et al. 2022 Exhibit 1, p. 3, reports only combined "High school or less = 45%"; less-than-HS not separately reported.</t>
        </is>
      </c>
      <c r="G133" t="inlineStr">
        <is>
          <t>Exhibit 5 (p.8): Q23-24 earnings -$145 (ns), control $6,011. Exhibit 4 (p.7): healthcare employment +4.9pp**, control 32.0%. Text p.8: Q12-13 earnings ~$42 (ns, from Peck et al. 2018).</t>
        </is>
      </c>
      <c r="H133" t="inlineStr">
        <is>
          <t>ITT impact pooled across 23 grantee sites</t>
        </is>
      </c>
      <c r="I133" t="inlineStr">
        <is>
          <t>Q5 ≈ 1.25yr (ST). Q12-13 ≈ 3yr (MT). Q23-24 ≈ 6yr (LT).</t>
        </is>
      </c>
      <c r="J133" t="inlineStr">
        <is>
          <t>SE not separately reported in this summary; would need technical supplement. Significance noted by stars on exhibits.</t>
        </is>
      </c>
      <c r="K133" t="inlineStr">
        <is>
          <t>Not reported in this report.</t>
        </is>
      </c>
      <c r="L133" t="inlineStr">
        <is>
          <t>Control group had access to similar courses with less support, making impacts conservative. 5 of 23 grantees overlap with PACE sites. Earnings SEs not available in this summary report. ST earnings impact ($30) read from graph, approximate. The lt_emp_impact is healthcare-specific employment (not overall employment, which showed no impact).</t>
        </is>
      </c>
      <c r="M133" t="inlineStr">
        <is>
          <t>Peck et al. 2021 dataset (HPOG 1.0): coded as 0</t>
        </is>
      </c>
      <c r="N133" t="inlineStr">
        <is>
          <t>Peck et al. 2021 dataset (HPOG 1.0): coded as 0</t>
        </is>
      </c>
      <c r="O133" t="inlineStr">
        <is>
          <t>Peck et al. 2021 dataset (HPOG 1.0): coded as 0</t>
        </is>
      </c>
      <c r="P133" t="inlineStr">
        <is>
          <t>Peck et al. 2021 dataset (HPOG 1.0): coded as 1</t>
        </is>
      </c>
      <c r="Q133" t="inlineStr">
        <is>
          <t>Peck et al. 2021 dataset (HPOG 1.0): coded as 0</t>
        </is>
      </c>
      <c r="R133" t="inlineStr">
        <is>
          <t>Peck et al. 2021 dataset (HPOG 1.0): coded as 0</t>
        </is>
      </c>
      <c r="S133" t="inlineStr">
        <is>
          <t>public: HPOG 1.0 was funded by DHHS/ACF grants.</t>
        </is>
      </c>
      <c r="T133" t="inlineStr">
        <is>
          <t>mixed: Similar to HPOG 2.0, grantees included both public institutions and nonprofits.</t>
        </is>
      </c>
      <c r="U133" t="inlineStr">
        <is>
          <t>HPOG 1.0: avg training ~7.5 months. Peck et al. 2022.</t>
        </is>
      </c>
      <c r="BK133" t="inlineStr">
        <is>
          <t>Not cleanly reported. HPOG 1.0 paper reports credential completion but not enrollment impact with T and C rates separately for program-specific training.</t>
        </is>
      </c>
      <c r="BL133" t="inlineStr">
        <is>
          <t>Exhibit 3: Earned any credential (6-year): T=77.7%, C=70.2%, Impact=7.6***. 3-year training completion: T≈75%, C≈63%, Impact≈12pp. Peck, Litowk, and Walton 2022.</t>
        </is>
      </c>
    </row>
    <row r="134">
      <c r="A134" t="inlineStr">
        <is>
          <t>Employment Retention and Advancement (ERA)</t>
        </is>
      </c>
      <c r="B134" t="inlineStr">
        <is>
          <t>Minnesota Tier 2, Hennepin County</t>
        </is>
      </c>
      <c r="C134" t="inlineStr">
        <is>
          <t>Minnesota UI wage records</t>
        </is>
      </c>
      <c r="D134" t="inlineStr">
        <is>
          <t>Training role = 'incidental'. Tier 2 was an enhanced case management program that provided Employment Success Coaches, financial incentives, and community connections. Tier 2 did NOT increase education/training participation vs. Tier 1 control (~40% in both groups). The experimental contrast is about case management intensity and supported employment, not training.</t>
        </is>
      </c>
      <c r="E134" t="inlineStr">
        <is>
          <t>RCT within MFIP (Minnesota Family Investment Program). Random assignment of MFIP participants in Hennepin County to Tier 1 (standard MFIP services) or Tier 2 (enhanced services). Active-control design: Tier 1 is a real welfare-to-work program.</t>
        </is>
      </c>
      <c r="F134" t="inlineStr">
        <is>
          <t>Table 1: N=845 Tier 2, N=847 Tier 1 control. Text p.7: random assignment Jan 2002 – Apr 2003. Table 2: demographics. Long-term TANF recipients with barriers.</t>
        </is>
      </c>
      <c r="G134" t="inlineStr">
        <is>
          <t>Table 4: Q7 earnings $1,291 Tier 2 vs $1,394 Tier 1 (diff -$103, ns). Q7 employment 23.3% vs 23.6% (-0.3pp, ns). Year 1 earnings $3,764 vs $3,893 (-$129, ns). Year 1 employment 34.3% vs 34.2% (+0.1pp, ns).</t>
        </is>
      </c>
      <c r="H134" t="inlineStr">
        <is>
          <t>ITT impact from regression-adjusted differences. Standard ERA methodology.</t>
        </is>
      </c>
      <c r="I134" t="inlineStr">
        <is>
          <t>No LT data (follow-up ends at Q7 for full sample; early cohort extends to Q10 but not used as primary). RA period Jan 2002 – Apr 2003.</t>
        </is>
      </c>
      <c r="J134" t="inlineStr">
        <is>
          <t>SEs not separately reported. P-values reported for all impacts. No impacts statistically significant except Year 1 ever-employed (+3.7pp, p=0.092, one star at 10% level). SE not back-computed because most impacts are null.</t>
        </is>
      </c>
      <c r="K134" t="inlineStr">
        <is>
          <t>Text p.17: Tier 2 providers received $4,000 per program slot under contract with TEA (Transitional Employment Administration). This is the contracted cost per slot, not a comprehensive cost-per-participant figure.</t>
        </is>
      </c>
      <c r="L134" t="inlineStr">
        <is>
          <t>Active-control design: Tier 1 is a real MFIP welfare-to-work program with job search, education/training, and case management. Tier 2 adds enhanced services on top. Training role 'incidental': the experimental contrast is about case management intensity and supported employment, NOT training. Both groups had ~40% education/training participation. Very disadvantaged population: long-term TANF recipients with mental health, substance abuse, and domestic violence barriers. Tier 2 increased TANF receipt at Q7 (+4.3pp*, p=0.067) and food stamp receipt (+5.6pp***, p=0.005), suggesting the program may have kept people on assistance longer. Cost figure is per-slot contract cost, not total program cost.</t>
        </is>
      </c>
      <c r="M134" t="inlineStr">
        <is>
          <t>ERA Minnesota Tier 2: public welfare case management (admin=public). Enhanced case management with supported employment. No CBO lead, no employer engagement in curriculum.</t>
        </is>
      </c>
      <c r="N134" t="inlineStr">
        <is>
          <t>ERA Minnesota Tier 2: public welfare case management (admin=public). Enhanced case management with supported employment. No CBO lead, no employer engagement in curriculum.</t>
        </is>
      </c>
      <c r="O134" t="inlineStr">
        <is>
          <t>ERA Minnesota Tier 2: public welfare case management (admin=public). Enhanced case management with supported employment. No CBO lead, no employer engagement in curriculum.</t>
        </is>
      </c>
      <c r="P134" t="inlineStr">
        <is>
          <t>ERA Minnesota Tier 2: public welfare case management (admin=public). Enhanced case management with supported employment. No CBO lead, no employer engagement in curriculum.</t>
        </is>
      </c>
      <c r="Q134" t="inlineStr">
        <is>
          <t>ERA Minnesota Tier 2: public welfare case management (admin=public). Enhanced case management with supported employment. No CBO lead, no employer engagement in curriculum.</t>
        </is>
      </c>
      <c r="R134" t="inlineStr">
        <is>
          <t>ERA Minnesota Tier 2: public welfare case management (admin=public). Enhanced case management with supported employment. No CBO lead, no employer engagement in curriculum.</t>
        </is>
      </c>
      <c r="S134" t="inlineStr">
        <is>
          <t>public: ERA demonstration funded by DHHS/TANF.</t>
        </is>
      </c>
      <c r="T134" t="inlineStr">
        <is>
          <t>public: Administered by Hennepin County Human Services Department.</t>
        </is>
      </c>
      <c r="U134" t="inlineStr">
        <is>
          <t>ERA Minnesota Tier 2: employment retention case management. Duration ambiguous. LeBlanc et al. 2007.</t>
        </is>
      </c>
      <c r="BK134" t="inlineStr">
        <is>
          <t>Table 9: Subsidized employment: Tier2=9.5%, Tier1=3.7%, Impact=5.8pp***. ERA MN is enhanced case management, not primarily training. LeBlanc et al 2007.</t>
        </is>
      </c>
      <c r="BL134" t="inlineStr">
        <is>
          <t>Table 9: Education/training: Tier2=37.8%, Tier1=42.1%, Impact=-4.3. LeBlanc et al 2007.</t>
        </is>
      </c>
    </row>
    <row r="135">
      <c r="A135" t="inlineStr">
        <is>
          <t>New Jersey UI Reemployment Demonstration</t>
        </is>
      </c>
      <c r="B135" t="inlineStr">
        <is>
          <t>Treatment 2: JSA Plus Training/Relocation</t>
        </is>
      </c>
      <c r="C135" t="inlineStr">
        <is>
          <t>Follow-up telephone interviews (weighted to represent full sample)</t>
        </is>
      </c>
      <c r="D135" t="inlineStr">
        <is>
          <t>Training role = 'secondary'. The Treatment 2 intervention was JSA plus an offer of training or relocation through JTPA. JSA (orientation, assessment, service plan) was the primary component delivered to ALL Treatment 2 members; training was an additional option with very low take-up: only 299/3,810 (7.9%) received training per tracking system, ~15% per JTPA records. Only 7 received relocation assistance. The text explicitly states (p.289) that 'the additional offer of training did not have a positive impact on employment and earnings' and that impacts were generally smaller for Treatment 2 than Treatment 1 (JSA only). However, training IS part of the Treatment 2 package, making it eligible for inclusion. Training component = secondary, JSA = primary.</t>
        </is>
      </c>
      <c r="E135" t="inlineStr">
        <is>
          <t>RCT with 4 arms. UI claimants at 10 NJ local offices randomly assigned to one of 3 treatment groups or control via computer-based sequential allocation within each office (p.210-211). Random assignment July 1986 – June 1987. Table II.3 confirms successful randomization: no significant differences across groups.</t>
        </is>
      </c>
      <c r="F135" t="inlineStr">
        <is>
          <t>Table II.1 (p.209): sample sizes by treatment arm and treatment received. T2=3,810, Control=2,385, Total=11,060. Table II.2 (p.211): interview sample. T2=1,692, Control=1,469, Total=5,360. Table II.3 (p.213): demographics by treatment arm — T2: female 47.7%, black 17.6%, other race 21.4%; mean earnings $18,100; percent expecting recall 36.5%. Table III.1 (p.217): eligibility screens excluded 73.4% of first-payment UI claimants. Table VI.1 (p.282): means and SEs for interview sample. T2 N=1,672, Control N=1,449.</t>
        </is>
      </c>
      <c r="G135" t="inlineStr">
        <is>
          <t>Table VI.1 (p.282): Year 1 unadjusted means — T2 employment 45.3% (SE 0.9), earnings $8,513 (SE 244); Control employment 42.8% (SE 1.0), earnings $8,287 (SE 282). Employment measure is 'mean percent of time employed'. Table VI.4 (p.290): regression-adjusted employment impacts — Q1 +1.9** (SE 0.9), Q2 +2.8* (SE 1.6), Q3 +2.2 (SE 1.6), Q4 +1.7 (SE 1.7). Control group means: Q1 13.4%, Q2 7.0%, Q3 3.9%, Q4 2.7%. Table VI.5 (p.292): regression-adjusted earnings impacts — Q1 +$82 (SE 55), Q2 +$103 (SE 98), Q3 +$83 (SE 103), Q4 +$77 (SE 112). % of control mean: Q1 11.9%, Q2 5.3%, Q3 3.1%, Q4 2.6%. Text p.289: Q5 earnings +$2 (ns), Q6 earnings -$124 (ns), much smaller subsample.</t>
        </is>
      </c>
      <c r="H135" t="inlineStr">
        <is>
          <t>ITT unadjusted difference in Year 1 means between Treatment 2 and Control groups (Table VI.1). Regression-adjusted quarterly impacts also available in Tables VI.4/VI.5 (OLS with covariates for claimant characteristics, office, and time). Interview sample weighted to represent full randomized sample.</t>
        </is>
      </c>
      <c r="I135" t="inlineStr">
        <is>
          <t>Year 1 (Q1-Q4, ~1 year post-UI claim filing) = ST. Quarters measured from date of initial UI claim; RA period July 1986 – June 1987. Q5-Q6 (~1.25-1.5 years) available for subsample but with much smaller N (3,033 total for Q5, 1,301 for Q6 vs ~5,000 for Q1-Q4) and null results; not reported as MT. No LT data beyond Q6.</t>
        </is>
      </c>
      <c r="J135" t="inlineStr">
        <is>
          <t>Year 1 SEs derived from SEs of means reported in Table VI.1. SE(impact) = sqrt(SE_T² + SE_C²) assuming independence of treatment and control (valid by randomization). Employment: sqrt(0.9² + 1.0²) = 1.345 ≈ 1.3. Earnings: sqrt(244² + 282²) = 372.9 ≈ 373. Quarterly regression-adjusted SEs reported directly in Tables VI.4/VI.5.</t>
        </is>
      </c>
      <c r="K135" t="inlineStr">
        <is>
          <t>Part 1 (summary chapter), p.15: gross cost $491/claimant for Treatment 2, net cost $377/claimant (above existing ES services of ~$114). Cost includes JSA + training/relocation services.</t>
        </is>
      </c>
      <c r="L135" t="inlineStr">
        <is>
          <t>1. Employment metric is 'percent of time employed' (continuous 0-100), computed from respondent-reported job beginning/ending dates and wage rates — NOT binary employment. Year 1 control mean 42.8% means control group was employed 42.8% of the time on average. Table VI.1 also reports 'probability of employment' (Year 1: 72.6% control, 73.7% T2) but impact regressions only available for % time employed. 2. Impact estimates from interview subsample (T2=1,672, C=1,449), not full randomized sample (T2=3,810, C=2,385). Interview oversampled service participants; weights applied to represent full sample. 3. Year 1 figures are unadjusted differences from Table VI.1; regression-adjusted quarterly impacts (Tables VI.4/VI.5) give similar but slightly different results — sum of quarterly earnings impacts = $345 vs unadjusted Year 1 difference of $226. 4. Training take-up very low (~8-15%); text states training did not contribute to impacts. 5. Experiment inventory cites Anderson, Corson, and Decker 1990 (follow-up report); this extraction uses Corson et al. 1989 (final evaluation report) which contains the same data. 6. pct_hispanic not separable by treatment arm from Table II.3 ('other race' includes Hispanics, Asians, Native Americans); ~19.5% Hispanic for all eligibles (Table III.2).</t>
        </is>
      </c>
      <c r="M135" t="inlineStr">
        <is>
          <t>NJ UI Reemployment: public reemployment demonstration (admin=public). Job search assistance plus training/relocation option. No CBO, no employer engagement in curriculum.</t>
        </is>
      </c>
      <c r="N135" t="inlineStr">
        <is>
          <t>NJ UI Reemployment: public reemployment demonstration (admin=public). Job search assistance plus training/relocation option. No CBO, no employer engagement in curriculum.</t>
        </is>
      </c>
      <c r="O135" t="inlineStr">
        <is>
          <t>NJ UI Reemployment: public reemployment demonstration (admin=public). Job search assistance plus training/relocation option. No CBO, no employer engagement in curriculum.</t>
        </is>
      </c>
      <c r="P135" t="inlineStr">
        <is>
          <t>NJ UI Reemployment: public reemployment demonstration (admin=public). Job search assistance plus training/relocation option. No CBO, no employer engagement in curriculum.</t>
        </is>
      </c>
      <c r="Q135" t="inlineStr">
        <is>
          <t>NJ UI Reemployment: public reemployment demonstration (admin=public). Job search assistance plus training/relocation option. No CBO, no employer engagement in curriculum.</t>
        </is>
      </c>
      <c r="R135" t="inlineStr">
        <is>
          <t>NJ UI Reemployment: public reemployment demonstration (admin=public). Job search assistance plus training/relocation option. No CBO, no employer engagement in curriculum.</t>
        </is>
      </c>
      <c r="S135" t="inlineStr">
        <is>
          <t>public: New Jersey UI Reemployment Demonstration was funded by DOL as a federal demonstration within the unemployment insurance system.</t>
        </is>
      </c>
      <c r="T135" t="inlineStr">
        <is>
          <t>public: Administered by the New Jersey Department of Labor through the state employment service.</t>
        </is>
      </c>
      <c r="U135" t="inlineStr">
        <is>
          <t>NJ UI Treatment 2: Table VI.2 shows mean expected weeks of training: 18.4 for classroom, 13.9 for OJT. Weighted average ~17.8 weeks (~4.1 months) since 87% of trainees were in classroom training. Note: only 15% of Treatment 2 claimants actually received training; the rest received JSA only. Duration reported is for trainees only. Corson et al. 1989, Table VI.2, p.110.</t>
        </is>
      </c>
      <c r="BK135" t="inlineStr">
        <is>
          <t>Table VI.1 &amp; text (p.107): 15% of assessed T2 members received training; 9.4% of ALL T2 members received training. C=2.3% received JTPA training. JSA was primary component delivered to all. program_uptake_impact=9.4-2.3=7.1pp.</t>
        </is>
      </c>
      <c r="BL135" t="inlineStr">
        <is>
          <t>Corson et al 1989 p.107: 9.4% of T2 received some training vs 2.3% of C from JTPA. any_training is same as program_uptake here since training IS the program add-on. Impact=7.1pp, C_mean=2.3%.</t>
        </is>
      </c>
    </row>
    <row r="136">
      <c r="A136" t="inlineStr">
        <is>
          <t>Texas Worker Adjustment Demonstration</t>
        </is>
      </c>
      <c r="B136" t="inlineStr">
        <is>
          <t>All men, Tier I/II (pooled TEC/HCC + SEE + SER/JOBS)</t>
        </is>
      </c>
      <c r="C136" t="inlineStr">
        <is>
          <t>UI wage records (earnings); survey (employment)</t>
        </is>
      </c>
      <c r="D136" t="inlineStr">
        <is>
          <t>Training is 'primary': the Tier I/II treatment's distinguishing feature vs. Tier I Only is the addition of classroom vocational training and/or OJT (Tier II). Table 1.2 (p.9) describes Tier II as 'classroom training' and 'OJT.' Table 1.4 (p.15) shows the training activity mix by site. While Tier I (JSA) is also a major component, Tier II training is the core addition being tested and the primary cost driver.</t>
        </is>
      </c>
      <c r="E136" t="inlineStr">
        <is>
          <t>has_classroom=1: TEC/HCC 83% classroom, SEE 50% classroom (Table 1.4, p.15). has_ojt=1: SER/JOBS 87% OJT, SEE 50% OJT, TEC/HCC 17% OJT (Table 1.4). has_jsa=1: All participants received Tier I job search assistance (Table 1.2, p.9). has_multiple_components=1: Bundles JSA + classroom + OJT across sites. mandatory_voluntary='mandatory': UI claimants required to participate per state mandate.</t>
        </is>
      </c>
      <c r="F136" t="inlineStr">
        <is>
          <t>Randomization period: Table 1.1, p.7 (contract periods July-Aug 1984 to Feb-Mar 1985). Sample sizes (Tier I/II men): Table 4.1, p.66 (total by site) and Table 4.2, pp.68-69 (by gender within site). TEC/HCC I/II=368 men, SEE=125, SER/JOBS=156; controls shared across arms: TEC/HCC=198, SEE=102, SER/JOBS=151. Demographics: Table 4.2, pp.68-69, weighted across 3 sites. Attrition: Table 6.1, p.108 (UI wage records: 1,779/2,192=81%). Target group: pp.1-3 (displaced workers receiving UI).</t>
        </is>
      </c>
      <c r="G136" t="inlineStr">
        <is>
          <t>ST earnings: Table 7.2, p.134, 'All men' row, 'Total' column = $471 (5%), not significant. This is the annual sum of quarterly ITT regression-adjusted impacts. ST employment: Table 7.3, p.134, 'All men' row, 'Pct employed 3rd &amp; 4th survey quarter' employment changed to 3rd UI quarter (Table 7.3). Impact = -3 (not significant). Control mean = 71 (weighted average from Table 3A2.1 UI data: TEC/HCC=69, HCC=69, SEE=63, SER/JOBS=77, weighted by Table 4.1 control Ns adjusted for Table 3.4 survey response rates).</t>
        </is>
      </c>
      <c r="H136" t="inlineStr">
        <is>
          <t>ITT regression-adjusted impact (OLS with demographic controls, site dummies, and lagged outcome variables). Model described in Table 7.1, p.132.</t>
        </is>
      </c>
      <c r="I136" t="inlineStr">
        <is>
          <t>Follow-up covers 4 quarters (1 year) after random assignment. Annual earnings sum of Q1-Q4; employment measured in 3rd and 4th survey quarters. 1 year → short-term per Card, Kluve, and Weber (2010) classification.</t>
        </is>
      </c>
      <c r="J136" t="inlineStr">
        <is>
          <t>No SEs reported anywhere in the book. Book uses one-tail significance tests (p.133: '* = statistically significant at 0.05 level, one-tail; ** = significant at 0.01 level, one-tail'). Men's annual earnings ($471) and employment (+4 pp) are not significant even at the one-tail 0.05 level → SE cannot be derived from stars. SE = None.</t>
        </is>
      </c>
      <c r="K136" t="inlineStr">
        <is>
          <t>Table 8.2, p.166, Tier I/II costs under Assumption B (Tier II = 2× Tier I cost). TEC/HCC=$3,215, SEE=$1,099, SER/JOBS=$725. Weighted by Tier I/II men's N (368, 125, 156) → $2,209. Gross cost per participant; ~1984-85 dollars. Appendix 8.1 (pp.171-172) describes cost estimation methodology.</t>
        </is>
      </c>
      <c r="L136" t="inlineStr">
        <is>
          <t>1. No SEs anywhere in book — significant limitation for meta-analysis. Non-significant results have no derivable SE. 2. Controls are shared across Tier I Only and Tier I/II arms within TEC/HCC (only site with both arms). This is the standard experimental comparison. 3. Employment outcome source is survey (not UI records); earnings from UI wage records. Employment control mean not directly reported in regression tables. 4. Earnings control mean back-calculated: $471/0.05 = $9,420. 5. TEC/HCC women excluded from all impact analyses because treatment/control groups were not comparable at baseline (p.87). 6. Table 7.5 (p.138) shows Tier I/II did NOT outperform Tier I Only for Houston men, suggesting training component added no incremental value at that site.</t>
        </is>
      </c>
      <c r="M136" t="inlineStr">
        <is>
          <t>Texas Worker Adjustment: mixed admin reemployment program. Job search + classroom vocational training/OJT through various providers. No CBO lead in program design, no employer engagement in curriculum design.</t>
        </is>
      </c>
      <c r="N136" t="inlineStr">
        <is>
          <t>Texas Worker Adjustment: mixed admin reemployment program. Job search + classroom vocational training/OJT through various providers. No CBO lead in program design, no employer engagement in curriculum design.</t>
        </is>
      </c>
      <c r="O136" t="inlineStr">
        <is>
          <t>Texas Worker Adjustment: mixed admin reemployment program. Job search + classroom vocational training/OJT through various providers. No CBO lead in program design, no employer engagement in curriculum design.</t>
        </is>
      </c>
      <c r="P136" t="inlineStr">
        <is>
          <t>Texas Worker Adjustment: mixed admin reemployment program. Job search + classroom vocational training/OJT through various providers. No CBO lead in program design, no employer engagement in curriculum design.</t>
        </is>
      </c>
      <c r="Q136" t="inlineStr">
        <is>
          <t>Texas Worker Adjustment: mixed admin reemployment program. Job search + classroom vocational training/OJT through various providers. No CBO lead in program design, no employer engagement in curriculum design.</t>
        </is>
      </c>
      <c r="R136" t="inlineStr">
        <is>
          <t>Texas Worker Adjustment: mixed admin reemployment program. Job search + classroom vocational training/OJT through various providers. No CBO lead in program design, no employer engagement in curriculum design.</t>
        </is>
      </c>
      <c r="S136" t="inlineStr">
        <is>
          <t>public: Texas Worker Adjustment Demonstration was funded by DOL.</t>
        </is>
      </c>
      <c r="T136" t="inlineStr">
        <is>
          <t>mixed: Services were delivered by a mix of the Texas Employment Commission (public) and private organizations (SER-Jobs for Progress, Houston Community College).</t>
        </is>
      </c>
      <c r="U136" t="inlineStr">
        <is>
          <t>Texas WAD, all men Tier I/II: mean weeks enrolled ~14 across sites (TEC/HCC=17, SEE=13, SER/JOBS=10-11). ~3.5 months. Bloom 1990, Table 5.9.</t>
        </is>
      </c>
      <c r="BK136" t="inlineStr">
        <is>
          <t>Table 5.1 (p.90): Participation rates for men: TEC/HCC I/II=65%, SEE I/II=65%, SER/JOBS I/II=88%. Approximate pooled≈72%. C received no demo services, C=0%.</t>
        </is>
      </c>
      <c r="BL136" t="inlineStr">
        <is>
          <t>Not reported for C group. Table 5.5 shows service mix for participants only (% getting classroom training vs OJT). No survey data on C group training receipt from other sources.</t>
        </is>
      </c>
    </row>
    <row r="137">
      <c r="A137" t="inlineStr">
        <is>
          <t>Texas Worker Adjustment Demonstration</t>
        </is>
      </c>
      <c r="B137" t="inlineStr">
        <is>
          <t>El Paso women, Tier I/II (pooled SEE + SER/JOBS)</t>
        </is>
      </c>
      <c r="C137" t="inlineStr">
        <is>
          <t>UI wage records (earnings); survey (employment)</t>
        </is>
      </c>
      <c r="D137" t="inlineStr">
        <is>
          <t>Same as men's row: training is 'primary.' Tier II classroom/OJT is the core addition being tested. El Paso sites: SEE offered 50% classroom/50% OJT; SER/JOBS offered 13% classroom/87% OJT (Table 1.4, p.15).</t>
        </is>
      </c>
      <c r="E137" t="inlineStr">
        <is>
          <t>Same flags as men's row. Both El Paso sites offered classroom + OJT + JSA. See Table 1.2 (p.9) and Table 1.4 (p.15).</t>
        </is>
      </c>
      <c r="F137" t="inlineStr">
        <is>
          <t>Sample sizes: Table 4.1, p.66 and Table 4.2, pp.68-69. SEE I/II women=169, SER/JOBS I/II women=180; controls SEE=134, SER/JOBS=149. Demographics: Table 4.2, pp.68-69, weighted across 2 El Paso sites. Attrition: Table 6.1, p.108 (UI wage: 81% overall). Randomization: Table 1.1, p.7.</t>
        </is>
      </c>
      <c r="G137" t="inlineStr">
        <is>
          <t>ST earnings: Table 7.2, p.134, 'El Paso women' row, 'Total' column = $987 (28%), **. Quarterly breakdown: Q1=$413**, Q2=$371**, Q3=$248**, Q4=-$45 (ns). ST employment: Table 7.3, p.134, 'El Paso women' row, 'Pct employed 3rd &amp; 4th survey quarter' employment changed to 3rd UI quarter (Table 7.3). Impact = 10** (p&lt;0.01 one-tail). SE = 4.3 (derived from ** via z=2.326). Control mean = 69 (Table 3A2.1: SER/JOBS control women, 3rd quarter UI).</t>
        </is>
      </c>
      <c r="H137" t="inlineStr">
        <is>
          <t>ITT regression-adjusted impact (OLS with demographic controls, site dummies, and lagged outcome variables). Model described in Table 7.1, p.132.</t>
        </is>
      </c>
      <c r="I137" t="inlineStr">
        <is>
          <t>1 year follow-up → short-term. Same as men's row.</t>
        </is>
      </c>
      <c r="J137" t="inlineStr">
        <is>
          <t>No SEs in book. Book ** = one-tail p&lt;0.01 -&gt; two-tail p~0.02. Earnings SE = |987| / norm_ppf(0.99) = 987 / 2.326 = 424.1. Employment SE = |9| / norm_ppf(0.99) = 9 / 2.326 = 3.9. Two-tail p=0.02 is conservative: actual one-tail p may be well below 0.01.</t>
        </is>
      </c>
      <c r="K137" t="inlineStr">
        <is>
          <t>Table 8.2, p.166, Tier I/II costs under Assumption B. SEE=$1,099, SER/JOBS=$725. Weighted by women's N (169, 180) → $906. Gross cost per participant; ~1984-85 dollars.</t>
        </is>
      </c>
      <c r="L137" t="inlineStr">
        <is>
          <t>1. Same SE limitation as men: no SEs in book. For women, impacts are significant (book **), so SEs are derivable but imprecise — the actual one-tail p could be much below 0.01, making our SE an upper bound. 2. Employment control mean not directly reported in Table 7.3. 3. Q4 earnings impact is negative (-$45, ns), suggesting impact faded within the 1-year window. Text (p.164) notes impacts 'diminished gradually.' 4. Predominantly Hispanic sample (94%) limits generalizability. 5. SER/JOBS site-specific earnings impact = $1,086* (one-tail) from Table 7A1.6 (p.152); SEE site-specific not separately significant.</t>
        </is>
      </c>
      <c r="M137" t="inlineStr">
        <is>
          <t>Texas Worker Adjustment: mixed admin reemployment program. Job search + classroom vocational training/OJT through various providers. No CBO lead in program design, no employer engagement in curriculum design.</t>
        </is>
      </c>
      <c r="N137" t="inlineStr">
        <is>
          <t>Texas Worker Adjustment: mixed admin reemployment program. Job search + classroom vocational training/OJT through various providers. No CBO lead in program design, no employer engagement in curriculum design.</t>
        </is>
      </c>
      <c r="O137" t="inlineStr">
        <is>
          <t>Texas Worker Adjustment: mixed admin reemployment program. Job search + classroom vocational training/OJT through various providers. No CBO lead in program design, no employer engagement in curriculum design.</t>
        </is>
      </c>
      <c r="P137" t="inlineStr">
        <is>
          <t>Texas Worker Adjustment: mixed admin reemployment program. Job search + classroom vocational training/OJT through various providers. No CBO lead in program design, no employer engagement in curriculum design.</t>
        </is>
      </c>
      <c r="Q137" t="inlineStr">
        <is>
          <t>Texas Worker Adjustment: mixed admin reemployment program. Job search + classroom vocational training/OJT through various providers. No CBO lead in program design, no employer engagement in curriculum design.</t>
        </is>
      </c>
      <c r="R137" t="inlineStr">
        <is>
          <t>Texas Worker Adjustment: mixed admin reemployment program. Job search + classroom vocational training/OJT through various providers. No CBO lead in program design, no employer engagement in curriculum design.</t>
        </is>
      </c>
      <c r="S137" t="inlineStr">
        <is>
          <t>public: Texas Worker Adjustment Demonstration was funded by DOL.</t>
        </is>
      </c>
      <c r="T137" t="inlineStr">
        <is>
          <t>mixed: Services were delivered by a mix of the Texas Employment Commission (public) and private organizations (SER-Jobs for Progress, Houston Community College).</t>
        </is>
      </c>
      <c r="U137" t="inlineStr">
        <is>
          <t>Texas WAD, El Paso women Tier I/II (SEE + SER/JOBS): mean weeks enrolled ~14 (SEE=13-19, SER/JOBS=10-14). ~3.5 months. Bloom 1990, Table 5.9.</t>
        </is>
      </c>
      <c r="BK137" t="inlineStr">
        <is>
          <t>Table 5.1 (p.90): Participation rates for women: SEE I/II=76%, SER/JOBS I/II=87%. Approximate pooled≈82%. C received no demo services, C=0%.</t>
        </is>
      </c>
      <c r="BL137" t="inlineStr">
        <is>
          <t>Not reported for C group. No survey data on education/training receipt from other sources for control group members.</t>
        </is>
      </c>
    </row>
    <row r="138">
      <c r="A138" t="inlineStr">
        <is>
          <t>Alternative Youth Employment Strategies (AYES)</t>
        </is>
      </c>
      <c r="B138" t="inlineStr">
        <is>
          <t>Albuquerque (OCETA)</t>
        </is>
      </c>
      <c r="C138" t="inlineStr">
        <is>
          <t>self-report (survey)</t>
        </is>
      </c>
      <c r="D138" t="inlineStr">
        <is>
          <t>Secondary. The pooled experimental group includes three models: Model I (work experience only, ~1/3 of sample), Model II (education/vocational training, ~1/3), and Model III (mixed work+training, ~1/3). Formal classroom training is the primary component of Models II and III (~2/3 of experimentals), but only counseling (Adkins Life Skills, VITAS) was provided in Model I. Since the RCT comparison pools all three models vs. control, training is not the sole or primary component for the full treated group.</t>
        </is>
      </c>
      <c r="E138" t="inlineStr">
        <is>
          <t>has_classroom=1: Model II provides GED prep, ESL, vocational courses (woodworking, welding, word processing). has_ojt=1: Model I provides structured work experience (renovation, painting, landscaping) with supervision. has_jsa=1: All models include job placement assistance, Adkins Life Skills Training (job search skills), VITAS vocational counseling. has_multiple_components=1: Program bundles work experience, training, counseling, and placement. See Ch. II, pp. 7-10.</t>
        </is>
      </c>
      <c r="F138" t="inlineStr">
        <is>
          <t>randomization_period: Intake began July-Aug 1980, exact end not stated; project period July 1980-Sept 1982 (p.ii, report doc page). n_treatment/n_control: Table 3, p.33 (research sample Ns by site and treatment). demographics: Table 3, p.33 (age, gender, education, race by site, total column). attrition: Table 2, p.28 (8-month follow-up completion rates by site and treatment). selectivity: Ch. II pp.17-19; at least 50% CJ referrals required (p.2 Special Summary).</t>
        </is>
      </c>
      <c r="G138" t="inlineStr">
        <is>
          <t>ST employment: Table 33, p.90 — 'Percent of Sample Who Worked Since Exit' by site. Chi-square tests reported for each site. ST earnings: Table 34, p.92 — 'Mean Weekly Earnings' by site (includes $0 for non-workers). Pooled treatment F-test: F(1,1372)=15.42, p=.0001 from footnote p.91.</t>
        </is>
      </c>
      <c r="H138" t="inlineStr">
        <is>
          <t>ITT; simple difference in proportions (employment) and means (earnings) between experimental and control groups</t>
        </is>
      </c>
      <c r="I138" t="inlineStr">
        <is>
          <t>Short-term. Follow-up covers 8 months after program exit. Exit occurs ~6 months after intake. Total post-randomization window ~14 months. Post-program observation period = 8 months ≈ 0.67 years. CKW short-term classification (~0-1 year).</t>
        </is>
      </c>
      <c r="J138" t="inlineStr">
        <is>
          <t>Employment SE: Computed from proportions: SE = sqrt(pE*(1-pE)/nE + pC*(1-pC)/nC). Verified against reported chi-square values (e.g., Alb chi²=3.469 vs computed z²=3.51). Earnings SE: Not available. Report provides only pooled ANOVA F-tests, not site-specific SEs or SDs.</t>
        </is>
      </c>
      <c r="K138" t="inlineStr">
        <is>
          <t>Not extracted. Total project budget was $6 million (p.ii) but per-treated cost not reported.</t>
        </is>
      </c>
      <c r="L138" t="inlineStr">
        <is>
          <t>1. Assignment to program models was NOT randomized — first 225 experimentals per site assigned by 'guided choice,' remainder randomly assigned. Model comparisons are therefore not causal. 2. Employment is binary (ever worked during follow-up), not a rate at a point in time. 3. Mean weekly earnings include $0 for non-workers, so they reflect both extensive and intensive margins. 4. Follow-up rates differ between E and C (69% vs 58% at 8 months), raising potential attrition bias concerns. 5. The 8-month follow-up interval varied in practice (some &gt; 1 year elapsed). 6. Site-specific earnings SEs could not be computed from reported data.</t>
        </is>
      </c>
      <c r="M138" t="inlineStr">
        <is>
          <t>AYES: mixed admin youth employment program. Work experience, basic education, vocational training. Not clearly CBO-led. No employer engagement in curriculum documented in Sadd et al. 1983.</t>
        </is>
      </c>
      <c r="N138" t="inlineStr">
        <is>
          <t>AYES: mixed admin youth employment program. Work experience, basic education, vocational training. Not clearly CBO-led. No employer engagement in curriculum documented in Sadd et al. 1983.</t>
        </is>
      </c>
      <c r="O138" t="inlineStr">
        <is>
          <t>AYES: mixed admin youth employment program. Work experience, basic education, vocational training. Not clearly CBO-led. No employer engagement in curriculum documented in Sadd et al. 1983.</t>
        </is>
      </c>
      <c r="P138" t="inlineStr">
        <is>
          <t>AYES: mixed admin youth employment program. Work experience, basic education, vocational training. Not clearly CBO-led. No employer engagement in curriculum documented in Sadd et al. 1983.</t>
        </is>
      </c>
      <c r="Q138" t="inlineStr">
        <is>
          <t>AYES: mixed admin youth employment program. Work experience, basic education, vocational training. Not clearly CBO-led. No employer engagement in curriculum documented in Sadd et al. 1983.</t>
        </is>
      </c>
      <c r="R138" t="inlineStr">
        <is>
          <t>AYES: mixed admin youth employment program. Work experience, basic education, vocational training. Not clearly CBO-led. No employer engagement in curriculum documented in Sadd et al. 1983.</t>
        </is>
      </c>
      <c r="S138" t="inlineStr">
        <is>
          <t>public: Alternative Youth Employment Strategies was funded by DOL.</t>
        </is>
      </c>
      <c r="T138" t="inlineStr">
        <is>
          <t>mixed: AYES sites were operated by a mix of public and private organizations: OCETA in Albuquerque (public workforce agency), SFETC in Miami (public), and CEP in New York City (nonprofit).</t>
        </is>
      </c>
      <c r="U138" t="inlineStr">
        <is>
          <t>AYES Albuquerque: maximum 6 months (26 weeks). Sadd et al. 1983.</t>
        </is>
      </c>
      <c r="BK138" t="inlineStr">
        <is>
          <t>Not clearly reported. Sadd et al 1983 has poor OCR quality. Program enrolled 295 experimentals in Albuquerque across 3 models. Exact show-up/participation rate not extractable from available text.</t>
        </is>
      </c>
      <c r="BL138" t="inlineStr">
        <is>
          <t>Not reported. No comparable training receipt data for T and C groups in Albuquerque extractable from paper.</t>
        </is>
      </c>
    </row>
    <row r="139">
      <c r="A139" t="inlineStr">
        <is>
          <t>Alternative Youth Employment Strategies (AYES)</t>
        </is>
      </c>
      <c r="B139" t="inlineStr">
        <is>
          <t>Miami (SFETC)</t>
        </is>
      </c>
      <c r="C139" t="inlineStr">
        <is>
          <t>self-report (survey)</t>
        </is>
      </c>
      <c r="D139" t="inlineStr">
        <is>
          <t>Secondary. The pooled experimental group includes three models: Model I (work experience only, ~1/3 of sample), Model II (education/vocational training, ~1/3), and Model III (mixed work+training, ~1/3). Formal classroom training is the primary component of Models II and III (~2/3 of experimentals), but only counseling (Adkins Life Skills, VITAS) was provided in Model I. Since the RCT comparison pools all three models vs. control, training is not the sole or primary component for the full treated group.</t>
        </is>
      </c>
      <c r="E139" t="inlineStr">
        <is>
          <t>has_classroom=1: Model II provides GED prep, ESL, vocational courses (woodworking, welding, word processing). has_ojt=1: Model I provides structured work experience (renovation, painting, landscaping) with supervision. has_jsa=1: All models include job placement assistance, Adkins Life Skills Training (job search skills), VITAS vocational counseling. has_multiple_components=1: Program bundles work experience, training, counseling, and placement. See Ch. II, pp. 7-10.</t>
        </is>
      </c>
      <c r="F139" t="inlineStr">
        <is>
          <t>randomization_period: Intake began July-Aug 1980, exact end not stated; project period July 1980-Sept 1982 (p.ii, report doc page). n_treatment/n_control: Table 3, p.33 (research sample Ns by site and treatment). demographics: Table 3, p.33 (age, gender, education, race by site, total column). attrition: Table 2, p.28 (8-month follow-up completion rates by site and treatment). selectivity: Ch. II pp.17-19; at least 50% CJ referrals required (p.2 Special Summary).</t>
        </is>
      </c>
      <c r="G139" t="inlineStr">
        <is>
          <t>ST employment: Table 33, p.90 — 'Percent of Sample Who Worked Since Exit' by site. Chi-square tests reported for each site. ST earnings: Table 34, p.92 — 'Mean Weekly Earnings' by site (includes $0 for non-workers). Pooled treatment F-test: F(1,1372)=15.42, p=.0001 from footnote p.91.</t>
        </is>
      </c>
      <c r="H139" t="inlineStr">
        <is>
          <t>ITT; simple difference in proportions (employment) and means (earnings) between experimental and control groups</t>
        </is>
      </c>
      <c r="I139" t="inlineStr">
        <is>
          <t>Short-term. Follow-up covers 8 months after program exit. Exit occurs ~6 months after intake. Total post-randomization window ~14 months. Post-program observation period = 8 months ≈ 0.67 years. CKW short-term classification (~0-1 year).</t>
        </is>
      </c>
      <c r="J139" t="inlineStr">
        <is>
          <t>Employment SE: Computed from proportions: SE = sqrt(pE*(1-pE)/nE + pC*(1-pC)/nC). Verified against reported chi-square values (e.g., Alb chi²=3.469 vs computed z²=3.51). Earnings SE: Not available. Report provides only pooled ANOVA F-tests, not site-specific SEs or SDs.</t>
        </is>
      </c>
      <c r="K139" t="inlineStr">
        <is>
          <t>Not extracted. Total project budget was $6 million (p.ii) but per-treated cost not reported.</t>
        </is>
      </c>
      <c r="L139" t="inlineStr">
        <is>
          <t>1. Assignment to program models was NOT randomized — first 225 experimentals per site assigned by 'guided choice,' remainder randomly assigned. Model comparisons are therefore not causal. 2. Employment is binary (ever worked during follow-up), not a rate at a point in time. 3. Mean weekly earnings include $0 for non-workers, so they reflect both extensive and intensive margins. 4. Follow-up rates differ between E and C (69% vs 58% at 8 months), raising potential attrition bias concerns. 5. The 8-month follow-up interval varied in practice (some &gt; 1 year elapsed). 6. Site-specific earnings SEs could not be computed from reported data.</t>
        </is>
      </c>
      <c r="M139" t="inlineStr">
        <is>
          <t>AYES: mixed admin youth employment program. Work experience, basic education, vocational training. Not clearly CBO-led. No employer engagement in curriculum documented in Sadd et al. 1983.</t>
        </is>
      </c>
      <c r="N139" t="inlineStr">
        <is>
          <t>AYES: mixed admin youth employment program. Work experience, basic education, vocational training. Not clearly CBO-led. No employer engagement in curriculum documented in Sadd et al. 1983.</t>
        </is>
      </c>
      <c r="O139" t="inlineStr">
        <is>
          <t>AYES: mixed admin youth employment program. Work experience, basic education, vocational training. Not clearly CBO-led. No employer engagement in curriculum documented in Sadd et al. 1983.</t>
        </is>
      </c>
      <c r="P139" t="inlineStr">
        <is>
          <t>AYES: mixed admin youth employment program. Work experience, basic education, vocational training. Not clearly CBO-led. No employer engagement in curriculum documented in Sadd et al. 1983.</t>
        </is>
      </c>
      <c r="Q139" t="inlineStr">
        <is>
          <t>AYES: mixed admin youth employment program. Work experience, basic education, vocational training. Not clearly CBO-led. No employer engagement in curriculum documented in Sadd et al. 1983.</t>
        </is>
      </c>
      <c r="R139" t="inlineStr">
        <is>
          <t>AYES: mixed admin youth employment program. Work experience, basic education, vocational training. Not clearly CBO-led. No employer engagement in curriculum documented in Sadd et al. 1983.</t>
        </is>
      </c>
      <c r="S139" t="inlineStr">
        <is>
          <t>public: Alternative Youth Employment Strategies was funded by DOL.</t>
        </is>
      </c>
      <c r="T139" t="inlineStr">
        <is>
          <t>mixed: AYES sites were operated by a mix of public and private organizations: OCETA in Albuquerque (public workforce agency), SFETC in Miami (public), and CEP in New York City (nonprofit).</t>
        </is>
      </c>
      <c r="U139" t="inlineStr">
        <is>
          <t>AYES Miami: maximum 6 months (26 weeks). Sadd et al. 1983.</t>
        </is>
      </c>
      <c r="BK139" t="inlineStr">
        <is>
          <t>Not clearly reported. Sadd et al 1983 has poor OCR quality. Program enrolled 376 experimentals in Miami across 3 models. Exact show-up/participation rate not extractable from available text.</t>
        </is>
      </c>
      <c r="BL139" t="inlineStr">
        <is>
          <t>Not reported. No comparable training receipt data for T and C groups in Miami extractable from paper.</t>
        </is>
      </c>
    </row>
    <row r="140">
      <c r="A140" t="inlineStr">
        <is>
          <t>Alternative Youth Employment Strategies (AYES)</t>
        </is>
      </c>
      <c r="B140" t="inlineStr">
        <is>
          <t>New York City (CEP)</t>
        </is>
      </c>
      <c r="C140" t="inlineStr">
        <is>
          <t>self-report (survey)</t>
        </is>
      </c>
      <c r="D140" t="inlineStr">
        <is>
          <t>Secondary. The pooled experimental group includes three models: Model I (work experience only, ~1/3 of sample), Model II (education/vocational training, ~1/3), and Model III (mixed work+training, ~1/3). Formal classroom training is the primary component of Models II and III (~2/3 of experimentals), but only counseling (Adkins Life Skills, VITAS) was provided in Model I. Since the RCT comparison pools all three models vs. control, training is not the sole or primary component for the full treated group.</t>
        </is>
      </c>
      <c r="E140" t="inlineStr">
        <is>
          <t>has_classroom=1: Model II provides GED prep, ESL, vocational courses (woodworking, welding, word processing). has_ojt=1: Model I provides structured work experience (renovation, painting, landscaping) with supervision. has_jsa=1: All models include job placement assistance, Adkins Life Skills Training (job search skills), VITAS vocational counseling. has_multiple_components=1: Program bundles work experience, training, counseling, and placement. See Ch. II, pp. 7-10.</t>
        </is>
      </c>
      <c r="F140" t="inlineStr">
        <is>
          <t>randomization_period: Intake began July-Aug 1980, exact end not stated; project period July 1980-Sept 1982 (p.ii, report doc page). n_treatment/n_control: Table 3, p.33 (research sample Ns by site and treatment). demographics: Table 3, p.33 (age, gender, education, race by site, total column). attrition: Table 2, p.28 (8-month follow-up completion rates by site and treatment). selectivity: Ch. II pp.17-19; at least 50% CJ referrals required (p.2 Special Summary).</t>
        </is>
      </c>
      <c r="G140" t="inlineStr">
        <is>
          <t>ST employment: Table 33, p.90 — 'Percent of Sample Who Worked Since Exit' by site. Chi-square tests reported for each site. ST earnings: Table 34, p.92 — 'Mean Weekly Earnings' by site (includes $0 for non-workers). Pooled treatment F-test: F(1,1372)=15.42, p=.0001 from footnote p.91.</t>
        </is>
      </c>
      <c r="H140" t="inlineStr">
        <is>
          <t>ITT; simple difference in proportions (employment) and means (earnings) between experimental and control groups</t>
        </is>
      </c>
      <c r="I140" t="inlineStr">
        <is>
          <t>Short-term. Follow-up covers 8 months after program exit. Exit occurs ~6 months after intake. Total post-randomization window ~14 months. Post-program observation period = 8 months ≈ 0.67 years. CKW short-term classification (~0-1 year).</t>
        </is>
      </c>
      <c r="J140" t="inlineStr">
        <is>
          <t>Employment SE: Computed from proportions: SE = sqrt(pE*(1-pE)/nE + pC*(1-pC)/nC). Verified against reported chi-square values (e.g., Alb chi²=3.469 vs computed z²=3.51). Earnings SE: Not available. Report provides only pooled ANOVA F-tests, not site-specific SEs or SDs.</t>
        </is>
      </c>
      <c r="K140" t="inlineStr">
        <is>
          <t>Not extracted. Total project budget was $6 million (p.ii) but per-treated cost not reported.</t>
        </is>
      </c>
      <c r="L140" t="inlineStr">
        <is>
          <t>1. Assignment to program models was NOT randomized — first 225 experimentals per site assigned by 'guided choice,' remainder randomly assigned. Model comparisons are therefore not causal. 2. Employment is binary (ever worked during follow-up), not a rate at a point in time. 3. Mean weekly earnings include $0 for non-workers, so they reflect both extensive and intensive margins. 4. Follow-up rates differ between E and C (69% vs 58% at 8 months), raising potential attrition bias concerns. 5. The 8-month follow-up interval varied in practice (some &gt; 1 year elapsed). 6. Site-specific earnings SEs could not be computed from reported data.</t>
        </is>
      </c>
      <c r="M140" t="inlineStr">
        <is>
          <t>AYES: mixed admin youth employment program. Work experience, basic education, vocational training. Not clearly CBO-led. No employer engagement in curriculum documented in Sadd et al. 1983.</t>
        </is>
      </c>
      <c r="N140" t="inlineStr">
        <is>
          <t>AYES: mixed admin youth employment program. Work experience, basic education, vocational training. Not clearly CBO-led. No employer engagement in curriculum documented in Sadd et al. 1983.</t>
        </is>
      </c>
      <c r="O140" t="inlineStr">
        <is>
          <t>AYES: mixed admin youth employment program. Work experience, basic education, vocational training. Not clearly CBO-led. No employer engagement in curriculum documented in Sadd et al. 1983.</t>
        </is>
      </c>
      <c r="P140" t="inlineStr">
        <is>
          <t>AYES: mixed admin youth employment program. Work experience, basic education, vocational training. Not clearly CBO-led. No employer engagement in curriculum documented in Sadd et al. 1983.</t>
        </is>
      </c>
      <c r="Q140" t="inlineStr">
        <is>
          <t>AYES: mixed admin youth employment program. Work experience, basic education, vocational training. Not clearly CBO-led. No employer engagement in curriculum documented in Sadd et al. 1983.</t>
        </is>
      </c>
      <c r="R140" t="inlineStr">
        <is>
          <t>AYES: mixed admin youth employment program. Work experience, basic education, vocational training. Not clearly CBO-led. No employer engagement in curriculum documented in Sadd et al. 1983.</t>
        </is>
      </c>
      <c r="S140" t="inlineStr">
        <is>
          <t>public: Alternative Youth Employment Strategies was funded by DOL.</t>
        </is>
      </c>
      <c r="T140" t="inlineStr">
        <is>
          <t>mixed: AYES sites were operated by a mix of public and private organizations: OCETA in Albuquerque (public workforce agency), SFETC in Miami (public), and CEP in New York City (nonprofit).</t>
        </is>
      </c>
      <c r="U140" t="inlineStr">
        <is>
          <t>AYES NYC: maximum 6 months (26 weeks). Sadd et al. 1983.</t>
        </is>
      </c>
      <c r="BK140" t="inlineStr">
        <is>
          <t>Not clearly reported. Sadd et al 1983 has poor OCR quality. Program enrolled 411 experimentals in NYC across 3 models. Exact show-up/participation rate not extractable from available text.</t>
        </is>
      </c>
      <c r="BL140" t="inlineStr">
        <is>
          <t>Not reported. No comparable training receipt data for T and C groups in NYC extractable from paper.</t>
        </is>
      </c>
    </row>
    <row r="141">
      <c r="A141" t="inlineStr">
        <is>
          <t>Maryland Employment Initiatives (Baltimore Options)</t>
        </is>
      </c>
      <c r="B141" t="inlineStr">
        <is>
          <t>Baltimore, AFDC</t>
        </is>
      </c>
      <c r="C141" t="inlineStr">
        <is>
          <t>MD UI wage records + AFDC payment records</t>
        </is>
      </c>
      <c r="D141" t="inlineStr">
        <is>
          <t>Training_role='secondary': Options was a comprehensive welfare-to-work program. While it offered GED prep, basic literacy, and vocational training, these were part of a broader menu including job search, work experience, and ongoing case management. The program's primary goal was self-sufficiency through any employment pathway, not specifically through classroom training. About 19% of experimentals participated in education/training vs. 25% in job search and 17% in work experience (Table 4.1, p. 62).</t>
        </is>
      </c>
      <c r="E141" t="inlineStr">
        <is>
          <t>has_classroom=1: GED prep, basic literacy, vocational skills training offered (Ch. 1, p. ix). has_ojt=1: On-the-job training with private firms, partly financed through diverted welfare grants (Ch. 1, p. ix). has_jsa=1: Group and individual job search were core components (Ch. 1, p. ix; Table 4.1). has_multiple_components=1: Program bundled job search, work experience, education/training, OJT. other_components: Unpaid work experience (workfare) for up to 13 weeks was a major component.</t>
        </is>
      </c>
      <c r="F141" t="inlineStr">
        <is>
          <t>Sample sizes: Table 5.1 (p. 108): N_exp=1331, N_ctrl=1372 (AFDC impact sample). Table 2.1 (p. 32): Full AFDC sample 2823 (1395 exp + 1428 ctrl), but impact sample is slightly smaller. Demographics: Table 2.2 (pp. 34-36): AFDC column: mean_age=31.9, pct_male=10.1, pct_white=29.5, pct_black=69.2, pct_hispanic=0.3, pct_no_hs_diploma=56.4 (Degree Received: None), mean_years_schooling=10.5 (Avg Highest Grade Completed). Randomization period: p. xiv: 'Random assignment began November 15, 1982 and continued through the end of December 1983.' Selectivity: pp. xiv-xv: Options served ~1000 of Baltimore AFDC applicants/recipients from about half the city. Cost: Table 6.6 (p. 169): Total Options Operating Costs per AFDC experimental = $957.</t>
        </is>
      </c>
      <c r="G141" t="inlineStr">
        <is>
          <t>ST employment Q5: Table 5.1, row 'Quarter 5' under 'Ever Employed (%)', p. 108: Exp=36.5%, Ctrl=31.6%, Diff=+5.0***. ST earnings Q5: Table 5.1, row 'Quarter 5' under 'Average Total Earnings ($)', p. 108: Exp=$578.16, Ctrl=$512.92, Diff=+$65.23 (not significant). MT employment Q8: Table 5.3, row 'Quarter 8' under 'Ever Employed (%)', p. 117: Exp=37.3%, Ctrl=34.9%, Diff=+2.4 (not significant). MT earnings Q8: Not extracted — OCR unreliable for individual quarter earnings in Table 5.3.</t>
        </is>
      </c>
      <c r="H141" t="inlineStr">
        <is>
          <t>ITT regression-adjusted impact. Table 5.1 notes (p. 109): 'These data are regression-adjusted using ordinary least squares, controlling for pre-random assignment characteristics of sample members.'</t>
        </is>
      </c>
      <c r="I141" t="inlineStr">
        <is>
          <t>ST: Quarter 5 post-random assignment = ~15 months. Best fit for ST (~1 year) bin; this is the final quarter of the full-sample follow-up. st_followup_years=1.25. MT: Quarter 8 post-random assignment = ~24 months = 2 years. Early subsample only (Nov 1982-Mar 1983 enrollees). mt_followup_years=2.0. No longer-term data available in this report.</t>
        </is>
      </c>
      <c r="J141" t="inlineStr">
        <is>
          <t>st_emp_se: Derived from stars. Impact=+5.0, significance=*** (1% level). SE = |5.0| / Phi^{-1}(1 - 0.01/2) = 5.0 / 2.576 = 1.9. st_earn_se: Not derivable — impact not statistically significant, no stars or p-value. mt_emp_se: Not derivable — impact not significant. mt_earn_se: Not extracted.</t>
        </is>
      </c>
      <c r="K141" t="inlineStr">
        <is>
          <t>Table 6.6, p. 169: 'Total Options Operating Costs' per AFDC experimental = $957. Gross cost per experimental (not per participant), in FY1984 dollars. Includes intake/assessment ($102), job placement ($55), group workshop ($198), work experience ($70), training ($297), OJT ($6), stipends ($161), child care ($28), transportation ($10), plus compliance activities ($33).</t>
        </is>
      </c>
      <c r="L141" t="inlineStr">
        <is>
          <t>1. Control group received WIN services (not a pure no-treatment control). WIN had very low structured participation (3.4%) but provided job referrals, so impacts are relative to WIN. 2. MT estimates use early subsample only (~530/group), reducing precision. 3. AFDC-U results excluded: N=337 total, authors state 'small AFDC-U sample did not permit reliable estimation of program impacts' (p. xxx). Impacts were negative but not significant. 4. Participation rates in Table 4.1 are for AFDC+AFDC-U combined; AFDC-only from Table 4.3 shows similar rate (52.8% for registrants). Table 4.1 rate of 44.5% is based on all experimentals (including those who never registered). 5. Cost figure is gross per experimental, not net of WIN costs. 6. Earnings impacts modest and generally not significant in ST; authors suggest longer follow-up needed to capture benefits of employability development approach. 7. Wicomico County BET program not included: no random assignment (p. xiv).</t>
        </is>
      </c>
      <c r="M141" t="inlineStr">
        <is>
          <t>Options operated by Office of Manpower Resources (OMR), a city government agency, not a community organization.</t>
        </is>
      </c>
      <c r="N141" t="inlineStr">
        <is>
          <t>No staffing agency partnership mentioned.</t>
        </is>
      </c>
      <c r="O141" t="inlineStr">
        <is>
          <t>No employer-engaged curricula described; work experience placements were in public/nonprofit sector.</t>
        </is>
      </c>
      <c r="P141" t="inlineStr">
        <is>
          <t>WIN had job developers who obtained openings, but Options itself focused on employability development rather than job development.</t>
        </is>
      </c>
      <c r="Q141" t="inlineStr">
        <is>
          <t>Employers did not shape curriculum; training was through OMR subcontractors.</t>
        </is>
      </c>
      <c r="R141" t="inlineStr">
        <is>
          <t>No commitment to hire described.</t>
        </is>
      </c>
      <c r="S141" t="inlineStr">
        <is>
          <t>Funded by Maryland DHR contract (state/federal WIN Demonstration funds) and Ford Foundation grant (p. iv).</t>
        </is>
      </c>
      <c r="T141" t="inlineStr">
        <is>
          <t>Administered by Office of Manpower Resources (OMR), the local CETA prime sponsor in Baltimore — a public agency (p. xi).</t>
        </is>
      </c>
      <c r="U141" t="inlineStr">
        <is>
          <t>Maryland Employment Initiatives (Baltimore): 3-week job search + 13-week work experience = ~4 months. Friedlander et al. 1985.</t>
        </is>
      </c>
      <c r="BI141" t="inlineStr">
        <is>
          <t>MD</t>
        </is>
      </c>
      <c r="BJ141" t="inlineStr">
        <is>
          <t>urban</t>
        </is>
      </c>
      <c r="BK141" t="inlineStr">
        <is>
          <t>Table 4.1, p. 62: Experimental participation rate in any active component = 44.5%; Control participation rate = 3.4%. Impact = 44.5 - 3.4 = 41.1 pp. Note: These are AFDC+AFDC-U combined. AFDC-only from Table 4.3 (p. 70): 52.8% for experimental registrants, but Table 4.1 base includes non-registrants.</t>
        </is>
      </c>
      <c r="BL141" t="inlineStr">
        <is>
          <t>Table 4.1, p. 62: Education and Training participation: Exp = 18.8%, Ctrl = 1.0%. Impact = 18.8 - 1.0 = 17.8 pp. Includes GED prep, basic literacy, vocational training, Harbor City Learning, Learning Center, Classroom Skills Training, World of Work. Note: Captures only structured program participation from ESARS records, not education/training obtained outside Options/WIN.</t>
        </is>
      </c>
    </row>
    <row r="142">
      <c r="A142" t="inlineStr">
        <is>
          <t>Pennsylvania Saturation Work Program</t>
        </is>
      </c>
      <c r="B142" t="inlineStr">
        <is>
          <t>Philadelphia, all cohorts averaged</t>
        </is>
      </c>
      <c r="C142" t="inlineStr">
        <is>
          <t>PA UI wage records</t>
        </is>
      </c>
      <c r="D142" t="inlineStr">
        <is>
          <t>Training_role='secondary': SWP was a comprehensive mandatory welfare-to-work program. Participants were assigned to one of three streams: job search, CWEP (work experience), or education/training. Education/training was one of three streams, not the primary intervention. The program's core feature was mandatory participation and saturation coverage of the caseload, with emphasis on work requirements and job search. User confirmed training is a small component. (Ch. I, pp. 1-5; Ch. II, pp. 16-23)</t>
        </is>
      </c>
      <c r="E142" t="inlineStr">
        <is>
          <t>has_classroom=1: Education and training stream included GED prep, basic education, and vocational training (Ch. II, pp. 20-21). has_ojt=0: No structured OJT or apprenticeship component described. CWEP is unpaid work experience in public/nonprofit agencies, not employer-based OJT. has_jsa=1: Job search (group job club and individual job search) was the primary activity stream (Ch. II, pp. 18-19). has_multiple_components=1: Three streams (job search, CWEP, education/training) plus assessment and sanctioning. other_components: CWEP (Community Work Experience Program) = structured unpaid work in public/nonprofit agencies for up to 13 weeks.</t>
        </is>
      </c>
      <c r="F142" t="inlineStr">
        <is>
          <t>Sample sizes: Table II (p. 30): N_PSWP=4539 total, N_control=3828 total across 4 cohorts. Per-cohort: A: 1712/990, B: 926/952, C: 1027/961, D: 874/771. Note: Table II totals (4539/3828) differ slightly from sum of cohorts (4539/3674); I use per-cohort Ns which sum to 4462/3751 for impact sample from Tables V-A through V-D. Demographics: Table III (p. 34): avg_age=30.8, pct_female=81.4, pct_black=75.6, pct_hispanic=7.0, pct_white=14.5 (inferred: 100-75.6-7.0-3.0=14.5 or read directly), pct_hs_diploma_or_ged=43.1 (so pct_no_hs_diploma=56.9), avg_education=10.5 years. Randomization period: Ch. II, p. 16: 4 cohorts enrolled Jan-Dec 1986.</t>
        </is>
      </c>
      <c r="G142" t="inlineStr">
        <is>
          <t>Cohort-specific quarterly impacts from Tables V-A through V-D (pp. 44-51). Table V-A (Cohort A): QTR-2 to QTR+7, N_PSWP=1712, N_ctrl=990. Table V-B (Cohort B): QTR-3 to QTR+6, N_PSWP=926, N_ctrl=952. Table V-C (Cohort C): QTR-4 to QTR+5, N_PSWP=1027, N_ctrl=961. Table V-D (Cohort D): QTR-5 to QTR+4, N_PSWP=874, N_ctrl=771. ST (QTR+4): N-weighted average of QTR+4 from all 4 cohorts.   Cohort A: Emp PSWP=22.55% Ctrl=21.11%, Earn PSWP=$351.15 Ctrl=$314.46.   Cohort B: Emp PSWP=22.79% Ctrl=22.79%, Earn PSWP=$359.94 Ctrl=$381.64.   Cohort C: Emp PSWP=27.07% Ctrl=22.27%, Earn PSWP=$456.32 Ctrl=$320.37.   Cohort D: Emp PSWP=25.94% Ctrl=25.63%, Earn PSWP=$477.00 Ctrl=$418.20. MT (QTR+7): Cohort A only. Emp PSWP=28.45% Ctrl=25.96%, Earn PSWP=$573.19 Ctrl=$530.63. Pooled Table IV (pp. 38-39): QTR+4 earnings diff=$42.25, p=0.0448 (used for SE derivation). ADVERSARIAL REVIEW NOTE: Original computation had Cohort B (PSWP=926, Ctrl=952) and Cohort D (PSWP=874, Ctrl=771) Ns swapped. Corrected to B: PSWP=952, Ctrl=926; D: PSWP=771, Ctrl=874. Verified totals match Table IV: 4462/3751.</t>
        </is>
      </c>
      <c r="H142" t="inlineStr">
        <is>
          <t>Simple difference in means (PSWP group vs. control group), no regression adjustment. Tables V-A through V-D report raw means and differences. Table IV reports pooled differences with p-values from t-tests. Our ST/MT values are N-weighted averages of the cohort-specific raw differences.</t>
        </is>
      </c>
      <c r="I142" t="inlineStr">
        <is>
          <t>ST: QTR+4 = 4th quarter after random assignment ≈ 12 months. All 4 cohorts have data through QTR+4, making this the most robust short-term estimate. st_followup_years=1.0. MT: QTR+7 = 7th quarter after RA ≈ 21 months. Only Cohort A (enrolled Jan-Mar 1986) has data this far out. mt_followup_years=1.75. This is the longest available follow-up from this interim report. Placed in MT bin as it approaches the ~2-year horizon. No LT data: interim report covers at most 7 post-RA quarters.</t>
        </is>
      </c>
      <c r="J142" t="inlineStr">
        <is>
          <t>Employment SEs: Not estimated (per user instruction). Earnings SEs: Imputed via sigma-backout method. Step 1: From pooled Table IV, QTR+4 earnings diff=$42.25, p=0.0448.   z = Phi^{-1}(1 - 0.0448/2) = 2.007. SE_pooled = 42.25/2.007 = $21.05. Step 2: Back out common sigma: SE² = sigma²(1/N_T + 1/N_C).   sigma = SE_pooled / sqrt(1/4462 + 1/3751) = 21.05 / 0.0000222^0.5...   Actually: 1/4462 + 1/3751 = 0.000491. sqrt = 0.02215. sigma = 21.05/0.02215 = $950.3. Step 3: Per-cohort SEs: SE_i = 950.3 * sqrt(1/N_Ti + 1/N_Ci).   A: 37.9, B: 43.9, C: 42.7, D: 47.0. Step 4: Combined SE_avg = sqrt(sum(w_i² * SE_i²)) where w_i = N_Ti / sum(N_T).   ST (4 cohorts): SE = $21.5, t = 42.25/21.5 = 1.97 → ** (5% level).   MT (Cohort A only): SE = $37.9, t = 42.56/37.9 = 1.12 → not significant. Cross-check: Cohort C imputed SE=42.7, diff at QTR+4=$135.95, t=3.19.   Table V-C reports p=0.0015 for this cell; Phi^{-1}(1-0.0015/2)=3.17. Consistent.</t>
        </is>
      </c>
      <c r="K142" t="inlineStr">
        <is>
          <t>Not reported in interim report. Final report (expected April 1989) was to include cost analysis.</t>
        </is>
      </c>
      <c r="L142" t="inlineStr">
        <is>
          <t>1. COHORT AVERAGING: Impacts are N-weighted averages of 4 cohort-specific results, not from pooled Table IV. This creates an unbalanced panel (4 cohorts at QTR+4, only Cohort A at QTR+7). The pooled table restricts all cohorts to 4 common quarters. 2. MT FROM ONE COHORT: QTR+7 uses Cohort A only (N=1712/990), so MT is less precise and may not generalize across cohorts. 3. NO REGRESSION ADJUSTMENT: Raw mean differences, no covariate controls. 4. INTERIM REPORT: Only 12-month follow-up for Cohort A, less for others. A final report with 24-month data was planned for April 1989. 5. SAMPLE SIZE DISCREPANCY: Table II pooled N (4539/3828) does not equal sum of cohort Ns (4539/3674). Control total discrepancy of 154. Per-cohort Ns from Tables V-A through V-D used for impact calculations. 6. SMALL EMPLOYMENT EFFECTS: ST employment impact of +1.48pp is small and would not be statistically significant even if SE were computed. 7. NO FIRST-STAGE DATA: T vs C service receipt comparison deferred to final report. 8. CWEP AS MAIN COMPONENT: Despite education/training stream, CWEP (workfare) and job search appear to be the dominant activities. Training role correctly coded as secondary. 9. ADVERSARIAL REVIEW CORRECTION: Cohort B and D treatment/control Ns were initially swapped in the weighting computation. Corrected values verified against Table IV pooled totals (4462/3751). Corrected ST earnings impact ($42.25) matches Table IV exactly.</t>
        </is>
      </c>
      <c r="M142" t="inlineStr">
        <is>
          <t>Program operated by PA Department of Public Welfare (state agency), not a community organization.</t>
        </is>
      </c>
      <c r="N142" t="inlineStr">
        <is>
          <t>No staffing agency partnership mentioned in interim report.</t>
        </is>
      </c>
      <c r="O142" t="inlineStr">
        <is>
          <t>No employer-engaged curricula described; CWEP placements in public/nonprofit agencies.</t>
        </is>
      </c>
      <c r="P142" t="inlineStr">
        <is>
          <t>No specific job development activities described in interim report.</t>
        </is>
      </c>
      <c r="Q142" t="inlineStr">
        <is>
          <t>Employers did not shape curriculum.</t>
        </is>
      </c>
      <c r="R142" t="inlineStr">
        <is>
          <t>No employer commitment to hire described.</t>
        </is>
      </c>
      <c r="S142" t="inlineStr">
        <is>
          <t>Funded by PA Department of Public Welfare using federal WIN Demonstration funds (Ch. I, p. 2).</t>
        </is>
      </c>
      <c r="T142" t="inlineStr">
        <is>
          <t>Administered by PA Department of Public Welfare (state agency) through the Philadelphia County Assistance Office (Ch. I, p. 3).</t>
        </is>
      </c>
      <c r="U142" t="inlineStr">
        <is>
          <t>PSWP Philadelphia: welfare-to-work with job search, CWEP, and training. Duration variable; 90-day independent job search for job-ready clients, then additional services. Hogarth et al. 1988. Duration ambiguous.</t>
        </is>
      </c>
      <c r="BI142" t="inlineStr">
        <is>
          <t>PA</t>
        </is>
      </c>
      <c r="BJ142" t="inlineStr">
        <is>
          <t>urban</t>
        </is>
      </c>
      <c r="BK142" t="inlineStr">
        <is>
          <t>Not available in interim report. Treatment vs. control service receipt comparison deferred to final report (p. 15: 'the comparison between the research and control groups on use of employment services and other measures will be presented in the final report').</t>
        </is>
      </c>
      <c r="BL142" t="inlineStr">
        <is>
          <t>Not available in interim report. See program_uptake_cell_references.</t>
        </is>
      </c>
    </row>
    <row r="143">
      <c r="A143" t="inlineStr">
        <is>
          <t>Ohio Transitions to Independence Demonstration (JOBS)</t>
        </is>
      </c>
      <c r="B143" t="inlineStr">
        <is>
          <t>15 counties (1989, 1990, 1991 cohorts pooled)</t>
        </is>
      </c>
      <c r="C143" t="inlineStr">
        <is>
          <t>OH UI wage records</t>
        </is>
      </c>
      <c r="D143" t="inlineStr">
        <is>
          <t>Training_role='secondary': Ohio JOBS was a mandatory welfare-to-work program with assessment-driven activity assignments. CWEP (community work experience) was the single most common assignment (47% of ever-assigned, 19.1% of all treatment). Basic and post-secondary education together comprised 49% of ever-assigned (20% of all treatment). Job search activities (job club, job readiness) were also prominent. Training/education was a major but not exclusive component. The program was designed around mandatory participation requirements and caseworker-directed placements, not specifically around classroom training. (Exhibit 2.3, p. 33)</t>
        </is>
      </c>
      <c r="E143" t="inlineStr">
        <is>
          <t>has_classroom=1: Basic education (12% of all T, 30% of ever-assigned) and post-secondary education (7.7% of all T, 19%) are formal classroom instruction. has_ojt=0: CWEP is unpaid work experience in public/nonprofit agencies, not employer-based OJT with training objective. No structured OJT described. has_jsa=1: Job club (9% of all T, 22% of ever-assigned) and job readiness training (4.7%, 12%) are job search assistance activities. has_multiple_components=1: Bundles education, job search, and work experience.</t>
        </is>
      </c>
      <c r="F143" t="inlineStr">
        <is>
          <t>Sample sizes: Exhibit 3.1 footnote a (p. 52): 1,314 control and 7,860 treatment group members for 1989 cohort employment/earnings impacts. Demographics: Exhibit 2.1 (p. 29): 1989 cohort: &lt;25=12.7%, 25-39=68.5%, 40+=18.8%; white=76.5%; female=62.1%; ADC-R=62.4%; &lt;12 yrs education=44.2%. Randomization: Ch. 1, p. 13: 'Between 1989 and 1991, the entire caseload in the 15 demonstration counties was randomly assigned to treatment and control groups at the ratio of nine to one.' 1989 cohort = clients first JOBS-mandatory during 1989. 15 counties: Brown, Champaign, Clermont, Franklin, Lake, Lawrence, Montgomery, Perry, Pickaway, Richland, Seneca, Stark, Summit, Trumbull, Wyandot (footnote 15, p. 13). POOLED ACROSS COHORTS (v16): 1989 cohort sample size and impacts from Exhibit 3.1 (p. 52); 1990 and 1991 from Exhibit 3.3 (p. 56). Demographics weighted by CRIS-E N from Exhibit 2.1 (p. 29). Randomization span Jan 1989 – Dec 1991 from cohort labels.</t>
        </is>
      </c>
      <c r="G143" t="inlineStr">
        <is>
          <t>All impacts from Exhibit 3.1, p. 52 (1989 cohort): ST (Year 1): Emp ctrl=36.9%, impact=+3.7***, relative=10.0%; Earn ctrl=$1,860, impact=-$61, relative=-3.3%. MT (Year 2): Emp ctrl=41.3%, impact=+2.9**, relative=7.0%; Earn ctrl=$2,563, impact=+$76, relative=3.0%. LT (Year 3): Emp ctrl=42.2%, impact=+3.3**, relative=7.8%; Earn ctrl=$3,129, impact=+$23, relative=0.7%. Note: OCR rendered Year 1 emp impact as '2 7***'; verified as 3.7 from 40.6-36.9=3.7 (treatment mean from Exhibit ES.2, p. viii) and relative impact 3.7/36.9*100=10.0%. Pooled impacts: ST (Year 1) across 1989+1990+1991; MT (Year 2) across 1989+1990; LT (3 yr) from 1989 only.</t>
        </is>
      </c>
      <c r="H143" t="inlineStr">
        <is>
          <t>ITT, regression-adjusted. OLS for earnings and ADC outcomes; logistic regression for employment. Controls for client characteristics measured at sample entry. (Ch. 1, p. 12; footnote 13, p. 12)</t>
        </is>
      </c>
      <c r="I143" t="inlineStr">
        <is>
          <t>ST: Year 1 (first 12 months post-random assignment). st_followup_years=1.0. MT: Year 2 (months 13-24). mt_followup_years=2.0. LT: Year 3 (months 25-36). lt_followup_years=3.0. 1989 cohort has 3 full years of follow-up (through December 1992).</t>
        </is>
      </c>
      <c r="J143" t="inlineStr">
        <is>
          <t>All SEs derived from significance stars using conventional thresholds. ST emp: +3.7***, p=0.01 → SE = 3.7/2.576 = 1.4. MT emp: +2.9**, p=0.05 → SE = 2.9/1.960 = 1.5. LT emp: +3.3**, p=0.05 → SE = 3.3/1.960 = 1.7. ST/MT/LT earnings: Not significant, no stars → SEs not derivable. Cohort SEs back-solved from significance stars (|impact|/z_threshold); for n.s. impacts, scaled from a starred sibling-cohort SE via sigma=SE/sqrt(1/N_T+1/N_C). Pooled SE = RMS of cohort SEs (sqrt(mean(SE^2))). lt_earn pooled SE blank: no LT starred anchor available to scale sigma.</t>
        </is>
      </c>
      <c r="K143" t="inlineStr">
        <is>
          <t>Not reported in this impacts report. Cost-benefit findings in forthcoming companion report (Hamilton 1991, 1992 for early estimates; final cost-benefit report planned). See p. ii footnote 2.</t>
        </is>
      </c>
      <c r="L143" t="inlineStr">
        <is>
          <t>1. EMPLOYMENT MEASURE: 'Percent Ever Employed' during each year = fraction with any UI-recorded earnings in any quarter of the year. Not a point-in-time rate. This may overstate employment relative to quarterly rate measures used in other studies. 2. LOW PARTICIPATION: Only 40.5% of treatment group ever assigned to any JOBS activity over 3 years. The ITT impact is diluted by non-participation. 3. 9:1 RANDOMIZATION: Unusual ratio (9 treatment : 1 control). Small control group (N=1,314) reduces precision relative to a balanced design with the same total N. 4. CONTROL GROUP CONTAMINATION: 12% of original controls received JOBS services; these were removed and remaining controls reweighted (footnote 18, p. 13). 5. NEGATIVE EARNINGS FOR 1990 COHORT: The 1990 cohort showed significant negative earnings impacts (-$319** Year 1, -$482** Year 2), attributed to opportunity costs of E&amp;T participation for clients with stronger labor force attachment (Exhibit 3.3, p. 56). 6. MEAN AGE NOT AVAILABLE: Only categorical distribution reported. 7. RACE: Only white/non-white breakdown available; non-white=23.5%. 8. PROGRAM START-UP: Random assignment began at program start-up (Jan 1989), capturing early implementation period unlike CA GAIN or FL PI which waited ~1 year. Cohort heterogeneity substantial (esp. 1990's negative earnings vs. 1989's positive). User accepted pooling: within-experiment cohort variation &lt; between-experiment variation in the downstream random-effects meta-analysis.</t>
        </is>
      </c>
      <c r="M143" t="inlineStr">
        <is>
          <t>Administered by county Departments of Human Services (public agencies) under ODHS oversight.</t>
        </is>
      </c>
      <c r="N143" t="inlineStr">
        <is>
          <t>No staffing agency partnership described.</t>
        </is>
      </c>
      <c r="O143" t="inlineStr">
        <is>
          <t>No employer-engaged curricula described.</t>
        </is>
      </c>
      <c r="P143" t="inlineStr">
        <is>
          <t>No specific job development activities described beyond job club and job readiness.</t>
        </is>
      </c>
      <c r="Q143" t="inlineStr">
        <is>
          <t>Employers did not shape curricula.</t>
        </is>
      </c>
      <c r="R143" t="inlineStr">
        <is>
          <t>No employer commitment to hire described.</t>
        </is>
      </c>
      <c r="S143" t="inlineStr">
        <is>
          <t>Funded by federal JOBS/FSA funds channeled through Ohio Department of Human Services (Ch. 1, pp. 4-8).</t>
        </is>
      </c>
      <c r="T143" t="inlineStr">
        <is>
          <t>Administered by Ohio Department of Human Services (state) and county Departments of Human Services (Ch. 1, p. 6).</t>
        </is>
      </c>
      <c r="U143" t="inlineStr">
        <is>
          <t>Ohio JOBS: welfare-to-work emphasizing CWEP, job search, education. Avg training duration not reported. Fein et al. 1994.</t>
        </is>
      </c>
      <c r="BI143" t="inlineStr">
        <is>
          <t>OH</t>
        </is>
      </c>
      <c r="BJ143" t="inlineStr">
        <is>
          <t>mixed</t>
        </is>
      </c>
      <c r="BK143" t="inlineStr">
        <is>
          <t>Exhibit 2.3, p. 33: 40.5% of 1989 cohort treatment group (7,860 members) ever assigned to any JOBS activity over 3 years (3,184 clients). Control group explicitly excluded from JOBS services (p. 12). program_uptake_impact = 40.5 - 0 = 40.5pp.</t>
        </is>
      </c>
      <c r="BL143" t="inlineStr">
        <is>
          <t>Cannot determine unduplicated rate of education/training from any source. Exhibit 2.3 shows rates for individual JOBS activities (basic ed 12%, post-secondary 7.7%, job skills 1.6%) but these overlap and do not capture non-JOBS training.</t>
        </is>
      </c>
    </row>
    <row r="144">
      <c r="A144" t="inlineStr">
        <is>
          <t>Ohio Transitions to Independence Demonstration (Work Choice)</t>
        </is>
      </c>
      <c r="B144" t="inlineStr">
        <is>
          <t>Montgomery County, Jan-Jun 1989 cohort</t>
        </is>
      </c>
      <c r="C144" t="inlineStr">
        <is>
          <t>OH UI wage records</t>
        </is>
      </c>
      <c r="D144" t="inlineStr">
        <is>
          <t>Training_role='secondary': Work Choice was primarily a transitional benefits program (extended Medicaid and child care for those leaving ADC for work). The E&amp;T component was entirely voluntary and only 14.1% of treatment group ever participated. Among those who did participate, education was the dominant activity (basic ed 34%, post-secondary 33% of ever-assigned). But the main treatment contrast was the transitional benefits, not training. (Ch. 1, pp. 9-10; Exhibit 2.7, p. 44)</t>
        </is>
      </c>
      <c r="E144" t="inlineStr">
        <is>
          <t>has_classroom=1: Basic education (4.8% of all T) and post-secondary education (4.7%) available as voluntary options. has_ojt=0: CWEP negligible (0.2% of T). No structured OJT. has_jsa=1: Job club (1.7%) and job readiness (2.3%) available. has_multiple_components=1: Combines assessment, voluntary E&amp;T, and transitional benefits.</t>
        </is>
      </c>
      <c r="F144" t="inlineStr">
        <is>
          <t>Sample sizes: Exhibit 4.1 footnote a (p. 79): 1,619 control and 2,536 treatment group members for early (Jan-Jun 1989) cohort. Demographics: Exhibit 2.5 (p. 41): Early cohort: &lt;25=42.4%, 25-39=54.8%, 40+=2.8%; white=44.6%; all female; &lt;12 yrs education=43.3%. Randomization: Ch. 1, p. 15: 6:4 ratio. Total 5,609 enrolled Jan 1989-Mar 1990. Early cohort (Jan-Jun 1989) = 4,265 total (Exhibit 2.5).</t>
        </is>
      </c>
      <c r="G144" t="inlineStr">
        <is>
          <t>All impacts from Exhibit 4.1, p. 79 (early cohort, Jan-Jun 1989): ST (Year 1): Emp ctrl=31.8%, impact=+3.4**, relative=10.7%; Earn ctrl=$791, impact=+$109*, relative=13.8%. 18-month cumulative: Emp ctrl=37.5%, impact=+3.4**, relative=9.1%; Earn ctrl=$1,307, impact=+$177*, relative=13.5%. Year 2 (first 6 months only): Emp ctrl=24.9%, impact=+3.3**; Earn ctrl=$516, impact=+$68 (n.s.). Not extracted as MT due to control contamination after Mar 1990.</t>
        </is>
      </c>
      <c r="H144" t="inlineStr">
        <is>
          <t>ITT, regression-adjusted. OLS for earnings; logistic regression for employment. Controls for client characteristics at sample entry. (Ch. 1, p. 12)</t>
        </is>
      </c>
      <c r="I144" t="inlineStr">
        <is>
          <t>ST: Year 1 (first 12 months). st_followup_years=1.0. No MT/LT: After March 1990, the State extended transitional Medicaid and child care benefits to the control group, substantially weakening the treatment-control contrast for the transition benefits component (Ch. 1, p. 15). Follow-up only extends through December 1990 (~18 months for early cohort).</t>
        </is>
      </c>
      <c r="J144" t="inlineStr">
        <is>
          <t>All SEs derived from significance stars. ST emp: +3.4**, p=0.05 → SE = 3.4/1.960 = 1.7. ST earn: +$109*, p=0.10 → SE = 109/1.645 = 66.3.</t>
        </is>
      </c>
      <c r="K144" t="inlineStr">
        <is>
          <t>Not reported in this impacts report. See companion cost-benefit report.</t>
        </is>
      </c>
      <c r="L144" t="inlineStr">
        <is>
          <t>1. PRIMARY INTERVENTION IS TRANSITIONAL BENEFITS, NOT TRAINING: Only 14.1% of treatment group participated in E&amp;T. The main treatment-control contrast is extended Medicaid (12 vs. 4 months) and child care. This row may not belong in a training-focused meta-analysis. FLAG FOR HUMAN REVIEW. 2. CONTROL GROUP CONTAMINATION: After March 1990, controls received the same transitional benefits, eliminating the main treatment contrast for Year 2. 3. LATER COHORT NEGATIVE EARNINGS: Jul-Dec 1989 entrants showed -$192* earnings impact (Exhibit 4.3, p. 81), similar to 1990 JOBS cohort finding. 4. EMPLOYMENT MEASURE: 'Ever employed during year' not quarterly rate. 5. MONTGOMERY COUNTY ONLY: Single county (Dayton metro area). 6. MEAN AGE NOT AVAILABLE: Distribution suggests ~26 years old on average. 7. RACE: Only white/non-white; non-white=55.4% (Montgomery County has large African-American population).</t>
        </is>
      </c>
      <c r="M144" t="inlineStr">
        <is>
          <t>Operated by Montgomery County Department of Human Services (public agency).</t>
        </is>
      </c>
      <c r="N144" t="inlineStr">
        <is>
          <t>No staffing agency partnership described.</t>
        </is>
      </c>
      <c r="O144" t="inlineStr">
        <is>
          <t>No employer-engaged curricula described.</t>
        </is>
      </c>
      <c r="P144" t="inlineStr">
        <is>
          <t>No specific job development described.</t>
        </is>
      </c>
      <c r="Q144" t="inlineStr">
        <is>
          <t>Employers did not shape curricula.</t>
        </is>
      </c>
      <c r="R144" t="inlineStr">
        <is>
          <t>No employer commitment to hire.</t>
        </is>
      </c>
      <c r="S144" t="inlineStr">
        <is>
          <t>Federal waiver demonstration funded through Ohio Department of Human Services.</t>
        </is>
      </c>
      <c r="T144" t="inlineStr">
        <is>
          <t>Administered by Montgomery County Department of Human Services under ODHS oversight.</t>
        </is>
      </c>
      <c r="U144" t="inlineStr">
        <is>
          <t>Ohio Work Choice: similar to JOBS. Avg duration not reported. Fein et al. 1994.</t>
        </is>
      </c>
      <c r="BI144" t="inlineStr">
        <is>
          <t>OH</t>
        </is>
      </c>
      <c r="BJ144" t="inlineStr">
        <is>
          <t>urban</t>
        </is>
      </c>
      <c r="BK144" t="inlineStr">
        <is>
          <t>Exhibit 2.7, p. 44: 14.1% of early cohort treatment group (2,601 members) ever assigned to any E&amp;T activity. Control excluded from Work Choice services. Note: 'program_uptake' here captures E&amp;T participation only. All treatment members were subject to mandatory assessment and eligible for transitional benefits.</t>
        </is>
      </c>
      <c r="BL144" t="inlineStr">
        <is>
          <t>Exhibit 2.7, p. 44: Among early cohort treatment group, basic ed=4.8%, post-secondary=4.7%, job skills=2.5%. These overlap (some clients had multiple assignments). Control group training participation not reported.</t>
        </is>
      </c>
    </row>
    <row r="145">
      <c r="A145" t="inlineStr">
        <is>
          <t>Wildcat (Supported Work)</t>
        </is>
      </c>
      <c r="B145" t="inlineStr">
        <is>
          <t>Manhattan, ex-addicts</t>
        </is>
      </c>
      <c r="C145" t="inlineStr">
        <is>
          <t>self-report (survey)</t>
        </is>
      </c>
      <c r="D145" t="inlineStr">
        <is>
          <t>Primary: the core intervention is subsidized transitional employment with job development for unsubsidized placement.</t>
        </is>
      </c>
      <c r="E145" t="inlineStr">
        <is>
          <t>has_ojt=1: subsidized crew-based employment is on-the-job training. has_jsa=1: program included job development/placement services for transition to unsubsidized work. has_classroom=0: no classroom training component described. has_multiple_components=1: OJT + JSA + peer support.</t>
        </is>
      </c>
      <c r="F145" t="inlineStr">
        <is>
          <t>1974 report pp. 51-55 (sample design, randomization, N). 1976 report pp. 1-5 (sample sizes, follow-up).</t>
        </is>
      </c>
      <c r="G145" t="inlineStr">
        <is>
          <t>1976 report Table 1 (p. 5): Year 1 and Year 2 employment rates and earnings by group. 1974 report p. 67: t=11.52 for Year 1 earnings (277 df).</t>
        </is>
      </c>
      <c r="H145" t="inlineStr">
        <is>
          <t>ITT: impacts reported for all followed-up members of original random-assignment groups.</t>
        </is>
      </c>
      <c r="I145" t="inlineStr">
        <is>
          <t>Year 1 = short-term, Year 2 = medium-term. Follow-up measured from program entry.</t>
        </is>
      </c>
      <c r="J145" t="inlineStr">
        <is>
          <t>Employment SEs: standard difference-in-proportions formula sqrt(p1*(1-p1)/n1 + p2*(1-p2)/n2). Earnings SEs: imputed from 1974 report t-statistic (t=11.52, 277 df, p&lt;.001 for Year 1 legal earnings). Backed out pooled SD = impact/t * sqrt(1/n1+1/n2)^(-1) = $2,412. Then SE = SD*sqrt(1/n1+1/n2) using 1976 Ns. Year 1 SE=$306.1 (N=115 E, 135 C). Year 2 SE=$281.7 (N=132 E, 165 C), rescaled proportionally.</t>
        </is>
      </c>
      <c r="L145" t="inlineStr">
        <is>
          <t>WARNING: Differential response rates (58% E vs 68% C) may bias ITT estimates. Earnings SEs imputed from a different subsample (1974 report) than the impact estimates (1976 report); t-statistic from 1974 N=126 E/152 C vs 1976 N=115 E/135 C for Year 1. Demographics from 1976 Table 15 (successful subgroup N=45) rather than full sample. No baseline equivalence table available for the followed-up sample.</t>
        </is>
      </c>
      <c r="M145" t="inlineStr">
        <is>
          <t>leadagn_communityorg=1: Vera Institute of Justice, a nonprofit community organization, designed and managed the program.</t>
        </is>
      </c>
      <c r="N145" t="inlineStr">
        <is>
          <t>partneragn_staffingagency=0: no staffing agency partner described.</t>
        </is>
      </c>
      <c r="O145" t="inlineStr">
        <is>
          <t>employengage_curricula=0: no curricula co-developed with employers; work crews did public service projects.</t>
        </is>
      </c>
      <c r="P145" t="inlineStr">
        <is>
          <t>jobdev_yes=1: program included job development and placement services for transition to unsubsidized employment (1974 report p. 51).</t>
        </is>
      </c>
      <c r="Q145" t="inlineStr">
        <is>
          <t>employerol_curriculum=0: employers did not help design training curriculum.</t>
        </is>
      </c>
      <c r="R145" t="inlineStr">
        <is>
          <t>employerol_hire=1: job development component placed participants with private employers for unsubsidized employment.</t>
        </is>
      </c>
      <c r="S145" t="inlineStr">
        <is>
          <t>funding_public_private=public: federally funded (Vera Institute grant).</t>
        </is>
      </c>
      <c r="T145" t="inlineStr">
        <is>
          <t>admin_public_private=private: administered by Vera Institute of Justice (private nonprofit).</t>
        </is>
      </c>
      <c r="U145" t="inlineStr">
        <is>
          <t>Wildcat (Supported Work): program designed for 12-18 months of supported employment. Using 12 months as approximate avg. Vera Institute 1974; similar model to NSW.</t>
        </is>
      </c>
      <c r="BI145" t="inlineStr">
        <is>
          <t>NY</t>
        </is>
      </c>
      <c r="BJ145" t="inlineStr">
        <is>
          <t>urban</t>
        </is>
      </c>
      <c r="BK145" t="inlineStr">
        <is>
          <t>1974 report p. 55: 89% of experimentals entered Wildcat employment, 11% no-shows.</t>
        </is>
      </c>
    </row>
    <row r="146">
      <c r="A146" t="inlineStr">
        <is>
          <t>Career Pathways (WIF)</t>
        </is>
      </c>
      <c r="B146" t="inlineStr">
        <is>
          <t>New Orleans, LA – Advanced Manufacturing</t>
        </is>
      </c>
      <c r="C146" t="inlineStr">
        <is>
          <t>Louisiana Workforce Commission (LWC) quarterly earnings records</t>
        </is>
      </c>
      <c r="D146" t="inlineStr">
        <is>
          <t>Primary: the core intervention is classroom-based occupational training in sector-specific skills. Training is the main service; no subsidized employment, no structured OJT, no formal JSA.</t>
        </is>
      </c>
      <c r="E146" t="inlineStr">
        <is>
          <t>has_classroom=1: 2-month classroom training at community college and training providers. has_ojt=0: OJT component existed on paper but "occurred rarely" (Baird et al. 2019, p. 11). has_jsa=0: no formal job search assistance. has_multiple_components=1: screening + classroom training + optional 2nd round + employer coordination + training credit.</t>
        </is>
      </c>
      <c r="F146" t="inlineStr">
        <is>
          <t>Sample sizes by pathway: Baird et al. 2022, Table 1: AM = 93 T (electrical 77, pipefitting 5, welding 11), 81 C (electrical 67, pipefitting 6, welding 8). 7 cohorts total. Randomization: stratified block within gender×employment×income×age cells (Baird et al. 2019, Appendix B.1). Demographics: pooled only (Table 3), not reported by pathway.</t>
        </is>
      </c>
      <c r="G146" t="inlineStr">
        <is>
          <t>Employment ITT: Baird et al. 2022, Table 8, row "Treat", AM column: -0.003 (SE=0.027), C mean=0.620. Earnings ITT: Table 8, AM column: $451.173** (SE=169.518), C mean=$2,788. N=955 quarterly observations.</t>
        </is>
      </c>
      <c r="H146" t="inlineStr">
        <is>
          <t>ITT regression-adjusted. OLS with cohort, time, and strata fixed effects plus baseline outcome. P-values from wild bootstrap (Roodman et al. 2018) with Benjamini-Hochberg multiple testing correction. Clusters: cohort×treatment for treated, individual for control.</t>
        </is>
      </c>
      <c r="I146" t="inlineStr">
        <is>
          <t>Average 4 quarters post-training (range 1-7 quarters depending on cohort). All post-training quarters pooled in a single regression. Classified as short-term (~1 year). No separate medium- or long-term follow-up periods reported.</t>
        </is>
      </c>
      <c r="J146" t="inlineStr">
        <is>
          <t>SEs reported directly in Baird et al. 2022, Table 8. Employment: SE=0.027 (fraction) → 2.7 (percentage points). Earnings: SE=$169.518 (quarterly). Robust SEs clustered by cohort×treatment.</t>
        </is>
      </c>
      <c r="K146" t="inlineStr">
        <is>
          <t>Baird et al. 2019, Table 5.2: total program cost = $2,200,173 (2018 dollars), cost per completer = $7,509. Cost not disaggregated by pathway.</t>
        </is>
      </c>
      <c r="L146" t="inlineStr">
        <is>
          <t>1. QUARTERLY cadence: impacts and control means are per quarter, not annual. 2. Demographics not reported by pathway; pooled means used for meta-analysis covariates. 3. Cost per treated ($7,509) is program-wide, not pathway-specific. 4. ~18% never-attend rate program-wide. 5. AM includes 3 distinct occupations (electrical, welding, pipefitting); most participants in electrical (77/93 T). 6. P-values from wild bootstrap with B-H correction.</t>
        </is>
      </c>
      <c r="M146" t="inlineStr">
        <is>
          <t>Career Pathways administered by City of New Orleans Office of Workforce Development (OWD), a public government agency.</t>
        </is>
      </c>
      <c r="N146" t="inlineStr">
        <is>
          <t>No staffing agency partnerships. Screening done by ResCare (contracted by OWD) and JOB1 centers.</t>
        </is>
      </c>
      <c r="O146" t="inlineStr">
        <is>
          <t>Moderate: 'According to OWD, the training curriculum had been developed by both Delgado and AM and energy sector businesses through a DOL Trade Adjustment Assistance Community College and Career Training grant. According to OWD, Delgado convened instructors and employers to design the curriculum. Our interviews with employers indicate that they provided general suggestions regarding the curriculum' (Baird et al. 2019, p. 50). Industry partners recommended adding OSHA10 course, which was accepted. However, curriculum was broad and based on pre-existing NCCER standards. Employer input shaped which certifications to pursue and added a safety module, but did not redesign core curriculum content.</t>
        </is>
      </c>
      <c r="P146" t="inlineStr">
        <is>
          <t>Yes: 'The end of the pipeline sought to direct the new trainees to potential employers' (Baird et al. 2019, p. 11).</t>
        </is>
      </c>
      <c r="Q146" t="inlineStr">
        <is>
          <t>Yes: employers participated in curriculum development and trade advisory committees (Baird et al. 2019, p. 2).</t>
        </is>
      </c>
      <c r="R146" t="inlineStr">
        <is>
          <t>No: 'Trainees were not guaranteed employment after completing the program' (Baird et al. 2019, p. 11).</t>
        </is>
      </c>
      <c r="S146" t="inlineStr">
        <is>
          <t>Public: funded by U.S. Department of Labor Workforce Innovation Fund (WIF) grant.</t>
        </is>
      </c>
      <c r="T146" t="inlineStr">
        <is>
          <t>Public: administered by City of New Orleans Office of Workforce Development (OWD).</t>
        </is>
      </c>
      <c r="BK146" t="inlineStr">
        <is>
          <t>Baird et al. 2022, Table 2: 162/197=82.2% attended training 1. Used 82% (rounded). Uptake not reported by pathway; pooled rate applied to each. C barred from WIF training by design, so C=0.</t>
        </is>
      </c>
      <c r="BL146" t="inlineStr">
        <is>
          <t>Not reported. Control group could not enter WIF training cohorts. No data on control group training participation rate.</t>
        </is>
      </c>
    </row>
    <row r="147">
      <c r="A147" t="inlineStr">
        <is>
          <t>Career Pathways (WIF)</t>
        </is>
      </c>
      <c r="B147" t="inlineStr">
        <is>
          <t>New Orleans, LA – Health Care</t>
        </is>
      </c>
      <c r="C147" t="inlineStr">
        <is>
          <t>Louisiana Workforce Commission (LWC) quarterly earnings records</t>
        </is>
      </c>
      <c r="D147" t="inlineStr">
        <is>
          <t>Primary: the core intervention is classroom-based occupational training in sector-specific skills. Training is the main service; no subsidized employment, no structured OJT, no formal JSA.</t>
        </is>
      </c>
      <c r="E147" t="inlineStr">
        <is>
          <t>has_classroom=1: 2-month classroom training at community college and training providers. has_ojt=0: OJT component existed on paper but "occurred rarely" (Baird et al. 2019, p. 11). has_jsa=0: no formal job search assistance. has_multiple_components=1: screening + classroom training + optional 2nd round + employer coordination + training credit.</t>
        </is>
      </c>
      <c r="F147" t="inlineStr">
        <is>
          <t>Sample sizes by pathway: Baird et al. 2022, Table 1: HC = 51 T (medical billing/coding 32, patient access 19), 52 C (medical billing/coding 32, patient access 20). 5 cohorts total. Randomization: stratified block within gender×employment×income×age cells (Baird et al. 2019, Appendix B.1). Demographics: pooled only (Table 3), not reported by pathway.</t>
        </is>
      </c>
      <c r="G147" t="inlineStr">
        <is>
          <t>Employment ITT: Baird et al. 2022, Table 8, row "Treat", HC column: 0.151*** (SE=0.013), C mean=0.681. Earnings ITT: Table 8, HC column: $1,739.929*** (SE=148.055), C mean=$3,409. N=371 quarterly observations.</t>
        </is>
      </c>
      <c r="H147" t="inlineStr">
        <is>
          <t>ITT regression-adjusted. OLS with cohort, time, and strata fixed effects plus baseline outcome. P-values from wild bootstrap (Roodman et al. 2018) with Benjamini-Hochberg multiple testing correction. Clusters: cohort×treatment for treated, individual for control.</t>
        </is>
      </c>
      <c r="I147" t="inlineStr">
        <is>
          <t>Average 4 quarters post-training (range 1-7 quarters depending on cohort). All post-training quarters pooled in a single regression. Classified as short-term (~1 year). No separate medium- or long-term follow-up periods reported.</t>
        </is>
      </c>
      <c r="J147" t="inlineStr">
        <is>
          <t>SEs reported directly in Baird et al. 2022, Table 8. Employment: SE=0.013 (fraction) → 1.3 (percentage points). Earnings: SE=$148.055 (quarterly). Robust SEs clustered by cohort×treatment.</t>
        </is>
      </c>
      <c r="K147" t="inlineStr">
        <is>
          <t>Baird et al. 2019, Table 5.2: total program cost = $2,200,173 (2018 dollars), cost per completer = $7,509. Cost not disaggregated by pathway.</t>
        </is>
      </c>
      <c r="L147" t="inlineStr">
        <is>
          <t>1. QUARTERLY cadence: impacts and control means are per quarter, not annual. 2. Largest effects of any pathway — employment +15.1pp, earnings +$1,740/q — remarkably large for a ~2-month training program. Worth flagging for plausibility. 3. Demographics not reported by pathway. 4. Cost per treated ($7,509) is program-wide, not pathway-specific. 5. Small sample (51 T, 52 C) but highly significant results (p&lt;0.01). 6. P-values from wild bootstrap with B-H correction.</t>
        </is>
      </c>
      <c r="M147" t="inlineStr">
        <is>
          <t>Career Pathways administered by City of New Orleans Office of Workforce Development (OWD), a public government agency.</t>
        </is>
      </c>
      <c r="N147" t="inlineStr">
        <is>
          <t>No staffing agency partnerships. Screening done by ResCare (contracted by OWD) and JOB1 centers.</t>
        </is>
      </c>
      <c r="O147" t="inlineStr">
        <is>
          <t>Strong for patient access cohort; unclear for medical billing/coding. Ochsner Health Systems was both training provider and major employer: 'OWD replicated this type of training with Ochsner using WIF funding. The training targeted entry-level positions in medical assistance, and was specific to Ochsner's needs' (Baird et al. 2019, p. 54). For the 4 Goodwill medical billing/coding cohorts, no specific evidence of employer input into curriculum. Overall employer partnership described as 'loosely coupled' (p. 54).</t>
        </is>
      </c>
      <c r="P147" t="inlineStr">
        <is>
          <t>Yes: 'The end of the pipeline sought to direct the new trainees to potential employers' (Baird et al. 2019, p. 11).</t>
        </is>
      </c>
      <c r="Q147" t="inlineStr">
        <is>
          <t>Yes: employers participated in curriculum development and trade advisory committees (Baird et al. 2019, p. 2).</t>
        </is>
      </c>
      <c r="R147" t="inlineStr">
        <is>
          <t>No: 'Trainees were not guaranteed employment after completing the program' (Baird et al. 2019, p. 11).</t>
        </is>
      </c>
      <c r="S147" t="inlineStr">
        <is>
          <t>Public: funded by U.S. Department of Labor Workforce Innovation Fund (WIF) grant.</t>
        </is>
      </c>
      <c r="T147" t="inlineStr">
        <is>
          <t>Public: administered by City of New Orleans Office of Workforce Development (OWD).</t>
        </is>
      </c>
      <c r="BK147" t="inlineStr">
        <is>
          <t>Baird et al. 2022, Table 2: 162/197=82.2% attended training 1. Used 82% (rounded). Uptake not reported by pathway; pooled rate applied to each. C barred from WIF training by design, so C=0.</t>
        </is>
      </c>
      <c r="BL147" t="inlineStr">
        <is>
          <t>Not reported. Control group could not enter WIF training cohorts. No data on control group training participation rate.</t>
        </is>
      </c>
    </row>
    <row r="148">
      <c r="A148" t="inlineStr">
        <is>
          <t>Career Pathways (WIF)</t>
        </is>
      </c>
      <c r="B148" t="inlineStr">
        <is>
          <t>New Orleans, LA – Information Technology</t>
        </is>
      </c>
      <c r="C148" t="inlineStr">
        <is>
          <t>Louisiana Workforce Commission (LWC) quarterly earnings records</t>
        </is>
      </c>
      <c r="D148" t="inlineStr">
        <is>
          <t>Primary: the core intervention is classroom-based occupational training in sector-specific skills. Training is the main service; no subsidized employment, no structured OJT, no formal JSA.</t>
        </is>
      </c>
      <c r="E148" t="inlineStr">
        <is>
          <t>has_classroom=1: 2-month classroom training at community college and training providers. has_ojt=0: OJT component existed on paper but "occurred rarely" (Baird et al. 2019, p. 11). has_jsa=0: no formal job search assistance. has_multiple_components=1: screening + classroom training + optional 2nd round + employer coordination + training credit.</t>
        </is>
      </c>
      <c r="F148" t="inlineStr">
        <is>
          <t>Sample sizes by pathway: Baird et al. 2022, Table 1: IT = 53 T, 59 C. 8 cohorts. Randomization: stratified block within gender×employment×income×age cells (Baird et al. 2019, Appendix B.1). Demographics: pooled only (Table 3), not reported by pathway.</t>
        </is>
      </c>
      <c r="G148" t="inlineStr">
        <is>
          <t>Employment ITT: Baird et al. 2022, Table 8, row "Treat", IT column: 0.019 (SE=0.049), C mean=0.642. Earnings ITT: Table 8, IT column: -$708.513 (SE=785.601), C mean=$4,773. N=575 quarterly observations.</t>
        </is>
      </c>
      <c r="H148" t="inlineStr">
        <is>
          <t>ITT regression-adjusted. OLS with cohort, time, and strata fixed effects plus baseline outcome. P-values from wild bootstrap (Roodman et al. 2018) with Benjamini-Hochberg multiple testing correction. Clusters: cohort×treatment for treated, individual for control.</t>
        </is>
      </c>
      <c r="I148" t="inlineStr">
        <is>
          <t>Average 4 quarters post-training (range 1-7 quarters depending on cohort). All post-training quarters pooled in a single regression. Classified as short-term (~1 year). No separate medium- or long-term follow-up periods reported.</t>
        </is>
      </c>
      <c r="J148" t="inlineStr">
        <is>
          <t>SEs reported directly in Baird et al. 2022, Table 8. Employment: SE=0.049 (fraction) → 4.9 (percentage points). Earnings: SE=$785.601 (quarterly). Robust SEs clustered by cohort×treatment.</t>
        </is>
      </c>
      <c r="K148" t="inlineStr">
        <is>
          <t>Baird et al. 2019, Table 5.2: total program cost = $2,200,173 (2018 dollars), cost per completer = $7,509. Cost not disaggregated by pathway.</t>
        </is>
      </c>
      <c r="L148" t="inlineStr">
        <is>
          <t>1. QUARTERLY cadence: impacts and control means are per quarter, not annual. 2. IT shows null employment and negative (insignificant) earnings effects — notable contrast with HC and AM. 3. Largest SE among pathways, consistent with small sample and noisy estimates. 4. Demographics not reported by pathway. 5. Cost per treated ($7,509) is program-wide, not pathway-specific. 6. IT control mean earnings ($4,773/q) highest of the 3 pathways — possible ceiling/composition effect. 7. P-values from wild bootstrap with B-H correction.</t>
        </is>
      </c>
      <c r="M148" t="inlineStr">
        <is>
          <t>Career Pathways administered by City of New Orleans Office of Workforce Development (OWD), a public government agency.</t>
        </is>
      </c>
      <c r="N148" t="inlineStr">
        <is>
          <t>No staffing agency partnerships. Screening done by ResCare (contracted by OWD) and JOB1 centers.</t>
        </is>
      </c>
      <c r="O148" t="inlineStr">
        <is>
          <t>No: 'Employers were not asked to provide input regarding the curriculum' (Baird et al. 2019, p. 52). New Horizons implemented a curriculum that it had used in other trainings -- its standard Network+ and Security+ certification curriculum. Similarly, Delgado Cisco training, Goodwill IT, and Operation Sparks JavaScript all used provider-standard curricula. No evidence of employer involvement in IT curriculum design.</t>
        </is>
      </c>
      <c r="P148" t="inlineStr">
        <is>
          <t>Yes: 'The end of the pipeline sought to direct the new trainees to potential employers' (Baird et al. 2019, p. 11).</t>
        </is>
      </c>
      <c r="Q148" t="inlineStr">
        <is>
          <t>Yes: employers participated in curriculum development and trade advisory committees (Baird et al. 2019, p. 2).</t>
        </is>
      </c>
      <c r="R148" t="inlineStr">
        <is>
          <t>No: 'Trainees were not guaranteed employment after completing the program' (Baird et al. 2019, p. 11).</t>
        </is>
      </c>
      <c r="S148" t="inlineStr">
        <is>
          <t>Public: funded by U.S. Department of Labor Workforce Innovation Fund (WIF) grant.</t>
        </is>
      </c>
      <c r="T148" t="inlineStr">
        <is>
          <t>Public: administered by City of New Orleans Office of Workforce Development (OWD).</t>
        </is>
      </c>
      <c r="BK148" t="inlineStr">
        <is>
          <t>Baird et al. 2022, Table 2: 162/197=82.2% attended training 1. Used 82% (rounded). Uptake not reported by pathway; pooled rate applied to each. C barred from WIF training by design, so C=0.</t>
        </is>
      </c>
      <c r="BL148" t="inlineStr">
        <is>
          <t>Not reported. Control group could not enter WIF training cohorts. No data on control group training participation rate.</t>
        </is>
      </c>
    </row>
    <row r="149">
      <c r="A149" t="inlineStr">
        <is>
          <t>Work Advancement and Support Center (WASC)</t>
        </is>
      </c>
      <c r="B149" t="inlineStr">
        <is>
          <t>Bridgeport, CT</t>
        </is>
      </c>
      <c r="U149" t="inlineStr">
        <is>
          <t>WASC Bridgeport: approximately 3 years of services available, but actual participation intensity unclear. Miller et al. 2012. Duration ambiguous.</t>
        </is>
      </c>
    </row>
    <row r="150">
      <c r="A150" t="inlineStr">
        <is>
          <t>Ohio Transitions to Independence Demonstration (Work Choice)</t>
        </is>
      </c>
      <c r="B150" t="inlineStr">
        <is>
          <t>Montgomery County, Jul-Dec 1989 cohort</t>
        </is>
      </c>
      <c r="C150" t="inlineStr">
        <is>
          <t>OH UI wage records</t>
        </is>
      </c>
      <c r="F150" t="inlineStr">
        <is>
          <t>Sample sizes: Exhibit 4.3 footnote a, p. 81 (451 C, 653 T). Demographics: Exhibit 2.5, p. 41, July 1989-March 1990 column (CRIS-E sample N=1,344). Note: the CRIS-E demographic sample is slightly larger than the impact sample (1,104). Randomization period July 1989-December 1989 from cohort label and report's Ch. 2 description.</t>
        </is>
      </c>
      <c r="G150" t="inlineStr">
        <is>
          <t>Year 1: Exhibit 4.3, p. 81 (Control 32.6, Impact +3.2 ns, relative +9.8; Control $992, Impact -$192*, relative -19.4).</t>
        </is>
      </c>
      <c r="H150" t="inlineStr">
        <is>
          <t>Regression-adjusted ITT (OLS for earnings, logistic for employment), assignment to JOBS or Work Choice treatment group.</t>
        </is>
      </c>
      <c r="I150" t="inlineStr">
        <is>
          <t>Year 1 = short-term (CKW). Year 2 = medium-term. No 3+ year follow-up for these cohorts.</t>
        </is>
      </c>
      <c r="J150" t="inlineStr">
        <is>
          <t>SEs not reported by source; only stars (* 10%, ** 5%, *** 1%).</t>
        </is>
      </c>
      <c r="K150" t="inlineStr">
        <is>
          <t>No cost data extracted; companion report not part of this PDF.</t>
        </is>
      </c>
      <c r="L150" t="inlineStr">
        <is>
          <t>Last quarter of Year 1 follow-up is partially contaminated by April 1990 control-group access to extended benefits (Ch. 4 text, p. 80). No Year 2 impacts due to full contamination thereafter. Race only as White/Non-White.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5"/>
  <sheetViews>
    <sheetView topLeftCell="A26" workbookViewId="0">
      <selection activeCell="B33" sqref="B33"/>
    </sheetView>
  </sheetViews>
  <sheetFormatPr baseColWidth="8" defaultRowHeight="14.4"/>
  <cols>
    <col width="6" customWidth="1" min="1" max="1"/>
    <col width="26" customWidth="1" min="2" max="2"/>
    <col width="10" customWidth="1" min="3" max="3"/>
    <col width="70" customWidth="1" min="4" max="4"/>
    <col width="12" customWidth="1" min="5" max="5"/>
  </cols>
  <sheetData>
    <row r="1" ht="28.8" customHeight="1">
      <c r="A1" s="3" t="inlineStr">
        <is>
          <t>Column #</t>
        </is>
      </c>
      <c r="B1" s="3" t="inlineStr">
        <is>
          <t>Column Name</t>
        </is>
      </c>
      <c r="C1" s="3" t="inlineStr">
        <is>
          <t>Type</t>
        </is>
      </c>
      <c r="D1" s="3" t="inlineStr">
        <is>
          <t>Description</t>
        </is>
      </c>
      <c r="E1" s="3" t="inlineStr">
        <is>
          <t>Section</t>
        </is>
      </c>
    </row>
    <row r="2" ht="15.6" customHeight="1">
      <c r="A2" s="8" t="inlineStr">
        <is>
          <t>A. Identifiers &amp; Description</t>
        </is>
      </c>
    </row>
    <row r="3">
      <c r="A3" s="7" t="n">
        <v>1</v>
      </c>
      <c r="B3" t="inlineStr">
        <is>
          <t>project</t>
        </is>
      </c>
      <c r="C3" t="inlineStr">
        <is>
          <t>text</t>
        </is>
      </c>
      <c r="D3" t="inlineStr">
        <is>
          <t>Umbrella project name</t>
        </is>
      </c>
      <c r="E3" t="inlineStr">
        <is>
          <t>A. Identifiers &amp; Description</t>
        </is>
      </c>
    </row>
    <row r="4" ht="28.8" customHeight="1">
      <c r="A4" s="4" t="n">
        <v>2</v>
      </c>
      <c r="B4" s="5" t="inlineStr">
        <is>
          <t>site_subgroup</t>
        </is>
      </c>
      <c r="C4" s="6" t="inlineStr">
        <is>
          <t>text</t>
        </is>
      </c>
      <c r="D4" s="6" t="inlineStr">
        <is>
          <t>Pre-randomization experiment unit: site, target-group, or both</t>
        </is>
      </c>
      <c r="E4" s="6" t="inlineStr">
        <is>
          <t>A. Identifiers &amp; Description</t>
        </is>
      </c>
    </row>
    <row r="5" ht="28.8" customHeight="1">
      <c r="A5" s="4" t="n">
        <v>3</v>
      </c>
      <c r="B5" s="5" t="inlineStr">
        <is>
          <t>intervention_description</t>
        </is>
      </c>
      <c r="C5" s="6" t="inlineStr">
        <is>
          <t>text</t>
        </is>
      </c>
      <c r="D5" s="6" t="inlineStr">
        <is>
          <t>Direct quote or close paraphrase from source describing treatment</t>
        </is>
      </c>
      <c r="E5" s="6" t="inlineStr">
        <is>
          <t>A. Identifiers &amp; Description</t>
        </is>
      </c>
    </row>
    <row r="6" ht="28.8" customHeight="1">
      <c r="A6" s="4" t="n">
        <v>4</v>
      </c>
      <c r="B6" s="5" t="inlineStr">
        <is>
          <t>training_role</t>
        </is>
      </c>
      <c r="C6" s="6" t="inlineStr">
        <is>
          <t>text</t>
        </is>
      </c>
      <c r="D6" s="6" t="inlineStr">
        <is>
          <t>'primary' if training/classroom is core service; 'secondary' if ancillary</t>
        </is>
      </c>
      <c r="E6" s="6" t="inlineStr">
        <is>
          <t>A. Identifiers &amp; Description</t>
        </is>
      </c>
    </row>
    <row r="7" ht="28.8" customHeight="1">
      <c r="A7" s="4" t="inlineStr">
        <is>
          <t>B. Intervention Classification</t>
        </is>
      </c>
      <c r="B7" s="5" t="n"/>
      <c r="C7" s="6" t="n"/>
      <c r="D7" s="6" t="n"/>
      <c r="E7" s="6" t="n"/>
    </row>
    <row r="8">
      <c r="A8" t="n">
        <v>5</v>
      </c>
      <c r="B8" t="inlineStr">
        <is>
          <t>has_classroom</t>
        </is>
      </c>
      <c r="C8" t="inlineStr">
        <is>
          <t>binary 0/1</t>
        </is>
      </c>
      <c r="D8" t="inlineStr">
        <is>
          <t>Formal classroom instruction: vocational, GED, basic ed, ESL, college</t>
        </is>
      </c>
      <c r="E8" t="inlineStr">
        <is>
          <t>B. Intervention Classification</t>
        </is>
      </c>
    </row>
    <row r="9">
      <c r="A9" s="7" t="n">
        <v>6</v>
      </c>
      <c r="B9" t="inlineStr">
        <is>
          <t>has_ojt</t>
        </is>
      </c>
      <c r="C9" t="inlineStr">
        <is>
          <t>binary 0/1</t>
        </is>
      </c>
      <c r="D9" t="inlineStr">
        <is>
          <t>On-the-job training, apprenticeships, structured work experience</t>
        </is>
      </c>
      <c r="E9" t="inlineStr">
        <is>
          <t>B. Intervention Classification</t>
        </is>
      </c>
    </row>
    <row r="10" ht="28.8" customHeight="1">
      <c r="A10" s="4" t="n">
        <v>7</v>
      </c>
      <c r="B10" s="5" t="inlineStr">
        <is>
          <t>has_jsa</t>
        </is>
      </c>
      <c r="C10" s="6" t="inlineStr">
        <is>
          <t>binary 0/1</t>
        </is>
      </c>
      <c r="D10" s="6" t="inlineStr">
        <is>
          <t>Job search assistance, job clubs, counseling, placement services</t>
        </is>
      </c>
      <c r="E10" s="6" t="inlineStr">
        <is>
          <t>B. Intervention Classification</t>
        </is>
      </c>
    </row>
    <row r="11" ht="28.8" customHeight="1">
      <c r="A11" s="4" t="n">
        <v>8</v>
      </c>
      <c r="B11" s="5" t="inlineStr">
        <is>
          <t>has_multiple_components</t>
        </is>
      </c>
      <c r="C11" s="6" t="inlineStr">
        <is>
          <t>binary 0/1</t>
        </is>
      </c>
      <c r="D11" s="6" t="inlineStr">
        <is>
          <t>1 if bundles more than one of above or includes other substantial components</t>
        </is>
      </c>
      <c r="E11" s="6" t="inlineStr">
        <is>
          <t>B. Intervention Classification</t>
        </is>
      </c>
    </row>
    <row r="12" ht="43.2" customHeight="1">
      <c r="A12" s="4" t="n">
        <v>9</v>
      </c>
      <c r="B12" s="5" t="inlineStr">
        <is>
          <t>other_components</t>
        </is>
      </c>
      <c r="C12" s="6" t="inlineStr">
        <is>
          <t>text</t>
        </is>
      </c>
      <c r="D12" s="6" t="inlineStr">
        <is>
          <t>Free text describing major components not captured above</t>
        </is>
      </c>
      <c r="E12" s="6" t="inlineStr">
        <is>
          <t>B. Intervention Classification</t>
        </is>
      </c>
    </row>
    <row r="13">
      <c r="A13" s="4" t="inlineStr">
        <is>
          <t>C. Design &amp; Setting</t>
        </is>
      </c>
      <c r="B13" s="5" t="n"/>
      <c r="C13" s="6" t="n"/>
      <c r="D13" s="6" t="n"/>
      <c r="E13" s="6" t="n"/>
    </row>
    <row r="14" ht="28.8" customHeight="1">
      <c r="A14" s="4" t="n">
        <v>10</v>
      </c>
      <c r="B14" s="5" t="inlineStr">
        <is>
          <t>mandatory_voluntary</t>
        </is>
      </c>
      <c r="C14" s="6" t="inlineStr">
        <is>
          <t>text</t>
        </is>
      </c>
      <c r="D14" s="6" t="inlineStr">
        <is>
          <t>'mandatory' or 'voluntary'</t>
        </is>
      </c>
      <c r="E14" s="6" t="inlineStr">
        <is>
          <t>C. Design &amp; Setting</t>
        </is>
      </c>
    </row>
    <row r="15">
      <c r="A15" t="n">
        <v>11</v>
      </c>
      <c r="B15" t="inlineStr">
        <is>
          <t>funding_public_private</t>
        </is>
      </c>
      <c r="C15" t="inlineStr">
        <is>
          <t>text</t>
        </is>
      </c>
      <c r="D15" t="inlineStr">
        <is>
          <t>Who funds the administration of the evaluated program? 'public' = government appropriations (federal, state, or local) are the dominant funding source; 'private' = philanthropic, corporate, or nonprofit self-generated funds are the dominant source; 'mixed' = significant contributions from both public and private sectors. Note: this refers to the program's operational funding, not funding of the evaluation/study.</t>
        </is>
      </c>
      <c r="E15" t="inlineStr">
        <is>
          <t>C. Design &amp; Setting</t>
        </is>
      </c>
    </row>
    <row r="16">
      <c r="A16" s="7" t="n">
        <v>12</v>
      </c>
      <c r="B16" t="inlineStr">
        <is>
          <t>admin_public_private</t>
        </is>
      </c>
      <c r="C16" t="inlineStr">
        <is>
          <t>text</t>
        </is>
      </c>
      <c r="D16" t="inlineStr">
        <is>
          <t>Who administers the program day-to-day? 'public' = government agency (welfare office, workforce development board, community college as public institution); 'private' = nonprofit organization, CBO, or for-profit company; 'mixed' = formal public-private partnership, or government program that contracts out core service delivery to private entities while retaining program oversight and design.</t>
        </is>
      </c>
      <c r="E16" t="inlineStr">
        <is>
          <t>C. Design &amp; Setting</t>
        </is>
      </c>
    </row>
    <row r="17" ht="28.8" customHeight="1">
      <c r="A17" s="4" t="n">
        <v>13</v>
      </c>
      <c r="B17" s="5" t="inlineStr">
        <is>
          <t>randomization_period</t>
        </is>
      </c>
      <c r="C17" s="6" t="inlineStr">
        <is>
          <t>text</t>
        </is>
      </c>
      <c r="D17" s="6" t="inlineStr">
        <is>
          <t>Start and end dates of randomization intake</t>
        </is>
      </c>
      <c r="E17" s="6" t="inlineStr">
        <is>
          <t>C. Design &amp; Setting</t>
        </is>
      </c>
    </row>
    <row r="18">
      <c r="A18" s="4" t="inlineStr">
        <is>
          <t>D. Sample Characteristics</t>
        </is>
      </c>
      <c r="B18" s="5" t="n"/>
      <c r="C18" s="6" t="n"/>
      <c r="D18" s="6" t="n"/>
      <c r="E18" s="6" t="n"/>
    </row>
    <row r="19" ht="43.2" customHeight="1">
      <c r="A19" s="4" t="n">
        <v>14</v>
      </c>
      <c r="B19" s="5" t="inlineStr">
        <is>
          <t>randomization_midpoint</t>
        </is>
      </c>
      <c r="C19" s="6" t="inlineStr">
        <is>
          <t>number</t>
        </is>
      </c>
      <c r="D19" s="6" t="inlineStr">
        <is>
          <t>Numeric midpoint of randomization period (e.g., 1977.67)</t>
        </is>
      </c>
      <c r="E19" s="6" t="inlineStr">
        <is>
          <t>D. Sample Characteristics</t>
        </is>
      </c>
    </row>
    <row r="20" ht="43.2" customHeight="1">
      <c r="A20" s="4" t="n">
        <v>15</v>
      </c>
      <c r="B20" s="5" t="inlineStr">
        <is>
          <t>target_group</t>
        </is>
      </c>
      <c r="C20" s="6" t="inlineStr">
        <is>
          <t>text</t>
        </is>
      </c>
      <c r="D20" s="6" t="inlineStr">
        <is>
          <t>Who the program targets</t>
        </is>
      </c>
      <c r="E20" s="6" t="inlineStr">
        <is>
          <t>D. Sample Characteristics</t>
        </is>
      </c>
    </row>
    <row r="21" ht="43.2" customHeight="1">
      <c r="A21" s="4" t="n">
        <v>16</v>
      </c>
      <c r="B21" s="5" t="inlineStr">
        <is>
          <t>mean_age</t>
        </is>
      </c>
      <c r="C21" s="6" t="inlineStr">
        <is>
          <t>number</t>
        </is>
      </c>
      <c r="D21" s="6" t="inlineStr">
        <is>
          <t>Mean age at baseline</t>
        </is>
      </c>
      <c r="E21" s="6" t="inlineStr">
        <is>
          <t>D. Sample Characteristics</t>
        </is>
      </c>
    </row>
    <row r="22">
      <c r="A22" t="n">
        <v>17</v>
      </c>
      <c r="B22" t="inlineStr">
        <is>
          <t>pct_male</t>
        </is>
      </c>
      <c r="C22" t="inlineStr">
        <is>
          <t>number</t>
        </is>
      </c>
      <c r="D22" t="inlineStr">
        <is>
          <t>Percent male (0-100)</t>
        </is>
      </c>
      <c r="E22" t="inlineStr">
        <is>
          <t>D. Sample Characteristics</t>
        </is>
      </c>
    </row>
    <row r="23">
      <c r="A23" s="7" t="n">
        <v>18</v>
      </c>
      <c r="B23" t="inlineStr">
        <is>
          <t>pct_white</t>
        </is>
      </c>
      <c r="C23" t="inlineStr">
        <is>
          <t>number</t>
        </is>
      </c>
      <c r="D23" t="inlineStr">
        <is>
          <t>Percent white (0-100)</t>
        </is>
      </c>
      <c r="E23" t="inlineStr">
        <is>
          <t>D. Sample Characteristics</t>
        </is>
      </c>
    </row>
    <row r="24" ht="43.2" customHeight="1">
      <c r="A24" s="4" t="n">
        <v>19</v>
      </c>
      <c r="B24" s="5" t="inlineStr">
        <is>
          <t>pct_black</t>
        </is>
      </c>
      <c r="C24" s="6" t="inlineStr">
        <is>
          <t>number</t>
        </is>
      </c>
      <c r="D24" s="6" t="inlineStr">
        <is>
          <t>Percent Black (0-100)</t>
        </is>
      </c>
      <c r="E24" s="6" t="inlineStr">
        <is>
          <t>D. Sample Characteristics</t>
        </is>
      </c>
    </row>
    <row r="25" ht="43.2" customHeight="1">
      <c r="A25" s="4" t="n">
        <v>20</v>
      </c>
      <c r="B25" s="5" t="inlineStr">
        <is>
          <t>pct_hispanic</t>
        </is>
      </c>
      <c r="C25" s="6" t="inlineStr">
        <is>
          <t>number</t>
        </is>
      </c>
      <c r="D25" s="6" t="inlineStr">
        <is>
          <t>Percent Hispanic (0-100)</t>
        </is>
      </c>
      <c r="E25" s="6" t="inlineStr">
        <is>
          <t>D. Sample Characteristics</t>
        </is>
      </c>
    </row>
    <row r="26" ht="43.2" customHeight="1">
      <c r="A26" s="4" t="n">
        <v>21</v>
      </c>
      <c r="B26" s="5" t="inlineStr">
        <is>
          <t>pct_no_hs_diploma</t>
        </is>
      </c>
      <c r="C26" s="6" t="inlineStr">
        <is>
          <t>number</t>
        </is>
      </c>
      <c r="D26" s="6" t="inlineStr">
        <is>
          <t>Percent without HS diploma or GED (0-100)</t>
        </is>
      </c>
      <c r="E26" s="6" t="inlineStr">
        <is>
          <t>D. Sample Characteristics</t>
        </is>
      </c>
    </row>
    <row r="27" ht="43.2" customHeight="1">
      <c r="A27" s="4" t="inlineStr">
        <is>
          <t>22</t>
        </is>
      </c>
      <c r="B27" s="5" t="inlineStr">
        <is>
          <t>mean_years_schooling</t>
        </is>
      </c>
      <c r="C27" s="6" t="inlineStr">
        <is>
          <t>number</t>
        </is>
      </c>
      <c r="D27" s="6" t="inlineStr">
        <is>
          <t>Mean years of schooling at baseline (estimated from education distributions when exact mean not reported)</t>
        </is>
      </c>
      <c r="E27" s="6" t="inlineStr">
        <is>
          <t>D. Sample Characteristics</t>
        </is>
      </c>
    </row>
    <row r="28">
      <c r="A28" s="4" t="inlineStr">
        <is>
          <t>23</t>
        </is>
      </c>
      <c r="B28" s="5" t="inlineStr">
        <is>
          <t>selectivity</t>
        </is>
      </c>
      <c r="C28" s="6" t="inlineStr">
        <is>
          <t>text</t>
        </is>
      </c>
      <c r="D28" s="6" t="inlineStr">
        <is>
          <t>Information about who among eligibles actually enrolls</t>
        </is>
      </c>
      <c r="E28" s="6" t="n"/>
    </row>
    <row r="29" ht="43.2" customHeight="1">
      <c r="A29" s="4" t="inlineStr">
        <is>
          <t>E. Data Quality &amp; Sample Size</t>
        </is>
      </c>
      <c r="B29" s="5" t="n"/>
      <c r="C29" s="6" t="n"/>
      <c r="D29" s="6" t="n"/>
      <c r="E29" s="6" t="inlineStr">
        <is>
          <t>E. Data Quality &amp; Sample Size</t>
        </is>
      </c>
    </row>
    <row r="30" ht="43.2" customHeight="1">
      <c r="A30" s="4" t="inlineStr">
        <is>
          <t>24</t>
        </is>
      </c>
      <c r="B30" s="5" t="inlineStr">
        <is>
          <t>selectivity_rate</t>
        </is>
      </c>
      <c r="C30" s="6" t="inlineStr">
        <is>
          <t>number</t>
        </is>
      </c>
      <c r="D30" s="6" t="inlineStr">
        <is>
          <t>Acceptance/enrollment rate among eligibles (0-1)</t>
        </is>
      </c>
      <c r="E30" s="6" t="inlineStr">
        <is>
          <t>E. Data Quality &amp; Sample Size</t>
        </is>
      </c>
    </row>
    <row r="31" ht="28.8" customHeight="1">
      <c r="A31" s="4" t="inlineStr">
        <is>
          <t>25</t>
        </is>
      </c>
      <c r="B31" s="5" t="inlineStr">
        <is>
          <t>n_treatment</t>
        </is>
      </c>
      <c r="C31" s="6" t="inlineStr">
        <is>
          <t>integer</t>
        </is>
      </c>
      <c r="D31" s="6" t="inlineStr">
        <is>
          <t>N randomized to treatment</t>
        </is>
      </c>
      <c r="E31" s="6" t="inlineStr">
        <is>
          <t>E. Data Quality &amp; Sample Size</t>
        </is>
      </c>
    </row>
    <row r="32" ht="43.2" customHeight="1">
      <c r="A32" s="4" t="inlineStr">
        <is>
          <t>26</t>
        </is>
      </c>
      <c r="B32" s="5" t="inlineStr">
        <is>
          <t>n_control</t>
        </is>
      </c>
      <c r="C32" s="6" t="inlineStr">
        <is>
          <t>integer</t>
        </is>
      </c>
      <c r="D32" s="6" t="inlineStr">
        <is>
          <t>N randomized to control</t>
        </is>
      </c>
      <c r="E32" s="6" t="inlineStr">
        <is>
          <t>E. Data Quality &amp; Sample Size</t>
        </is>
      </c>
    </row>
    <row r="33">
      <c r="A33" t="n">
        <v>27</v>
      </c>
      <c r="B33" t="inlineStr">
        <is>
          <t>st_resprate_control</t>
        </is>
      </c>
      <c r="C33" t="inlineStr">
        <is>
          <t>number</t>
        </is>
      </c>
      <c r="D33" t="inlineStr">
        <is>
          <t>Control group survey response rate at short-term follow-up (0-1)</t>
        </is>
      </c>
      <c r="E33" t="inlineStr">
        <is>
          <t>E. Data Quality &amp; Sample Size</t>
        </is>
      </c>
    </row>
    <row r="34">
      <c r="A34" t="n">
        <v>28</v>
      </c>
      <c r="B34" t="inlineStr">
        <is>
          <t>st_resprate_treatment</t>
        </is>
      </c>
      <c r="C34" t="inlineStr">
        <is>
          <t>number</t>
        </is>
      </c>
      <c r="D34" t="inlineStr">
        <is>
          <t>Treatment group survey response rate at short-term follow-up (0-1)</t>
        </is>
      </c>
      <c r="E34" t="inlineStr">
        <is>
          <t>E. Data Quality &amp; Sample Size</t>
        </is>
      </c>
    </row>
    <row r="35" ht="43.2" customHeight="1">
      <c r="A35" t="n">
        <v>29</v>
      </c>
      <c r="B35" t="inlineStr">
        <is>
          <t>st_resprate_overall</t>
        </is>
      </c>
      <c r="C35" t="inlineStr">
        <is>
          <t>number</t>
        </is>
      </c>
      <c r="D35" t="inlineStr">
        <is>
          <t>Overall survey response rate at short-term follow-up (0-1)</t>
        </is>
      </c>
      <c r="E35" t="inlineStr">
        <is>
          <t>E. Data Quality &amp; Sample Size</t>
        </is>
      </c>
    </row>
    <row r="36" ht="43.2" customHeight="1">
      <c r="A36" t="n">
        <v>30</v>
      </c>
      <c r="B36" t="inlineStr">
        <is>
          <t>mt_resprate_control</t>
        </is>
      </c>
      <c r="C36" t="inlineStr">
        <is>
          <t>number</t>
        </is>
      </c>
      <c r="D36" t="inlineStr">
        <is>
          <t>Control group survey response rate at medium-term follow-up (0-1)</t>
        </is>
      </c>
      <c r="E36" t="inlineStr">
        <is>
          <t>E. Data Quality &amp; Sample Size</t>
        </is>
      </c>
    </row>
    <row r="37" ht="43.2" customHeight="1">
      <c r="A37" t="n">
        <v>31</v>
      </c>
      <c r="B37" t="inlineStr">
        <is>
          <t>mt_resprate_treatment</t>
        </is>
      </c>
      <c r="C37" t="inlineStr">
        <is>
          <t>number</t>
        </is>
      </c>
      <c r="D37" t="inlineStr">
        <is>
          <t>Treatment group survey response rate at medium-term follow-up (0-1)</t>
        </is>
      </c>
      <c r="E37" t="inlineStr">
        <is>
          <t>E. Data Quality &amp; Sample Size</t>
        </is>
      </c>
    </row>
    <row r="38" ht="28.8" customHeight="1">
      <c r="A38" t="n">
        <v>32</v>
      </c>
      <c r="B38" t="inlineStr">
        <is>
          <t>mt_resprate_overall</t>
        </is>
      </c>
      <c r="C38" t="inlineStr">
        <is>
          <t>number</t>
        </is>
      </c>
      <c r="D38" t="inlineStr">
        <is>
          <t>Overall survey response rate at medium-term follow-up (0-1)</t>
        </is>
      </c>
      <c r="E38" t="inlineStr">
        <is>
          <t>E. Data Quality &amp; Sample Size</t>
        </is>
      </c>
    </row>
    <row r="39">
      <c r="A39" t="n">
        <v>33</v>
      </c>
      <c r="B39" t="inlineStr">
        <is>
          <t>lt_resprate_control</t>
        </is>
      </c>
      <c r="C39" t="inlineStr">
        <is>
          <t>number</t>
        </is>
      </c>
      <c r="D39" t="inlineStr">
        <is>
          <t>Control group survey response rate at long-term follow-up (0-1)</t>
        </is>
      </c>
      <c r="E39" t="inlineStr">
        <is>
          <t>E. Data Quality &amp; Sample Size</t>
        </is>
      </c>
    </row>
    <row r="40">
      <c r="A40" t="n">
        <v>34</v>
      </c>
      <c r="B40" t="inlineStr">
        <is>
          <t>lt_resprate_treatment</t>
        </is>
      </c>
      <c r="C40" t="inlineStr">
        <is>
          <t>number</t>
        </is>
      </c>
      <c r="D40" t="inlineStr">
        <is>
          <t>Treatment group survey response rate at long-term follow-up (0-1)</t>
        </is>
      </c>
      <c r="E40" t="inlineStr">
        <is>
          <t>E. Data Quality &amp; Sample Size</t>
        </is>
      </c>
    </row>
    <row r="41" ht="28.8" customHeight="1">
      <c r="A41" t="n">
        <v>35</v>
      </c>
      <c r="B41" t="inlineStr">
        <is>
          <t>lt_resprate_overall</t>
        </is>
      </c>
      <c r="C41" t="inlineStr">
        <is>
          <t>number</t>
        </is>
      </c>
      <c r="D41" t="inlineStr">
        <is>
          <t>Overall survey response rate at long-term follow-up (0-1)</t>
        </is>
      </c>
      <c r="E41" t="inlineStr">
        <is>
          <t>E. Data Quality &amp; Sample Size</t>
        </is>
      </c>
    </row>
    <row r="42" ht="43.2" customHeight="1">
      <c r="A42" s="7" t="inlineStr">
        <is>
          <t>F. Impacts — Short-term (~1 year)</t>
        </is>
      </c>
      <c r="E42" t="inlineStr">
        <is>
          <t>F. Impacts — Short-term (~1 year)</t>
        </is>
      </c>
    </row>
    <row r="43" ht="28.8" customHeight="1">
      <c r="A43" s="4" t="n">
        <v>36</v>
      </c>
      <c r="B43" s="5" t="inlineStr">
        <is>
          <t>outcome_data_source</t>
        </is>
      </c>
      <c r="C43" s="6" t="inlineStr">
        <is>
          <t>text</t>
        </is>
      </c>
      <c r="D43" s="6" t="inlineStr">
        <is>
          <t>'self-report (survey)', 'UI wage records', 'SSA earnings records', 'NDNH', etc.</t>
        </is>
      </c>
      <c r="E43" s="6" t="inlineStr">
        <is>
          <t>F. Impacts — Short-term (~1 year)</t>
        </is>
      </c>
    </row>
    <row r="44" ht="28.8" customHeight="1">
      <c r="A44" s="4" t="n">
        <v>37</v>
      </c>
      <c r="B44" s="5" t="inlineStr">
        <is>
          <t>st_followup_years</t>
        </is>
      </c>
      <c r="C44" s="6" t="inlineStr">
        <is>
          <t>number</t>
        </is>
      </c>
      <c r="D44" s="6" t="inlineStr">
        <is>
          <t>Length of ST follow-up window in years</t>
        </is>
      </c>
      <c r="E44" s="6" t="inlineStr">
        <is>
          <t>F. Impacts — Short-term (~1 year)</t>
        </is>
      </c>
    </row>
    <row r="45" ht="43.2" customHeight="1">
      <c r="A45" s="4" t="n">
        <v>38</v>
      </c>
      <c r="B45" s="5" t="inlineStr">
        <is>
          <t>st_emp_impact</t>
        </is>
      </c>
      <c r="C45" s="6" t="inlineStr">
        <is>
          <t>number</t>
        </is>
      </c>
      <c r="D45" s="6" t="inlineStr">
        <is>
          <t>Impact on employment (percentage-point change)</t>
        </is>
      </c>
      <c r="E45" s="6" t="inlineStr">
        <is>
          <t>F. Impacts — Short-term (~1 year)</t>
        </is>
      </c>
    </row>
    <row r="46" ht="43.2" customHeight="1">
      <c r="A46" s="4" t="n">
        <v>39</v>
      </c>
      <c r="B46" s="5" t="inlineStr">
        <is>
          <t>st_emp_se</t>
        </is>
      </c>
      <c r="C46" s="6" t="inlineStr">
        <is>
          <t>number</t>
        </is>
      </c>
      <c r="D46" s="6" t="inlineStr">
        <is>
          <t>SE of employment impact</t>
        </is>
      </c>
      <c r="E46" s="6" t="inlineStr">
        <is>
          <t>F. Impacts — Short-term (~1 year)</t>
        </is>
      </c>
    </row>
    <row r="47" ht="43.2" customHeight="1">
      <c r="A47" t="n">
        <v>40</v>
      </c>
      <c r="B47" t="inlineStr">
        <is>
          <t>st_emp_stars</t>
        </is>
      </c>
      <c r="C47" t="inlineStr">
        <is>
          <t>text</t>
        </is>
      </c>
      <c r="D47" t="inlineStr">
        <is>
          <t>Significance: *, **, ***, or blank</t>
        </is>
      </c>
      <c r="E47" t="inlineStr">
        <is>
          <t>F. Impacts — Short-term (~1 year)</t>
        </is>
      </c>
    </row>
    <row r="48" ht="43.2" customHeight="1">
      <c r="A48" s="7" t="n">
        <v>41</v>
      </c>
      <c r="B48" t="inlineStr">
        <is>
          <t>st_emp_control_mean</t>
        </is>
      </c>
      <c r="C48" t="inlineStr">
        <is>
          <t>number</t>
        </is>
      </c>
      <c r="D48" t="inlineStr">
        <is>
          <t>Control group employment rate (percent)</t>
        </is>
      </c>
      <c r="E48" t="inlineStr">
        <is>
          <t>F. Impacts — Short-term (~1 year)</t>
        </is>
      </c>
    </row>
    <row r="49" ht="43.2" customHeight="1">
      <c r="A49" s="4" t="n">
        <v>42</v>
      </c>
      <c r="B49" s="5" t="inlineStr">
        <is>
          <t>st_earn_impact</t>
        </is>
      </c>
      <c r="C49" s="6" t="inlineStr">
        <is>
          <t>number</t>
        </is>
      </c>
      <c r="D49" s="6" t="inlineStr">
        <is>
          <t>Impact on earnings (dollars)</t>
        </is>
      </c>
      <c r="E49" s="6" t="inlineStr">
        <is>
          <t>F. Impacts — Short-term (~1 year)</t>
        </is>
      </c>
    </row>
    <row r="50" ht="28.8" customHeight="1">
      <c r="A50" s="4" t="n">
        <v>43</v>
      </c>
      <c r="B50" s="5" t="inlineStr">
        <is>
          <t>st_earn_se</t>
        </is>
      </c>
      <c r="C50" s="6" t="inlineStr">
        <is>
          <t>number</t>
        </is>
      </c>
      <c r="D50" s="6" t="inlineStr">
        <is>
          <t>SE of earnings impact</t>
        </is>
      </c>
      <c r="E50" s="6" t="inlineStr">
        <is>
          <t>F. Impacts — Short-term (~1 year)</t>
        </is>
      </c>
    </row>
    <row r="51" ht="43.2" customHeight="1">
      <c r="A51" s="4" t="n">
        <v>44</v>
      </c>
      <c r="B51" s="5" t="inlineStr">
        <is>
          <t>st_earn_stars</t>
        </is>
      </c>
      <c r="C51" s="6" t="inlineStr">
        <is>
          <t>text</t>
        </is>
      </c>
      <c r="D51" s="6" t="inlineStr">
        <is>
          <t>Significance level</t>
        </is>
      </c>
      <c r="E51" s="6" t="inlineStr">
        <is>
          <t>F. Impacts — Short-term (~1 year)</t>
        </is>
      </c>
    </row>
    <row r="52">
      <c r="A52" s="4" t="n">
        <v>45</v>
      </c>
      <c r="B52" s="5" t="inlineStr">
        <is>
          <t>st_earn_control_mean</t>
        </is>
      </c>
      <c r="C52" s="6" t="inlineStr">
        <is>
          <t>number</t>
        </is>
      </c>
      <c r="D52" s="6" t="inlineStr">
        <is>
          <t>Control group earnings (dollars)</t>
        </is>
      </c>
      <c r="E52" s="6" t="n"/>
    </row>
    <row r="53" ht="28.8" customHeight="1">
      <c r="A53" s="4" t="inlineStr">
        <is>
          <t>G. Impacts — Medium-term (~2 years)</t>
        </is>
      </c>
      <c r="B53" s="5" t="n"/>
      <c r="C53" s="6" t="n"/>
      <c r="D53" s="6" t="n"/>
      <c r="E53" s="6" t="inlineStr">
        <is>
          <t>G. Impacts — Medium-term (~2 years)</t>
        </is>
      </c>
    </row>
    <row r="54" ht="43.2" customHeight="1">
      <c r="A54" s="4" t="n">
        <v>46</v>
      </c>
      <c r="B54" s="5" t="inlineStr">
        <is>
          <t>st_earn_cadence</t>
        </is>
      </c>
      <c r="C54" s="6" t="inlineStr">
        <is>
          <t>text</t>
        </is>
      </c>
      <c r="D54" s="6" t="inlineStr">
        <is>
          <t>'weekly', 'monthly', 'quarterly', 'annual', 'cumulative over X quarters', etc.</t>
        </is>
      </c>
      <c r="E54" s="6" t="inlineStr">
        <is>
          <t>G. Impacts — Medium-term (~2 years)</t>
        </is>
      </c>
    </row>
    <row r="55" ht="43.2" customHeight="1">
      <c r="A55" s="4" t="n">
        <v>47</v>
      </c>
      <c r="B55" s="5" t="inlineStr">
        <is>
          <t>mt_followup_years</t>
        </is>
      </c>
      <c r="C55" s="6" t="inlineStr">
        <is>
          <t>number</t>
        </is>
      </c>
      <c r="D55" s="6" t="inlineStr">
        <is>
          <t>Length of MT follow-up window in years</t>
        </is>
      </c>
      <c r="E55" s="6" t="inlineStr">
        <is>
          <t>G. Impacts — Medium-term (~2 years)</t>
        </is>
      </c>
    </row>
    <row r="56" ht="43.2" customHeight="1">
      <c r="A56" s="4" t="n">
        <v>48</v>
      </c>
      <c r="B56" s="5" t="inlineStr">
        <is>
          <t>mt_emp_impact</t>
        </is>
      </c>
      <c r="C56" s="6" t="inlineStr">
        <is>
          <t>number</t>
        </is>
      </c>
      <c r="D56" s="6" t="inlineStr">
        <is>
          <t>Impact on employment (percentage-point change)</t>
        </is>
      </c>
      <c r="E56" s="6" t="inlineStr">
        <is>
          <t>G. Impacts — Medium-term (~2 years)</t>
        </is>
      </c>
    </row>
    <row r="57" ht="43.2" customHeight="1">
      <c r="A57" s="4" t="n">
        <v>49</v>
      </c>
      <c r="B57" s="5" t="inlineStr">
        <is>
          <t>mt_emp_se</t>
        </is>
      </c>
      <c r="C57" s="6" t="inlineStr">
        <is>
          <t>number</t>
        </is>
      </c>
      <c r="D57" s="6" t="inlineStr">
        <is>
          <t>SE of employment impact</t>
        </is>
      </c>
      <c r="E57" s="6" t="inlineStr">
        <is>
          <t>G. Impacts — Medium-term (~2 years)</t>
        </is>
      </c>
    </row>
    <row r="58" ht="43.2" customHeight="1">
      <c r="A58" s="4" t="n">
        <v>50</v>
      </c>
      <c r="B58" s="5" t="inlineStr">
        <is>
          <t>mt_emp_stars</t>
        </is>
      </c>
      <c r="C58" s="6" t="inlineStr">
        <is>
          <t>text</t>
        </is>
      </c>
      <c r="D58" s="6" t="inlineStr">
        <is>
          <t>Significance level</t>
        </is>
      </c>
      <c r="E58" s="6" t="inlineStr">
        <is>
          <t>G. Impacts — Medium-term (~2 years)</t>
        </is>
      </c>
    </row>
    <row r="59" ht="43.2" customHeight="1">
      <c r="A59" t="n">
        <v>51</v>
      </c>
      <c r="B59" t="inlineStr">
        <is>
          <t>mt_emp_control_mean</t>
        </is>
      </c>
      <c r="C59" t="inlineStr">
        <is>
          <t>number</t>
        </is>
      </c>
      <c r="D59" t="inlineStr">
        <is>
          <t>Control group employment rate (percent)</t>
        </is>
      </c>
      <c r="E59" t="inlineStr">
        <is>
          <t>G. Impacts — Medium-term (~2 years)</t>
        </is>
      </c>
    </row>
    <row r="60" ht="43.2" customHeight="1">
      <c r="A60" s="7" t="n">
        <v>52</v>
      </c>
      <c r="B60" t="inlineStr">
        <is>
          <t>mt_earn_impact</t>
        </is>
      </c>
      <c r="C60" t="inlineStr">
        <is>
          <t>number</t>
        </is>
      </c>
      <c r="D60" t="inlineStr">
        <is>
          <t>Impact on earnings (dollars)</t>
        </is>
      </c>
      <c r="E60" t="inlineStr">
        <is>
          <t>G. Impacts — Medium-term (~2 years)</t>
        </is>
      </c>
    </row>
    <row r="61" ht="43.2" customHeight="1">
      <c r="A61" s="4" t="n">
        <v>53</v>
      </c>
      <c r="B61" s="5" t="inlineStr">
        <is>
          <t>mt_earn_se</t>
        </is>
      </c>
      <c r="C61" s="6" t="inlineStr">
        <is>
          <t>number</t>
        </is>
      </c>
      <c r="D61" s="6" t="inlineStr">
        <is>
          <t>SE of earnings impact</t>
        </is>
      </c>
      <c r="E61" s="6" t="inlineStr">
        <is>
          <t>G. Impacts — Medium-term (~2 years)</t>
        </is>
      </c>
    </row>
    <row r="62" ht="43.2" customHeight="1">
      <c r="A62" s="4" t="n">
        <v>54</v>
      </c>
      <c r="B62" s="5" t="inlineStr">
        <is>
          <t>mt_earn_stars</t>
        </is>
      </c>
      <c r="C62" s="6" t="inlineStr">
        <is>
          <t>text</t>
        </is>
      </c>
      <c r="D62" s="6" t="inlineStr">
        <is>
          <t>Significance level</t>
        </is>
      </c>
      <c r="E62" s="6" t="inlineStr">
        <is>
          <t>G. Impacts — Medium-term (~2 years)</t>
        </is>
      </c>
    </row>
    <row r="63">
      <c r="A63" s="4" t="n">
        <v>55</v>
      </c>
      <c r="B63" s="5" t="inlineStr">
        <is>
          <t>mt_earn_control_mean</t>
        </is>
      </c>
      <c r="C63" s="6" t="inlineStr">
        <is>
          <t>number</t>
        </is>
      </c>
      <c r="D63" s="6" t="inlineStr">
        <is>
          <t>Control group earnings (dollars)</t>
        </is>
      </c>
      <c r="E63" s="6" t="n"/>
    </row>
    <row r="64" ht="43.2" customHeight="1">
      <c r="A64" s="4" t="inlineStr">
        <is>
          <t>H. Impacts — Long-term (~3+ years)</t>
        </is>
      </c>
      <c r="B64" s="5" t="n"/>
      <c r="C64" s="6" t="n"/>
      <c r="D64" s="6" t="n"/>
      <c r="E64" s="6" t="inlineStr">
        <is>
          <t>H. Impacts — Long-term (~3+ years)</t>
        </is>
      </c>
    </row>
    <row r="65" ht="28.8" customHeight="1">
      <c r="A65" s="4" t="n">
        <v>56</v>
      </c>
      <c r="B65" s="5" t="inlineStr">
        <is>
          <t>mt_earn_cadence</t>
        </is>
      </c>
      <c r="C65" s="6" t="inlineStr">
        <is>
          <t>text</t>
        </is>
      </c>
      <c r="D65" s="6" t="inlineStr">
        <is>
          <t>Cadence of earnings measure</t>
        </is>
      </c>
      <c r="E65" s="6" t="inlineStr">
        <is>
          <t>H. Impacts — Long-term (~3+ years)</t>
        </is>
      </c>
    </row>
    <row r="66" ht="43.2" customHeight="1">
      <c r="A66" s="4" t="n">
        <v>57</v>
      </c>
      <c r="B66" s="5" t="inlineStr">
        <is>
          <t>lt_followup_years</t>
        </is>
      </c>
      <c r="C66" s="6" t="inlineStr">
        <is>
          <t>number</t>
        </is>
      </c>
      <c r="D66" s="6" t="inlineStr">
        <is>
          <t>Length of LT follow-up window in years</t>
        </is>
      </c>
      <c r="E66" s="6" t="inlineStr">
        <is>
          <t>H. Impacts — Long-term (~3+ years)</t>
        </is>
      </c>
    </row>
    <row r="67" ht="28.8" customHeight="1">
      <c r="A67" s="4" t="n">
        <v>58</v>
      </c>
      <c r="B67" s="5" t="inlineStr">
        <is>
          <t>lt_emp_impact</t>
        </is>
      </c>
      <c r="C67" s="6" t="inlineStr">
        <is>
          <t>number</t>
        </is>
      </c>
      <c r="D67" s="6" t="inlineStr">
        <is>
          <t>Impact on employment (percentage-point change)</t>
        </is>
      </c>
      <c r="E67" s="6" t="inlineStr">
        <is>
          <t>H. Impacts — Long-term (~3+ years)</t>
        </is>
      </c>
    </row>
    <row r="68" ht="28.8" customHeight="1">
      <c r="A68" s="4" t="n">
        <v>59</v>
      </c>
      <c r="B68" s="5" t="inlineStr">
        <is>
          <t>lt_emp_se</t>
        </is>
      </c>
      <c r="C68" s="6" t="inlineStr">
        <is>
          <t>number</t>
        </is>
      </c>
      <c r="D68" s="6" t="inlineStr">
        <is>
          <t>SE of employment impact</t>
        </is>
      </c>
      <c r="E68" s="6" t="inlineStr">
        <is>
          <t>H. Impacts — Long-term (~3+ years)</t>
        </is>
      </c>
    </row>
    <row r="69" ht="28.8" customHeight="1">
      <c r="A69" s="4" t="n">
        <v>60</v>
      </c>
      <c r="B69" s="5" t="inlineStr">
        <is>
          <t>lt_emp_stars</t>
        </is>
      </c>
      <c r="C69" s="6" t="inlineStr">
        <is>
          <t>text</t>
        </is>
      </c>
      <c r="D69" s="6" t="inlineStr">
        <is>
          <t>Significance level</t>
        </is>
      </c>
      <c r="E69" s="6" t="inlineStr">
        <is>
          <t>H. Impacts — Long-term (~3+ years)</t>
        </is>
      </c>
    </row>
    <row r="70" ht="43.2" customHeight="1">
      <c r="A70" s="4" t="n">
        <v>61</v>
      </c>
      <c r="B70" s="5" t="inlineStr">
        <is>
          <t>lt_emp_control_mean</t>
        </is>
      </c>
      <c r="C70" s="6" t="inlineStr">
        <is>
          <t>number</t>
        </is>
      </c>
      <c r="D70" s="6" t="inlineStr">
        <is>
          <t>Control group employment rate (percent)</t>
        </is>
      </c>
      <c r="E70" s="6" t="inlineStr">
        <is>
          <t>H. Impacts — Long-term (~3+ years)</t>
        </is>
      </c>
    </row>
    <row r="71">
      <c r="A71" t="n">
        <v>62</v>
      </c>
      <c r="B71" t="inlineStr">
        <is>
          <t>lt_earn_impact</t>
        </is>
      </c>
      <c r="C71" t="inlineStr">
        <is>
          <t>number</t>
        </is>
      </c>
      <c r="D71" t="inlineStr">
        <is>
          <t>Impact on earnings (dollars)</t>
        </is>
      </c>
      <c r="E71" t="inlineStr">
        <is>
          <t>H. Impacts — Long-term (~3+ years)</t>
        </is>
      </c>
    </row>
    <row r="72">
      <c r="A72" s="7" t="n">
        <v>63</v>
      </c>
      <c r="B72" t="inlineStr">
        <is>
          <t>lt_earn_se</t>
        </is>
      </c>
      <c r="C72" t="inlineStr">
        <is>
          <t>number</t>
        </is>
      </c>
      <c r="D72" t="inlineStr">
        <is>
          <t>SE of earnings impact</t>
        </is>
      </c>
      <c r="E72" t="inlineStr">
        <is>
          <t>H. Impacts — Long-term (~3+ years)</t>
        </is>
      </c>
    </row>
    <row r="73" ht="43.2" customHeight="1">
      <c r="A73" s="4" t="n">
        <v>64</v>
      </c>
      <c r="B73" s="5" t="inlineStr">
        <is>
          <t>lt_earn_stars</t>
        </is>
      </c>
      <c r="C73" s="6" t="inlineStr">
        <is>
          <t>text</t>
        </is>
      </c>
      <c r="D73" s="6" t="inlineStr">
        <is>
          <t>Significance level</t>
        </is>
      </c>
      <c r="E73" s="6" t="inlineStr">
        <is>
          <t>H. Impacts — Long-term (~3+ years)</t>
        </is>
      </c>
    </row>
    <row r="74" ht="43.2" customHeight="1">
      <c r="A74" s="4" t="n">
        <v>65</v>
      </c>
      <c r="B74" s="5" t="inlineStr">
        <is>
          <t>lt_earn_control_mean</t>
        </is>
      </c>
      <c r="C74" s="6" t="inlineStr">
        <is>
          <t>number</t>
        </is>
      </c>
      <c r="D74" s="6" t="inlineStr">
        <is>
          <t>Control group earnings (dollars)</t>
        </is>
      </c>
      <c r="E74" s="6" t="n"/>
    </row>
    <row r="75" ht="28.8" customHeight="1">
      <c r="A75" s="4" t="inlineStr">
        <is>
          <t>I. Cost &amp; Sources</t>
        </is>
      </c>
      <c r="B75" s="5" t="n"/>
      <c r="C75" s="6" t="n"/>
      <c r="D75" s="6" t="n"/>
      <c r="E75" s="6" t="inlineStr">
        <is>
          <t>I. Cost &amp; Sources</t>
        </is>
      </c>
    </row>
    <row r="76" ht="28.8" customHeight="1">
      <c r="A76" s="4" t="n">
        <v>66</v>
      </c>
      <c r="B76" s="5" t="inlineStr">
        <is>
          <t>lt_earn_cadence</t>
        </is>
      </c>
      <c r="C76" s="6" t="inlineStr">
        <is>
          <t>text</t>
        </is>
      </c>
      <c r="D76" s="6" t="inlineStr">
        <is>
          <t>Cadence of earnings measure</t>
        </is>
      </c>
      <c r="E76" s="6" t="inlineStr">
        <is>
          <t>I. Cost &amp; Sources</t>
        </is>
      </c>
    </row>
    <row r="77" ht="43.2" customHeight="1">
      <c r="A77" s="4" t="n">
        <v>67</v>
      </c>
      <c r="B77" s="5" t="inlineStr">
        <is>
          <t>cost_per_treated</t>
        </is>
      </c>
      <c r="C77" s="6" t="inlineStr">
        <is>
          <t>number</t>
        </is>
      </c>
      <c r="D77" s="6" t="inlineStr">
        <is>
          <t>Cost per treated subject (note dollar-year in notes)</t>
        </is>
      </c>
      <c r="E77" s="6" t="inlineStr">
        <is>
          <t>I. Cost &amp; Sources</t>
        </is>
      </c>
    </row>
    <row r="78" ht="43.2" customHeight="1">
      <c r="A78" s="4" t="n">
        <v>68</v>
      </c>
      <c r="B78" s="5" t="inlineStr">
        <is>
          <t>sources</t>
        </is>
      </c>
      <c r="C78" s="6" t="inlineStr">
        <is>
          <t>text</t>
        </is>
      </c>
      <c r="D78" s="6" t="inlineStr">
        <is>
          <t>Full citation(s) with specific table/page references</t>
        </is>
      </c>
      <c r="E78" s="6" t="n"/>
    </row>
    <row r="79" ht="43.2" customHeight="1">
      <c r="A79" s="4" t="n"/>
      <c r="B79" s="5" t="n"/>
      <c r="C79" s="6" t="n"/>
      <c r="D79" s="6" t="n"/>
      <c r="E79" s="6" t="n"/>
    </row>
    <row r="80">
      <c r="A80" s="4" t="n">
        <v>69</v>
      </c>
      <c r="B80" s="5" t="inlineStr">
        <is>
          <t>notes</t>
        </is>
      </c>
      <c r="C80" s="6" t="inlineStr">
        <is>
          <t>text</t>
        </is>
      </c>
      <c r="D80" s="6" t="inlineStr">
        <is>
          <t>Judgment calls, caveats, anything not captured above</t>
        </is>
      </c>
      <c r="E80" s="6" t="n"/>
    </row>
    <row r="81">
      <c r="A81" s="10" t="n"/>
      <c r="B81" s="5" t="n"/>
      <c r="C81" s="6" t="n"/>
      <c r="D81" s="6" t="n"/>
      <c r="E81" s="6" t="n"/>
    </row>
    <row r="82" ht="15.6" customHeight="1">
      <c r="A82" s="4" t="inlineStr">
        <is>
          <t>J. Classification Dummies (v8-v9)</t>
        </is>
      </c>
      <c r="B82" s="5" t="n"/>
      <c r="C82" s="6" t="n"/>
      <c r="D82" s="6" t="n"/>
      <c r="E82" s="6" t="inlineStr">
        <is>
          <t>J. Classification Dummies</t>
        </is>
      </c>
    </row>
    <row r="83">
      <c r="A83" t="n">
        <v>72</v>
      </c>
      <c r="B83" t="inlineStr">
        <is>
          <t>academic</t>
        </is>
      </c>
      <c r="C83" t="inlineStr">
        <is>
          <t>binary 0/1</t>
        </is>
      </c>
      <c r="D83" t="inlineStr">
        <is>
          <t>1 if the primary source is a peer-reviewed academic journal article; 0 otherwise</t>
        </is>
      </c>
      <c r="E83" t="inlineStr">
        <is>
          <t>J. Classification Dummies</t>
        </is>
      </c>
    </row>
    <row r="84" ht="28.8" customHeight="1">
      <c r="A84" s="7" t="n">
        <v>73</v>
      </c>
      <c r="B84" t="inlineStr">
        <is>
          <t>sector_program</t>
        </is>
      </c>
      <c r="C84" t="inlineStr">
        <is>
          <t>binary 0/1</t>
        </is>
      </c>
      <c r="D84" t="inlineStr">
        <is>
          <t>1 if the treatment is a sector program (sector-focused training by CBO with employer engagement, targeting specific industry); 0 otherwise</t>
        </is>
      </c>
      <c r="E84" t="inlineStr">
        <is>
          <t>J. Classification Dummies</t>
        </is>
      </c>
    </row>
    <row r="85" ht="28.8" customHeight="1">
      <c r="A85" s="4" t="n">
        <v>74</v>
      </c>
      <c r="B85" s="5" t="inlineStr">
        <is>
          <t>leadagn_communityorg</t>
        </is>
      </c>
      <c r="C85" s="6" t="inlineStr">
        <is>
          <t>binary 0/1</t>
        </is>
      </c>
      <c r="D85" s="6" t="inlineStr">
        <is>
          <t>1 if the lead agency is a community-based organization (private nonprofit). Following Peck et al. 2021 coding.</t>
        </is>
      </c>
      <c r="E85" s="6" t="inlineStr">
        <is>
          <t>J. Classification Dummies</t>
        </is>
      </c>
    </row>
    <row r="86" ht="28.8" customHeight="1">
      <c r="A86" s="4" t="n">
        <v>75</v>
      </c>
      <c r="B86" s="5" t="inlineStr">
        <is>
          <t>partneragn_staffingagency</t>
        </is>
      </c>
      <c r="C86" s="6" t="inlineStr">
        <is>
          <t>binary 0/1</t>
        </is>
      </c>
      <c r="D86" s="6" t="inlineStr">
        <is>
          <t>1 if a staffing agency is a program partner. Following Peck et al. 2021 coding.</t>
        </is>
      </c>
      <c r="E86" s="6" t="inlineStr">
        <is>
          <t>J. Classification Dummies</t>
        </is>
      </c>
    </row>
    <row r="87" ht="28.8" customHeight="1">
      <c r="A87" s="4" t="n">
        <v>76</v>
      </c>
      <c r="B87" s="5" t="inlineStr">
        <is>
          <t>employengage_curricula</t>
        </is>
      </c>
      <c r="C87" s="6" t="inlineStr">
        <is>
          <t>binary 0/1</t>
        </is>
      </c>
      <c r="D87" s="6" t="inlineStr">
        <is>
          <t>1 if employers were engaged with program curricula (e.g., input on course content, alignment with employer needs). Following Peck et al. 2021 coding.</t>
        </is>
      </c>
      <c r="E87" s="6" t="inlineStr">
        <is>
          <t>J. Classification Dummies</t>
        </is>
      </c>
    </row>
    <row r="88" ht="28.8" customHeight="1">
      <c r="A88" t="n">
        <v>77</v>
      </c>
      <c r="B88" t="inlineStr">
        <is>
          <t>jobdev_yes</t>
        </is>
      </c>
      <c r="C88" t="inlineStr">
        <is>
          <t>binary 0/1</t>
        </is>
      </c>
      <c r="D88" t="inlineStr">
        <is>
          <t>1 if the program had dedicated job development or placement staff/services. Following Peck et al. 2021 coding.</t>
        </is>
      </c>
      <c r="E88" t="inlineStr">
        <is>
          <t>J. Classification Dummies</t>
        </is>
      </c>
    </row>
    <row r="89" ht="28.8" customHeight="1">
      <c r="A89" t="n">
        <v>78</v>
      </c>
      <c r="B89" t="inlineStr">
        <is>
          <t>employerol_curriculum</t>
        </is>
      </c>
      <c r="C89" t="inlineStr">
        <is>
          <t>binary 0/1</t>
        </is>
      </c>
      <c r="D89" t="inlineStr">
        <is>
          <t>1 if employers had a formal role in curriculum design. Following Peck et al. 2021 coding.</t>
        </is>
      </c>
      <c r="E89" t="inlineStr">
        <is>
          <t>J. Classification Dummies</t>
        </is>
      </c>
    </row>
    <row r="90" ht="28.8" customHeight="1">
      <c r="A90" s="8" t="n">
        <v>79</v>
      </c>
      <c r="B90" t="inlineStr">
        <is>
          <t>employerol_hire</t>
        </is>
      </c>
      <c r="C90" t="inlineStr">
        <is>
          <t>binary 0/1</t>
        </is>
      </c>
      <c r="D90" t="inlineStr">
        <is>
          <t>1 if employers made commitments to hire program completers. Following Peck et al. 2021 coding.</t>
        </is>
      </c>
    </row>
    <row r="91" ht="28.8" customHeight="1">
      <c r="A91" s="11" t="n"/>
    </row>
    <row r="92" ht="28.8" customHeight="1">
      <c r="A92" s="4" t="inlineStr">
        <is>
          <t>Reasoning Table additions (v9)</t>
        </is>
      </c>
      <c r="B92" s="5" t="n"/>
      <c r="C92" s="6" t="n"/>
      <c r="D92" s="6" t="n"/>
      <c r="E92" s="6" t="n"/>
    </row>
    <row r="93" ht="28.8" customHeight="1">
      <c r="A93" s="4" t="inlineStr">
        <is>
          <t>13</t>
        </is>
      </c>
      <c r="B93" s="5" t="inlineStr">
        <is>
          <t>leadagn_communityorg_reasoning</t>
        </is>
      </c>
      <c r="C93" s="6" t="inlineStr">
        <is>
          <t>text</t>
        </is>
      </c>
      <c r="D93" s="6" t="inlineStr">
        <is>
          <t>Basis for CBO lead coding. For Peck et al. 2021 studies, cites Peck dataset. For others, based on primary source descriptions.</t>
        </is>
      </c>
      <c r="E93" s="6" t="n"/>
    </row>
    <row r="94" ht="28.8" customHeight="1">
      <c r="A94" s="4" t="inlineStr">
        <is>
          <t>14</t>
        </is>
      </c>
      <c r="B94" s="5" t="inlineStr">
        <is>
          <t>partneragn_staffingagency_reasoning</t>
        </is>
      </c>
      <c r="C94" s="6" t="inlineStr">
        <is>
          <t>text</t>
        </is>
      </c>
      <c r="D94" s="6" t="inlineStr">
        <is>
          <t>Basis for staffing agency partner coding.</t>
        </is>
      </c>
      <c r="E94" s="6" t="n"/>
    </row>
    <row r="95" ht="28.8" customHeight="1">
      <c r="A95" s="4" t="inlineStr">
        <is>
          <t>15</t>
        </is>
      </c>
      <c r="B95" s="5" t="inlineStr">
        <is>
          <t>employengage_curricula_reasoning</t>
        </is>
      </c>
      <c r="C95" s="6" t="inlineStr">
        <is>
          <t>text</t>
        </is>
      </c>
      <c r="D95" s="6" t="inlineStr">
        <is>
          <t>Basis for employer curricula engagement coding.</t>
        </is>
      </c>
      <c r="E95" s="6" t="n"/>
    </row>
    <row r="96">
      <c r="A96" s="4" t="inlineStr">
        <is>
          <t>16</t>
        </is>
      </c>
      <c r="B96" s="5" t="inlineStr">
        <is>
          <t>jobdev_yes_reasoning</t>
        </is>
      </c>
      <c r="C96" s="6" t="inlineStr">
        <is>
          <t>text</t>
        </is>
      </c>
      <c r="D96" s="6" t="inlineStr">
        <is>
          <t>Basis for job development coding.</t>
        </is>
      </c>
      <c r="E96" s="6" t="n"/>
    </row>
    <row r="97" ht="28.8" customHeight="1">
      <c r="A97" s="4" t="inlineStr">
        <is>
          <t>17</t>
        </is>
      </c>
      <c r="B97" s="5" t="inlineStr">
        <is>
          <t>employerol_curriculum_reasoning</t>
        </is>
      </c>
      <c r="C97" s="6" t="inlineStr">
        <is>
          <t>text</t>
        </is>
      </c>
      <c r="D97" s="6" t="inlineStr">
        <is>
          <t>Basis for employer curriculum role coding.</t>
        </is>
      </c>
      <c r="E97" s="6" t="n"/>
    </row>
    <row r="98">
      <c r="A98" s="4" t="inlineStr">
        <is>
          <t>18</t>
        </is>
      </c>
      <c r="B98" s="5" t="inlineStr">
        <is>
          <t>employerol_hire_reasoning</t>
        </is>
      </c>
      <c r="C98" s="6" t="inlineStr">
        <is>
          <t>text</t>
        </is>
      </c>
      <c r="D98" s="6" t="inlineStr">
        <is>
          <t>Basis for employer hire commitment coding.</t>
        </is>
      </c>
      <c r="E98" s="6" t="n"/>
    </row>
    <row r="99" ht="28.8" customHeight="1">
      <c r="A99" s="4" t="inlineStr">
        <is>
          <t>19</t>
        </is>
      </c>
      <c r="B99" s="5" t="inlineStr">
        <is>
          <t>funding_public_private_reasoning</t>
        </is>
      </c>
      <c r="C99" s="6" t="inlineStr">
        <is>
          <t>text</t>
        </is>
      </c>
      <c r="D99" s="6" t="inlineStr">
        <is>
          <t>Basis for funding coding: identifies primary funding sources for program administration.</t>
        </is>
      </c>
      <c r="E99" s="6" t="n"/>
    </row>
    <row r="100" ht="28.8" customHeight="1">
      <c r="A100" s="4" t="inlineStr">
        <is>
          <t>20</t>
        </is>
      </c>
      <c r="B100" s="5" t="inlineStr">
        <is>
          <t>admin_public_private_reasoning</t>
        </is>
      </c>
      <c r="C100" s="6" t="inlineStr">
        <is>
          <t>text</t>
        </is>
      </c>
      <c r="D100" s="6" t="inlineStr">
        <is>
          <t>Basis for admin coding: identifies who runs the program day-to-day at the site level.</t>
        </is>
      </c>
      <c r="E100" s="6" t="n"/>
    </row>
    <row r="101">
      <c r="A101" t="inlineStr">
        <is>
          <t>First-Stage Outcomes</t>
        </is>
      </c>
    </row>
    <row r="102">
      <c r="A102" t="n">
        <v>80</v>
      </c>
      <c r="B102" t="inlineStr">
        <is>
          <t>program_uptake_impact</t>
        </is>
      </c>
      <c r="C102" t="inlineStr">
        <is>
          <t>number</t>
        </is>
      </c>
      <c r="D102" t="inlineStr">
        <is>
          <t>Impact on participation rate in the evaluated program (treatment rate minus control rate, in percentage points). E.g., if 96% of T and 3% of C enrolled in the program, the impact is +93 pp.</t>
        </is>
      </c>
    </row>
    <row r="103">
      <c r="A103" t="n">
        <v>81</v>
      </c>
      <c r="B103" t="inlineStr">
        <is>
          <t>program_uptake_control_mean</t>
        </is>
      </c>
      <c r="C103" t="inlineStr">
        <is>
          <t>number</t>
        </is>
      </c>
      <c r="D103" t="inlineStr">
        <is>
          <t>Control group's participation rate in the evaluated program (percent, 0-100). Captures crossover/contamination.</t>
        </is>
      </c>
    </row>
    <row r="104">
      <c r="A104" t="n">
        <v>82</v>
      </c>
      <c r="B104" t="inlineStr">
        <is>
          <t>any_training_impact</t>
        </is>
      </c>
      <c r="C104" t="inlineStr">
        <is>
          <t>number</t>
        </is>
      </c>
      <c r="D104" t="inlineStr">
        <is>
          <t>Impact on receipt of education or training services from any source (treatment rate minus control rate, in percentage points). Measures the net effect of assignment on total training receipt, capturing both program take-up and substitution from other providers.</t>
        </is>
      </c>
    </row>
    <row r="105">
      <c r="A105" t="n">
        <v>83</v>
      </c>
      <c r="B105" t="inlineStr">
        <is>
          <t>any_training_control_mean</t>
        </is>
      </c>
      <c r="C105" t="inlineStr">
        <is>
          <t>number</t>
        </is>
      </c>
      <c r="D105" t="inlineStr">
        <is>
          <t>Control group's rate of receiving education or training from any source (percent, 0-100). Captures the counterfactual level of training the control group obtained on its own.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2026-04-02T19:32:59Z</dcterms:created>
  <dcterms:modified xmlns:dcterms="http://purl.org/dc/terms/" xmlns:xsi="http://www.w3.org/2001/XMLSchema-instance" xsi:type="dcterms:W3CDTF">2026-05-11T00:06:15Z</dcterms:modified>
  <cp:lastModifiedBy>David Roodman</cp:lastModifiedBy>
</cp:coreProperties>
</file>